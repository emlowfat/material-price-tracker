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ta Entry" sheetId="2" state="visible" r:id="rId2"/>
    <sheet name="Item Lookup" sheetId="3" state="visible" r:id="rId3"/>
    <sheet name="Comparison" sheetId="4" state="visible" r:id="rId4"/>
    <sheet name="All Data" sheetId="5" state="visible" r:id="rId5"/>
    <sheet name="Item List" sheetId="6" state="visible" r:id="rId6"/>
    <sheet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##"/>
    <numFmt numFmtId="166" formatCode="$#,##0.00"/>
    <numFmt numFmtId="167" formatCode="+$#,##0.00;-$#,##0.00"/>
    <numFmt numFmtId="168" formatCode="+0.0%;-0.0%"/>
  </numFmts>
  <fonts count="11">
    <font>
      <name val="Calibri"/>
      <family val="2"/>
      <color theme="1"/>
      <sz val="11"/>
      <scheme val="minor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color rgb="00FFFFFF"/>
      <sz val="10"/>
    </font>
    <font>
      <b val="1"/>
      <sz val="12"/>
    </font>
    <font>
      <b val="1"/>
      <color rgb="00C00000"/>
    </font>
    <font>
      <b val="1"/>
      <color rgb="001F4E78"/>
      <sz val="12"/>
    </font>
    <font>
      <b val="1"/>
      <color rgb="001F4E78"/>
      <sz val="18"/>
    </font>
    <font>
      <sz val="10.5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6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4" borderId="1" pivotButton="0" quotePrefix="0" xfId="0"/>
    <xf numFmtId="167" fontId="0" fillId="4" borderId="1" pivotButton="0" quotePrefix="0" xfId="0"/>
    <xf numFmtId="168" fontId="0" fillId="4" borderId="1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  <xf numFmtId="166" fontId="0" fillId="4" borderId="0" pivotButton="0" quotePrefix="0" xfId="0"/>
    <xf numFmtId="164" fontId="0" fillId="4" borderId="0" pivotButton="0" quotePrefix="0" xfId="0"/>
    <xf numFmtId="166" fontId="0" fillId="0" borderId="0" pivotButton="0" quotePrefix="0" xfId="0"/>
    <xf numFmtId="167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6" t="inlineStr">
        <is>
          <t>Material Price Tracker - How to use this file</t>
        </is>
      </c>
    </row>
    <row r="2">
      <c r="A2" s="27" t="inlineStr"/>
    </row>
    <row r="3">
      <c r="A3" s="28" t="inlineStr">
        <is>
          <t>WHAT THIS FILE DOES</t>
        </is>
      </c>
    </row>
    <row r="4">
      <c r="A4" s="27" t="inlineStr">
        <is>
          <t>Every week, you buy materials from one or more locations/suppliers. This file keeps a permanent</t>
        </is>
      </c>
    </row>
    <row r="5">
      <c r="A5" s="27" t="inlineStr">
        <is>
          <t>history of every price you ever paid, so you can instantly see if a seller quietly raised a price,</t>
        </is>
      </c>
    </row>
    <row r="6">
      <c r="A6" s="27" t="inlineStr">
        <is>
          <t>and compare prices across locations for the same item.</t>
        </is>
      </c>
    </row>
    <row r="7">
      <c r="A7" s="27" t="inlineStr"/>
    </row>
    <row r="8">
      <c r="A8" s="28" t="inlineStr">
        <is>
          <t>TABS IN THIS FILE</t>
        </is>
      </c>
    </row>
    <row r="9">
      <c r="A9" s="27" t="inlineStr"/>
    </row>
    <row r="10">
      <c r="A10" s="25" t="inlineStr">
        <is>
          <t>1) Data Entry  &lt;-- YOU TYPE HERE EVERY WEEK</t>
        </is>
      </c>
    </row>
    <row r="11">
      <c r="A11" s="27" t="inlineStr">
        <is>
          <t xml:space="preserve">   Add one new row per item you buy. Fill in Date, Location, Supplier, Item Code, Item Name,</t>
        </is>
      </c>
    </row>
    <row r="12">
      <c r="A12" s="27" t="inlineStr">
        <is>
          <t xml:space="preserve">   Unit, Qty, and Unit Price. 'Amount' calculates itself automatically.</t>
        </is>
      </c>
    </row>
    <row r="13">
      <c r="A13" s="27" t="inlineStr">
        <is>
          <t xml:space="preserve">   Item Code / Item Name have dropdown suggestions (click the cell, then the small arrow) pulled</t>
        </is>
      </c>
    </row>
    <row r="14">
      <c r="A14" s="27" t="inlineStr">
        <is>
          <t xml:space="preserve">   from the 'Item List' tab - but you can also just type a brand new one freely; it is optional.</t>
        </is>
      </c>
    </row>
    <row r="15">
      <c r="A15" s="27" t="inlineStr"/>
    </row>
    <row r="16">
      <c r="A16" s="25" t="inlineStr">
        <is>
          <t>2) Item List  &lt;-- your master catalogue of items</t>
        </is>
      </c>
    </row>
    <row r="17">
      <c r="A17" s="27" t="inlineStr">
        <is>
          <t xml:space="preserve">   Add a new row here whenever you buy something for the very first time, so future dropdown</t>
        </is>
      </c>
    </row>
    <row r="18">
      <c r="A18" s="27" t="inlineStr">
        <is>
          <t xml:space="preserve">   suggestions include it. Not required, but keeps Item Code/Name spelling consistent, which</t>
        </is>
      </c>
    </row>
    <row r="19">
      <c r="A19" s="27" t="inlineStr">
        <is>
          <t xml:space="preserve">   matters for accurate price-history matching.</t>
        </is>
      </c>
    </row>
    <row r="20">
      <c r="A20" s="27" t="inlineStr"/>
    </row>
    <row r="21">
      <c r="A21" s="25" t="inlineStr">
        <is>
          <t>3) All Data  &lt;-- DO NOT TYPE HERE (read-only, all formulas)</t>
        </is>
      </c>
    </row>
    <row r="22">
      <c r="A22" s="27" t="inlineStr">
        <is>
          <t xml:space="preserve">   A full mirror of 'Data Entry' with extra analysis columns:</t>
        </is>
      </c>
    </row>
    <row r="23">
      <c r="A23" s="27" t="inlineStr">
        <is>
          <t xml:space="preserve">     - Prev Price: the price you paid last time for that same item at that same location</t>
        </is>
      </c>
    </row>
    <row r="24">
      <c r="A24" s="27" t="inlineStr">
        <is>
          <t xml:space="preserve">     - Change ($) / Change (%): how much the price moved since last time</t>
        </is>
      </c>
    </row>
    <row r="25">
      <c r="A25" s="27" t="inlineStr">
        <is>
          <t xml:space="preserve">     - Flag: 'UP' (highlighted red) if price increased, 'down' (highlighted green) if it decreased</t>
        </is>
      </c>
    </row>
    <row r="26">
      <c r="A26" s="27" t="inlineStr">
        <is>
          <t xml:space="preserve">   This is the sheet other tabs (Item Lookup, Comparison) pull their data from.</t>
        </is>
      </c>
    </row>
    <row r="27">
      <c r="A27" s="27" t="inlineStr"/>
    </row>
    <row r="28">
      <c r="A28" s="25" t="inlineStr">
        <is>
          <t>4) Item Lookup  &lt;-- search one item</t>
        </is>
      </c>
    </row>
    <row r="29">
      <c r="A29" s="27" t="inlineStr">
        <is>
          <t xml:space="preserve">   Type or pick an Item Code (or Item Name) in the yellow box near the top.</t>
        </is>
      </c>
    </row>
    <row r="30">
      <c r="A30" s="27" t="inlineStr">
        <is>
          <t xml:space="preserve">   You instantly see: last price paid, last date, last location, previous price, % change,</t>
        </is>
      </c>
    </row>
    <row r="31">
      <c r="A31" s="27" t="inlineStr">
        <is>
          <t xml:space="preserve">   lowest &amp; highest price ever paid (and where), how many times you've bought it, and the</t>
        </is>
      </c>
    </row>
    <row r="32">
      <c r="A32" s="27" t="inlineStr">
        <is>
          <t xml:space="preserve">   FULL purchase history for that single item across all locations and dates.</t>
        </is>
      </c>
    </row>
    <row r="33">
      <c r="A33" s="27" t="inlineStr"/>
    </row>
    <row r="34">
      <c r="A34" s="25" t="inlineStr">
        <is>
          <t>5) Comparison  &lt;-- compare locations side-by-side</t>
        </is>
      </c>
    </row>
    <row r="35">
      <c r="A35" s="27" t="inlineStr">
        <is>
          <t xml:space="preserve">   One row per item, one column per Location. Shows each location's LATEST price for that item,</t>
        </is>
      </c>
    </row>
    <row r="36">
      <c r="A36" s="27" t="inlineStr">
        <is>
          <t xml:space="preserve">   plus Min / Max / Diff and which location is currently cheapest.</t>
        </is>
      </c>
    </row>
    <row r="37">
      <c r="A37" s="27" t="inlineStr">
        <is>
          <t xml:space="preserve">   Supports up to 6 locations by default - add more columns if you track more than that.</t>
        </is>
      </c>
    </row>
    <row r="38">
      <c r="A38" s="27" t="inlineStr"/>
    </row>
    <row r="39">
      <c r="A39" s="28" t="inlineStr">
        <is>
          <t>WHY A SELLER CAN'T HIDE A PRICE INCREASE ANYMORE</t>
        </is>
      </c>
    </row>
    <row r="40">
      <c r="A40" s="27" t="inlineStr">
        <is>
          <t>Because every purchase you type stays in 'All Data' forever, the 'Flag' column automatically</t>
        </is>
      </c>
    </row>
    <row r="41">
      <c r="A41" s="27" t="inlineStr">
        <is>
          <t>compares each new purchase to your own previous purchase of that same item. If a seller says</t>
        </is>
      </c>
    </row>
    <row r="42">
      <c r="A42" s="27" t="inlineStr">
        <is>
          <t>'the price was always $5' but your own record from 3 weeks ago shows $4, you'll see it flagged.</t>
        </is>
      </c>
    </row>
    <row r="43">
      <c r="A43" s="27" t="inlineStr"/>
    </row>
    <row r="44">
      <c r="A44" s="28" t="inlineStr">
        <is>
          <t>TIPS</t>
        </is>
      </c>
    </row>
    <row r="45">
      <c r="A45" s="27" t="inlineStr">
        <is>
          <t xml:space="preserve">  - Just keep adding rows to 'Data Entry' every week. Nothing needs to be deleted or moved.</t>
        </is>
      </c>
    </row>
    <row r="46">
      <c r="A46" s="27" t="inlineStr">
        <is>
          <t xml:space="preserve">  - If you buy the same item from 2 different sellers at the same site, put the seller name</t>
        </is>
      </c>
    </row>
    <row r="47">
      <c r="A47" s="27" t="inlineStr">
        <is>
          <t xml:space="preserve">    in the 'Supplier / Seller' column so you can tell them apart later if needed.</t>
        </is>
      </c>
    </row>
    <row r="48">
      <c r="A48" s="27" t="inlineStr">
        <is>
          <t xml:space="preserve">  - Locations you use will show up automatically as dropdown choices after you type them once</t>
        </is>
      </c>
    </row>
    <row r="49">
      <c r="A49" s="27" t="inlineStr">
        <is>
          <t xml:space="preserve">    (add them to the hidden 'Lists' tab, or just type a new one directly in Data Entry).</t>
        </is>
      </c>
    </row>
    <row r="50">
      <c r="A50" s="27" t="inlineStr"/>
    </row>
    <row r="51">
      <c r="A51" s="28" t="inlineStr">
        <is>
          <t>COMPATIBILITY NOTE</t>
        </is>
      </c>
    </row>
    <row r="52">
      <c r="A52" s="27" t="inlineStr">
        <is>
          <t>Some formulas here (in 'Item Lookup' and 'Comparison') use array logic (MAX/MIN combined with IF).</t>
        </is>
      </c>
    </row>
    <row r="53">
      <c r="A53" s="27" t="inlineStr">
        <is>
          <t>These work automatically in Excel 365, Excel 2021+, and Google Sheets. If you're on an older</t>
        </is>
      </c>
    </row>
    <row r="54">
      <c r="A54" s="27" t="inlineStr">
        <is>
          <t>version of Excel (2019 or earlier) and a lookup cell shows an error, click that cell, then press</t>
        </is>
      </c>
    </row>
    <row r="55">
      <c r="A55" s="27" t="inlineStr">
        <is>
          <t>Ctrl+Shift+Enter instead of just Enter to re-confirm it as an array formula.</t>
        </is>
      </c>
    </row>
    <row r="56">
      <c r="A56" s="27" t="inlineStr"/>
    </row>
    <row r="57">
      <c r="A57" s="27" t="inlineStr">
        <is>
          <t>This file was seeded with your real Week 1 purchase data (Jul 1-6, 2026, 41 items) so you can</t>
        </is>
      </c>
    </row>
    <row r="58">
      <c r="A58" s="27" t="inlineStr">
        <is>
          <t>see how everything works with real numbers. Feel free to edit or delete the seed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J20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6" customWidth="1" min="3" max="3"/>
    <col width="12" customWidth="1" min="4" max="4"/>
    <col width="34" customWidth="1" min="5" max="5"/>
    <col width="10" customWidth="1" min="6" max="6"/>
    <col width="8" customWidth="1" min="7" max="7"/>
    <col width="12" customWidth="1" min="8" max="8"/>
    <col width="12" customWidth="1" min="9" max="9"/>
    <col width="26" customWidth="1" min="10" max="10"/>
  </cols>
  <sheetData>
    <row r="1">
      <c r="A1" s="2" t="inlineStr">
        <is>
          <t>Data Entry - type every purchase here</t>
        </is>
      </c>
    </row>
    <row r="2">
      <c r="A2" s="3" t="inlineStr">
        <is>
          <t>One row per item you buy. Add new rows at the bottom every time you shop / every week. Item Code &amp; Item Name have dropdown suggestions from 'Item List' - you can also just type a new one.</t>
        </is>
      </c>
    </row>
    <row r="4" ht="30" customHeight="1">
      <c r="A4" s="4" t="inlineStr">
        <is>
          <t>Date</t>
        </is>
      </c>
      <c r="B4" s="4" t="inlineStr">
        <is>
          <t>Location / Site</t>
        </is>
      </c>
      <c r="C4" s="4" t="inlineStr">
        <is>
          <t>Supplier / Seller</t>
        </is>
      </c>
      <c r="D4" s="4" t="inlineStr">
        <is>
          <t>Item Code</t>
        </is>
      </c>
      <c r="E4" s="4" t="inlineStr">
        <is>
          <t>Item Name</t>
        </is>
      </c>
      <c r="F4" s="4" t="inlineStr">
        <is>
          <t>Unit</t>
        </is>
      </c>
      <c r="G4" s="4" t="inlineStr">
        <is>
          <t>Qty</t>
        </is>
      </c>
      <c r="H4" s="4" t="inlineStr">
        <is>
          <t>Unit Price ($)</t>
        </is>
      </c>
      <c r="I4" s="4" t="inlineStr">
        <is>
          <t>Amount ($)</t>
        </is>
      </c>
      <c r="J4" s="4" t="inlineStr">
        <is>
          <t>Notes</t>
        </is>
      </c>
    </row>
    <row r="5">
      <c r="A5" s="6" t="n">
        <v>46204</v>
      </c>
      <c r="B5" s="7" t="inlineStr">
        <is>
          <t>Site 1</t>
        </is>
      </c>
      <c r="C5" s="7" t="inlineStr">
        <is>
          <t>Unknown Supplier</t>
        </is>
      </c>
      <c r="D5" s="7" t="inlineStr">
        <is>
          <t>G0036</t>
        </is>
      </c>
      <c r="E5" s="7" t="inlineStr">
        <is>
          <t>koh spean khley 25mm2</t>
        </is>
      </c>
      <c r="F5" s="7" t="inlineStr">
        <is>
          <t>graib</t>
        </is>
      </c>
      <c r="G5" s="8" t="n">
        <v>20</v>
      </c>
      <c r="H5" s="9" t="n">
        <v>0.25</v>
      </c>
      <c r="I5" s="10">
        <f>IF(G5="","",G5*H5)</f>
        <v/>
      </c>
      <c r="J5" s="7" t="inlineStr">
        <is>
          <t>Week 1 seed data (Jul 1-6, 2026 total)</t>
        </is>
      </c>
    </row>
    <row r="6">
      <c r="A6" s="6" t="n">
        <v>46204</v>
      </c>
      <c r="B6" s="7" t="inlineStr">
        <is>
          <t>Site 1</t>
        </is>
      </c>
      <c r="C6" s="7" t="inlineStr">
        <is>
          <t>Unknown Supplier</t>
        </is>
      </c>
      <c r="D6" s="7" t="inlineStr">
        <is>
          <t>G0044</t>
        </is>
      </c>
      <c r="E6" s="7" t="inlineStr">
        <is>
          <t>koh spean khley 95mm2</t>
        </is>
      </c>
      <c r="F6" s="7" t="inlineStr">
        <is>
          <t>graib</t>
        </is>
      </c>
      <c r="G6" s="8" t="n">
        <v>2</v>
      </c>
      <c r="H6" s="9" t="n">
        <v>0.75</v>
      </c>
      <c r="I6" s="10">
        <f>IF(G6="","",G6*H6)</f>
        <v/>
      </c>
      <c r="J6" s="7" t="inlineStr">
        <is>
          <t>Week 1 seed data (Jul 1-6, 2026 total)</t>
        </is>
      </c>
    </row>
    <row r="7">
      <c r="A7" s="6" t="n">
        <v>46204</v>
      </c>
      <c r="B7" s="7" t="inlineStr">
        <is>
          <t>Site 1</t>
        </is>
      </c>
      <c r="C7" s="7" t="inlineStr">
        <is>
          <t>Unknown Supplier</t>
        </is>
      </c>
      <c r="D7" s="7" t="inlineStr">
        <is>
          <t>G0045</t>
        </is>
      </c>
      <c r="E7" s="7" t="inlineStr">
        <is>
          <t>PVC song 3/4</t>
        </is>
      </c>
      <c r="F7" s="7" t="inlineStr">
        <is>
          <t>graib</t>
        </is>
      </c>
      <c r="G7" s="8" t="n">
        <v>3</v>
      </c>
      <c r="H7" s="9" t="n">
        <v>0.5</v>
      </c>
      <c r="I7" s="10">
        <f>IF(G7="","",G7*H7)</f>
        <v/>
      </c>
      <c r="J7" s="7" t="inlineStr">
        <is>
          <t>Week 1 seed data (Jul 1-6, 2026 total)</t>
        </is>
      </c>
    </row>
    <row r="8">
      <c r="A8" s="6" t="n">
        <v>46204</v>
      </c>
      <c r="B8" s="7" t="inlineStr">
        <is>
          <t>Site 1</t>
        </is>
      </c>
      <c r="C8" s="7" t="inlineStr">
        <is>
          <t>Unknown Supplier</t>
        </is>
      </c>
      <c r="D8" s="7" t="inlineStr">
        <is>
          <t>G0048</t>
        </is>
      </c>
      <c r="E8" s="7" t="inlineStr">
        <is>
          <t>tuyou PVC 42 (8.5mm)</t>
        </is>
      </c>
      <c r="F8" s="7" t="inlineStr">
        <is>
          <t>daeum</t>
        </is>
      </c>
      <c r="G8" s="8" t="n">
        <v>1</v>
      </c>
      <c r="H8" s="9" t="n">
        <v>3</v>
      </c>
      <c r="I8" s="10">
        <f>IF(G8="","",G8*H8)</f>
        <v/>
      </c>
      <c r="J8" s="7" t="inlineStr">
        <is>
          <t>Week 1 seed data (Jul 1-6, 2026 total)</t>
        </is>
      </c>
    </row>
    <row r="9">
      <c r="A9" s="6" t="n">
        <v>46204</v>
      </c>
      <c r="B9" s="7" t="inlineStr">
        <is>
          <t>Site 1</t>
        </is>
      </c>
      <c r="C9" s="7" t="inlineStr">
        <is>
          <t>Unknown Supplier</t>
        </is>
      </c>
      <c r="D9" s="7" t="inlineStr">
        <is>
          <t>G0049</t>
        </is>
      </c>
      <c r="E9" s="7" t="inlineStr">
        <is>
          <t>tuyou PVC 21 (13.5mm)</t>
        </is>
      </c>
      <c r="F9" s="7" t="inlineStr">
        <is>
          <t>daeum</t>
        </is>
      </c>
      <c r="G9" s="8" t="n">
        <v>7</v>
      </c>
      <c r="H9" s="9" t="n">
        <v>2.4286</v>
      </c>
      <c r="I9" s="10">
        <f>IF(G9="","",G9*H9)</f>
        <v/>
      </c>
      <c r="J9" s="7" t="inlineStr">
        <is>
          <t>Week 1 seed data (Jul 1-6, 2026 total)</t>
        </is>
      </c>
    </row>
    <row r="10">
      <c r="A10" s="6" t="n">
        <v>46204</v>
      </c>
      <c r="B10" s="7" t="inlineStr">
        <is>
          <t>Site 1</t>
        </is>
      </c>
      <c r="C10" s="7" t="inlineStr">
        <is>
          <t>Unknown Supplier</t>
        </is>
      </c>
      <c r="D10" s="7" t="inlineStr">
        <is>
          <t>G0050</t>
        </is>
      </c>
      <c r="E10" s="7" t="inlineStr">
        <is>
          <t>PVC song thmenh 42</t>
        </is>
      </c>
      <c r="F10" s="7" t="inlineStr">
        <is>
          <t>graib</t>
        </is>
      </c>
      <c r="G10" s="8" t="n">
        <v>2</v>
      </c>
      <c r="H10" s="9" t="n">
        <v>0.75</v>
      </c>
      <c r="I10" s="10">
        <f>IF(G10="","",G10*H10)</f>
        <v/>
      </c>
      <c r="J10" s="7" t="inlineStr">
        <is>
          <t>Week 1 seed data (Jul 1-6, 2026 total)</t>
        </is>
      </c>
    </row>
    <row r="11">
      <c r="A11" s="6" t="n">
        <v>46204</v>
      </c>
      <c r="B11" s="7" t="inlineStr">
        <is>
          <t>Site 1</t>
        </is>
      </c>
      <c r="C11" s="7" t="inlineStr">
        <is>
          <t>Unknown Supplier</t>
        </is>
      </c>
      <c r="D11" s="7" t="inlineStr">
        <is>
          <t>G0051</t>
        </is>
      </c>
      <c r="E11" s="7" t="inlineStr">
        <is>
          <t>PVC song thmenh krao 3/4</t>
        </is>
      </c>
      <c r="F11" s="7" t="inlineStr">
        <is>
          <t>graib</t>
        </is>
      </c>
      <c r="G11" s="8" t="n">
        <v>2</v>
      </c>
      <c r="H11" s="9" t="n">
        <v>0.5</v>
      </c>
      <c r="I11" s="10">
        <f>IF(G11="","",G11*H11)</f>
        <v/>
      </c>
      <c r="J11" s="7" t="inlineStr">
        <is>
          <t>Week 1 seed data (Jul 1-6, 2026 total)</t>
        </is>
      </c>
    </row>
    <row r="12">
      <c r="A12" s="6" t="n">
        <v>46204</v>
      </c>
      <c r="B12" s="7" t="inlineStr">
        <is>
          <t>Site 1</t>
        </is>
      </c>
      <c r="C12" s="7" t="inlineStr">
        <is>
          <t>Unknown Supplier</t>
        </is>
      </c>
      <c r="D12" s="7" t="inlineStr">
        <is>
          <t>G0052</t>
        </is>
      </c>
      <c r="E12" s="7" t="inlineStr">
        <is>
          <t>PVC song thmenh knong 3/4</t>
        </is>
      </c>
      <c r="F12" s="7" t="inlineStr">
        <is>
          <t>graib</t>
        </is>
      </c>
      <c r="G12" s="8" t="n">
        <v>2</v>
      </c>
      <c r="H12" s="9" t="n">
        <v>0.5</v>
      </c>
      <c r="I12" s="10">
        <f>IF(G12="","",G12*H12)</f>
        <v/>
      </c>
      <c r="J12" s="7" t="inlineStr">
        <is>
          <t>Week 1 seed data (Jul 1-6, 2026 total)</t>
        </is>
      </c>
    </row>
    <row r="13">
      <c r="A13" s="6" t="n">
        <v>46204</v>
      </c>
      <c r="B13" s="7" t="inlineStr">
        <is>
          <t>Site 1</t>
        </is>
      </c>
      <c r="C13" s="7" t="inlineStr">
        <is>
          <t>Unknown Supplier</t>
        </is>
      </c>
      <c r="D13" s="7" t="inlineStr">
        <is>
          <t>G0053</t>
        </is>
      </c>
      <c r="E13" s="7" t="inlineStr">
        <is>
          <t>PVC song thmenh knong 21</t>
        </is>
      </c>
      <c r="F13" s="7" t="inlineStr">
        <is>
          <t>graib</t>
        </is>
      </c>
      <c r="G13" s="8" t="n">
        <v>2</v>
      </c>
      <c r="H13" s="9" t="n">
        <v>0.25</v>
      </c>
      <c r="I13" s="10">
        <f>IF(G13="","",G13*H13)</f>
        <v/>
      </c>
      <c r="J13" s="7" t="inlineStr">
        <is>
          <t>Week 1 seed data (Jul 1-6, 2026 total)</t>
        </is>
      </c>
    </row>
    <row r="14">
      <c r="A14" s="6" t="n">
        <v>46204</v>
      </c>
      <c r="B14" s="7" t="inlineStr">
        <is>
          <t>Site 1</t>
        </is>
      </c>
      <c r="C14" s="7" t="inlineStr">
        <is>
          <t>Unknown Supplier</t>
        </is>
      </c>
      <c r="D14" s="7" t="inlineStr">
        <is>
          <t>G0054</t>
        </is>
      </c>
      <c r="E14" s="7" t="inlineStr">
        <is>
          <t>song PVC 42 x 34</t>
        </is>
      </c>
      <c r="F14" s="7" t="inlineStr">
        <is>
          <t>graib</t>
        </is>
      </c>
      <c r="G14" s="8" t="n">
        <v>2</v>
      </c>
      <c r="H14" s="9" t="n">
        <v>0.75</v>
      </c>
      <c r="I14" s="10">
        <f>IF(G14="","",G14*H14)</f>
        <v/>
      </c>
      <c r="J14" s="7" t="inlineStr">
        <is>
          <t>Week 1 seed data (Jul 1-6, 2026 total)</t>
        </is>
      </c>
    </row>
    <row r="15">
      <c r="A15" s="6" t="n">
        <v>46204</v>
      </c>
      <c r="B15" s="7" t="inlineStr">
        <is>
          <t>Site 1</t>
        </is>
      </c>
      <c r="C15" s="7" t="inlineStr">
        <is>
          <t>Unknown Supplier</t>
        </is>
      </c>
      <c r="D15" s="7" t="inlineStr">
        <is>
          <t>G0055</t>
        </is>
      </c>
      <c r="E15" s="7" t="inlineStr">
        <is>
          <t>dey mi 42</t>
        </is>
      </c>
      <c r="F15" s="7" t="inlineStr">
        <is>
          <t>graib</t>
        </is>
      </c>
      <c r="G15" s="8" t="n">
        <v>2</v>
      </c>
      <c r="H15" s="9" t="n">
        <v>2.5</v>
      </c>
      <c r="I15" s="10">
        <f>IF(G15="","",G15*H15)</f>
        <v/>
      </c>
      <c r="J15" s="7" t="inlineStr">
        <is>
          <t>Week 1 seed data (Jul 1-6, 2026 total)</t>
        </is>
      </c>
    </row>
    <row r="16">
      <c r="A16" s="6" t="n">
        <v>46204</v>
      </c>
      <c r="B16" s="7" t="inlineStr">
        <is>
          <t>Site 1</t>
        </is>
      </c>
      <c r="C16" s="7" t="inlineStr">
        <is>
          <t>Unknown Supplier</t>
        </is>
      </c>
      <c r="D16" s="7" t="inlineStr">
        <is>
          <t>G0056</t>
        </is>
      </c>
      <c r="E16" s="7" t="inlineStr">
        <is>
          <t>kaeng 21</t>
        </is>
      </c>
      <c r="F16" s="7" t="inlineStr">
        <is>
          <t>graib</t>
        </is>
      </c>
      <c r="G16" s="8" t="n">
        <v>11</v>
      </c>
      <c r="H16" s="9" t="n">
        <v>0.25</v>
      </c>
      <c r="I16" s="10">
        <f>IF(G16="","",G16*H16)</f>
        <v/>
      </c>
      <c r="J16" s="7" t="inlineStr">
        <is>
          <t>Week 1 seed data (Jul 1-6, 2026 total)</t>
        </is>
      </c>
    </row>
    <row r="17">
      <c r="A17" s="6" t="n">
        <v>46204</v>
      </c>
      <c r="B17" s="7" t="inlineStr">
        <is>
          <t>Site 1</t>
        </is>
      </c>
      <c r="C17" s="7" t="inlineStr">
        <is>
          <t>Unknown Supplier</t>
        </is>
      </c>
      <c r="D17" s="7" t="inlineStr">
        <is>
          <t>G0057</t>
        </is>
      </c>
      <c r="E17" s="7" t="inlineStr">
        <is>
          <t>van 42</t>
        </is>
      </c>
      <c r="F17" s="7" t="inlineStr">
        <is>
          <t>graib</t>
        </is>
      </c>
      <c r="G17" s="8" t="n">
        <v>2</v>
      </c>
      <c r="H17" s="9" t="n">
        <v>3.25</v>
      </c>
      <c r="I17" s="10">
        <f>IF(G17="","",G17*H17)</f>
        <v/>
      </c>
      <c r="J17" s="7" t="inlineStr">
        <is>
          <t>Week 1 seed data (Jul 1-6, 2026 total)</t>
        </is>
      </c>
    </row>
    <row r="18">
      <c r="A18" s="6" t="n">
        <v>46204</v>
      </c>
      <c r="B18" s="7" t="inlineStr">
        <is>
          <t>Site 1</t>
        </is>
      </c>
      <c r="C18" s="7" t="inlineStr">
        <is>
          <t>Unknown Supplier</t>
        </is>
      </c>
      <c r="D18" s="7" t="inlineStr">
        <is>
          <t>G0058</t>
        </is>
      </c>
      <c r="E18" s="7" t="inlineStr">
        <is>
          <t>van 21</t>
        </is>
      </c>
      <c r="F18" s="7" t="inlineStr">
        <is>
          <t>graib</t>
        </is>
      </c>
      <c r="G18" s="8" t="n">
        <v>5</v>
      </c>
      <c r="H18" s="9" t="n">
        <v>0.876</v>
      </c>
      <c r="I18" s="10">
        <f>IF(G18="","",G18*H18)</f>
        <v/>
      </c>
      <c r="J18" s="7" t="inlineStr">
        <is>
          <t>Week 1 seed data (Jul 1-6, 2026 total)</t>
        </is>
      </c>
    </row>
    <row r="19">
      <c r="A19" s="6" t="n">
        <v>46204</v>
      </c>
      <c r="B19" s="7" t="inlineStr">
        <is>
          <t>Site 1</t>
        </is>
      </c>
      <c r="C19" s="7" t="inlineStr">
        <is>
          <t>Unknown Supplier</t>
        </is>
      </c>
      <c r="D19" s="7" t="inlineStr">
        <is>
          <t>G0059</t>
        </is>
      </c>
      <c r="E19" s="7" t="inlineStr">
        <is>
          <t>te 3/4</t>
        </is>
      </c>
      <c r="F19" s="7" t="inlineStr">
        <is>
          <t>graib</t>
        </is>
      </c>
      <c r="G19" s="8" t="n">
        <v>1</v>
      </c>
      <c r="H19" s="9" t="n">
        <v>0.75</v>
      </c>
      <c r="I19" s="10">
        <f>IF(G19="","",G19*H19)</f>
        <v/>
      </c>
      <c r="J19" s="7" t="inlineStr">
        <is>
          <t>Week 1 seed data (Jul 1-6, 2026 total)</t>
        </is>
      </c>
    </row>
    <row r="20">
      <c r="A20" s="6" t="n">
        <v>46204</v>
      </c>
      <c r="B20" s="7" t="inlineStr">
        <is>
          <t>Site 1</t>
        </is>
      </c>
      <c r="C20" s="7" t="inlineStr">
        <is>
          <t>Unknown Supplier</t>
        </is>
      </c>
      <c r="D20" s="7" t="inlineStr">
        <is>
          <t>G0060</t>
        </is>
      </c>
      <c r="E20" s="7" t="inlineStr">
        <is>
          <t>te 21</t>
        </is>
      </c>
      <c r="F20" s="7" t="inlineStr">
        <is>
          <t>graib</t>
        </is>
      </c>
      <c r="G20" s="8" t="n">
        <v>3</v>
      </c>
      <c r="H20" s="9" t="n">
        <v>0.3767</v>
      </c>
      <c r="I20" s="10">
        <f>IF(G20="","",G20*H20)</f>
        <v/>
      </c>
      <c r="J20" s="7" t="inlineStr">
        <is>
          <t>Week 1 seed data (Jul 1-6, 2026 total)</t>
        </is>
      </c>
    </row>
    <row r="21">
      <c r="A21" s="6" t="n">
        <v>46204</v>
      </c>
      <c r="B21" s="7" t="inlineStr">
        <is>
          <t>Site 1</t>
        </is>
      </c>
      <c r="C21" s="7" t="inlineStr">
        <is>
          <t>Unknown Supplier</t>
        </is>
      </c>
      <c r="D21" s="7" t="inlineStr">
        <is>
          <t>G0061</t>
        </is>
      </c>
      <c r="E21" s="7" t="inlineStr">
        <is>
          <t>bolt 10 x 25</t>
        </is>
      </c>
      <c r="F21" s="7" t="inlineStr">
        <is>
          <t>graib</t>
        </is>
      </c>
      <c r="G21" s="8" t="n">
        <v>25</v>
      </c>
      <c r="H21" s="9" t="n">
        <v>0.25</v>
      </c>
      <c r="I21" s="10">
        <f>IF(G21="","",G21*H21)</f>
        <v/>
      </c>
      <c r="J21" s="7" t="inlineStr">
        <is>
          <t>Week 1 seed data (Jul 1-6, 2026 total)</t>
        </is>
      </c>
    </row>
    <row r="22">
      <c r="A22" s="6" t="n">
        <v>46204</v>
      </c>
      <c r="B22" s="7" t="inlineStr">
        <is>
          <t>Site 1</t>
        </is>
      </c>
      <c r="C22" s="7" t="inlineStr">
        <is>
          <t>Unknown Supplier</t>
        </is>
      </c>
      <c r="D22" s="7" t="inlineStr">
        <is>
          <t>G0062</t>
        </is>
      </c>
      <c r="E22" s="7" t="inlineStr">
        <is>
          <t>krochab O 3/4 dek</t>
        </is>
      </c>
      <c r="F22" s="7" t="inlineStr">
        <is>
          <t>graib</t>
        </is>
      </c>
      <c r="G22" s="8" t="n">
        <v>25</v>
      </c>
      <c r="H22" s="9" t="n">
        <v>0.3752</v>
      </c>
      <c r="I22" s="10">
        <f>IF(G22="","",G22*H22)</f>
        <v/>
      </c>
      <c r="J22" s="7" t="inlineStr">
        <is>
          <t>Week 1 seed data (Jul 1-6, 2026 total)</t>
        </is>
      </c>
    </row>
    <row r="23">
      <c r="A23" s="6" t="n">
        <v>46204</v>
      </c>
      <c r="B23" s="7" t="inlineStr">
        <is>
          <t>Site 1</t>
        </is>
      </c>
      <c r="C23" s="7" t="inlineStr">
        <is>
          <t>Unknown Supplier</t>
        </is>
      </c>
      <c r="D23" s="7" t="inlineStr">
        <is>
          <t>G0063</t>
        </is>
      </c>
      <c r="E23" s="7" t="inlineStr">
        <is>
          <t>sout khsav</t>
        </is>
      </c>
      <c r="F23" s="7" t="inlineStr">
        <is>
          <t>dom</t>
        </is>
      </c>
      <c r="G23" s="8" t="n">
        <v>3</v>
      </c>
      <c r="H23" s="9" t="n">
        <v>0.5</v>
      </c>
      <c r="I23" s="10">
        <f>IF(G23="","",G23*H23)</f>
        <v/>
      </c>
      <c r="J23" s="7" t="inlineStr">
        <is>
          <t>Week 1 seed data (Jul 1-6, 2026 total)</t>
        </is>
      </c>
    </row>
    <row r="24">
      <c r="A24" s="6" t="n">
        <v>46204</v>
      </c>
      <c r="B24" s="7" t="inlineStr">
        <is>
          <t>Site 1</t>
        </is>
      </c>
      <c r="C24" s="7" t="inlineStr">
        <is>
          <t>Unknown Supplier</t>
        </is>
      </c>
      <c r="D24" s="7" t="inlineStr">
        <is>
          <t>G0064</t>
        </is>
      </c>
      <c r="E24" s="7" t="inlineStr">
        <is>
          <t>kamlasvon 6ft</t>
        </is>
      </c>
      <c r="F24" s="7" t="inlineStr">
        <is>
          <t>daeum</t>
        </is>
      </c>
      <c r="G24" s="8" t="n">
        <v>2</v>
      </c>
      <c r="H24" s="9" t="n">
        <v>1.5</v>
      </c>
      <c r="I24" s="10">
        <f>IF(G24="","",G24*H24)</f>
        <v/>
      </c>
      <c r="J24" s="7" t="inlineStr">
        <is>
          <t>Week 1 seed data (Jul 1-6, 2026 total)</t>
        </is>
      </c>
    </row>
    <row r="25">
      <c r="A25" s="6" t="n">
        <v>46204</v>
      </c>
      <c r="B25" s="7" t="inlineStr">
        <is>
          <t>Site 1</t>
        </is>
      </c>
      <c r="C25" s="7" t="inlineStr">
        <is>
          <t>Unknown Supplier</t>
        </is>
      </c>
      <c r="D25" s="7" t="inlineStr">
        <is>
          <t>G0065</t>
        </is>
      </c>
      <c r="E25" s="7" t="inlineStr">
        <is>
          <t>kamlasvon 12ft</t>
        </is>
      </c>
      <c r="F25" s="7" t="inlineStr">
        <is>
          <t>daeum</t>
        </is>
      </c>
      <c r="G25" s="8" t="n">
        <v>2</v>
      </c>
      <c r="H25" s="9" t="n">
        <v>5</v>
      </c>
      <c r="I25" s="10">
        <f>IF(G25="","",G25*H25)</f>
        <v/>
      </c>
      <c r="J25" s="7" t="inlineStr">
        <is>
          <t>Week 1 seed data (Jul 1-6, 2026 total)</t>
        </is>
      </c>
    </row>
    <row r="26">
      <c r="A26" s="6" t="n">
        <v>46204</v>
      </c>
      <c r="B26" s="7" t="inlineStr">
        <is>
          <t>Site 1</t>
        </is>
      </c>
      <c r="C26" s="7" t="inlineStr">
        <is>
          <t>Unknown Supplier</t>
        </is>
      </c>
      <c r="D26" s="7" t="inlineStr">
        <is>
          <t>G0066</t>
        </is>
      </c>
      <c r="E26" s="7" t="inlineStr">
        <is>
          <t>chok 3''</t>
        </is>
      </c>
      <c r="F26" s="7" t="inlineStr">
        <is>
          <t>daeum</t>
        </is>
      </c>
      <c r="G26" s="8" t="n">
        <v>5</v>
      </c>
      <c r="H26" s="9" t="n">
        <v>0.25</v>
      </c>
      <c r="I26" s="10">
        <f>IF(G26="","",G26*H26)</f>
        <v/>
      </c>
      <c r="J26" s="7" t="inlineStr">
        <is>
          <t>Week 1 seed data (Jul 1-6, 2026 total)</t>
        </is>
      </c>
    </row>
    <row r="27">
      <c r="A27" s="6" t="n">
        <v>46204</v>
      </c>
      <c r="B27" s="7" t="inlineStr">
        <is>
          <t>Site 1</t>
        </is>
      </c>
      <c r="C27" s="7" t="inlineStr">
        <is>
          <t>Unknown Supplier</t>
        </is>
      </c>
      <c r="D27" s="7" t="inlineStr">
        <is>
          <t>G0067</t>
        </is>
      </c>
      <c r="E27" s="7" t="inlineStr">
        <is>
          <t>screw spool 5hun</t>
        </is>
      </c>
      <c r="F27" s="7" t="inlineStr">
        <is>
          <t>thong</t>
        </is>
      </c>
      <c r="G27" s="8" t="n">
        <v>1</v>
      </c>
      <c r="H27" s="9" t="n">
        <v>3.5</v>
      </c>
      <c r="I27" s="10">
        <f>IF(G27="","",G27*H27)</f>
        <v/>
      </c>
      <c r="J27" s="7" t="inlineStr">
        <is>
          <t>Week 1 seed data (Jul 1-6, 2026 total)</t>
        </is>
      </c>
    </row>
    <row r="28">
      <c r="A28" s="6" t="n">
        <v>46204</v>
      </c>
      <c r="B28" s="7" t="inlineStr">
        <is>
          <t>Site 1</t>
        </is>
      </c>
      <c r="C28" s="7" t="inlineStr">
        <is>
          <t>Unknown Supplier</t>
        </is>
      </c>
      <c r="D28" s="7" t="inlineStr">
        <is>
          <t>G0068</t>
        </is>
      </c>
      <c r="E28" s="7" t="inlineStr">
        <is>
          <t>phong teuk 27</t>
        </is>
      </c>
      <c r="F28" s="7" t="inlineStr">
        <is>
          <t>graib</t>
        </is>
      </c>
      <c r="G28" s="8" t="n">
        <v>1</v>
      </c>
      <c r="H28" s="9" t="n">
        <v>7.5</v>
      </c>
      <c r="I28" s="10">
        <f>IF(G28="","",G28*H28)</f>
        <v/>
      </c>
      <c r="J28" s="7" t="inlineStr">
        <is>
          <t>Week 1 seed data (Jul 1-6, 2026 total)</t>
        </is>
      </c>
    </row>
    <row r="29">
      <c r="A29" s="6" t="n">
        <v>46204</v>
      </c>
      <c r="B29" s="7" t="inlineStr">
        <is>
          <t>Site 1</t>
        </is>
      </c>
      <c r="C29" s="7" t="inlineStr">
        <is>
          <t>Unknown Supplier</t>
        </is>
      </c>
      <c r="D29" s="7" t="inlineStr">
        <is>
          <t>G0047</t>
        </is>
      </c>
      <c r="E29" s="7" t="inlineStr">
        <is>
          <t>kav tuyou PVC</t>
        </is>
      </c>
      <c r="F29" s="7" t="inlineStr">
        <is>
          <t>kampong</t>
        </is>
      </c>
      <c r="G29" s="8" t="n">
        <v>1</v>
      </c>
      <c r="H29" s="9" t="n">
        <v>5</v>
      </c>
      <c r="I29" s="10">
        <f>IF(G29="","",G29*H29)</f>
        <v/>
      </c>
      <c r="J29" s="7" t="inlineStr">
        <is>
          <t>Week 1 seed data (Jul 1-6, 2026 total)</t>
        </is>
      </c>
    </row>
    <row r="30">
      <c r="A30" s="6" t="n">
        <v>46204</v>
      </c>
      <c r="B30" s="7" t="inlineStr">
        <is>
          <t>Site 1</t>
        </is>
      </c>
      <c r="C30" s="7" t="inlineStr">
        <is>
          <t>Unknown Supplier</t>
        </is>
      </c>
      <c r="D30" s="7" t="inlineStr">
        <is>
          <t>G0069</t>
        </is>
      </c>
      <c r="E30" s="7" t="inlineStr">
        <is>
          <t>sout 3M</t>
        </is>
      </c>
      <c r="F30" s="7" t="inlineStr">
        <is>
          <t>dom</t>
        </is>
      </c>
      <c r="G30" s="8" t="n">
        <v>6</v>
      </c>
      <c r="H30" s="9" t="n">
        <v>1</v>
      </c>
      <c r="I30" s="10">
        <f>IF(G30="","",G30*H30)</f>
        <v/>
      </c>
      <c r="J30" s="7" t="inlineStr">
        <is>
          <t>Week 1 seed data (Jul 1-6, 2026 total)</t>
        </is>
      </c>
    </row>
    <row r="31">
      <c r="A31" s="6" t="n">
        <v>46204</v>
      </c>
      <c r="B31" s="7" t="inlineStr">
        <is>
          <t>Site 1</t>
        </is>
      </c>
      <c r="C31" s="7" t="inlineStr">
        <is>
          <t>Unknown Supplier</t>
        </is>
      </c>
      <c r="D31" s="7" t="inlineStr">
        <is>
          <t>G0001</t>
        </is>
      </c>
      <c r="E31" s="7" t="inlineStr">
        <is>
          <t>thub spar inox</t>
        </is>
      </c>
      <c r="F31" s="7" t="inlineStr">
        <is>
          <t>dom</t>
        </is>
      </c>
      <c r="G31" s="8" t="n">
        <v>1</v>
      </c>
      <c r="H31" s="9" t="n">
        <v>8.5</v>
      </c>
      <c r="I31" s="10">
        <f>IF(G31="","",G31*H31)</f>
        <v/>
      </c>
      <c r="J31" s="7" t="inlineStr">
        <is>
          <t>Week 1 seed data (Jul 1-6, 2026 total)</t>
        </is>
      </c>
    </row>
    <row r="32">
      <c r="A32" s="6" t="n">
        <v>46204</v>
      </c>
      <c r="B32" s="7" t="inlineStr">
        <is>
          <t>Site 1</t>
        </is>
      </c>
      <c r="C32" s="7" t="inlineStr">
        <is>
          <t>Unknown Supplier</t>
        </is>
      </c>
      <c r="D32" s="7" t="inlineStr">
        <is>
          <t>G0070</t>
        </is>
      </c>
      <c r="E32" s="7" t="inlineStr">
        <is>
          <t>sand (khsach kraeum)</t>
        </is>
      </c>
      <c r="F32" s="7" t="inlineStr">
        <is>
          <t>m3</t>
        </is>
      </c>
      <c r="G32" s="8" t="n">
        <v>1</v>
      </c>
      <c r="H32" s="9" t="n">
        <v>25</v>
      </c>
      <c r="I32" s="10">
        <f>IF(G32="","",G32*H32)</f>
        <v/>
      </c>
      <c r="J32" s="7" t="inlineStr">
        <is>
          <t>Week 1 seed data (Jul 1-6, 2026 total)</t>
        </is>
      </c>
    </row>
    <row r="33">
      <c r="A33" s="6" t="n">
        <v>46204</v>
      </c>
      <c r="B33" s="7" t="inlineStr">
        <is>
          <t>Site 1</t>
        </is>
      </c>
      <c r="C33" s="7" t="inlineStr">
        <is>
          <t>Unknown Supplier</t>
        </is>
      </c>
      <c r="D33" s="7" t="inlineStr">
        <is>
          <t>G0071</t>
        </is>
      </c>
      <c r="E33" s="7" t="inlineStr">
        <is>
          <t>stone 1x2</t>
        </is>
      </c>
      <c r="F33" s="7" t="inlineStr">
        <is>
          <t>m3</t>
        </is>
      </c>
      <c r="G33" s="8" t="n">
        <v>1</v>
      </c>
      <c r="H33" s="9" t="n">
        <v>23.5</v>
      </c>
      <c r="I33" s="10">
        <f>IF(G33="","",G33*H33)</f>
        <v/>
      </c>
      <c r="J33" s="7" t="inlineStr">
        <is>
          <t>Week 1 seed data (Jul 1-6, 2026 total)</t>
        </is>
      </c>
    </row>
    <row r="34">
      <c r="A34" s="6" t="n">
        <v>46204</v>
      </c>
      <c r="B34" s="7" t="inlineStr">
        <is>
          <t>Site 1</t>
        </is>
      </c>
      <c r="C34" s="7" t="inlineStr">
        <is>
          <t>Unknown Supplier</t>
        </is>
      </c>
      <c r="D34" s="7" t="inlineStr">
        <is>
          <t>G0072</t>
        </is>
      </c>
      <c r="E34" s="7" t="inlineStr">
        <is>
          <t>electric wire S 2Cx 4mm2</t>
        </is>
      </c>
      <c r="F34" s="7" t="inlineStr">
        <is>
          <t>m</t>
        </is>
      </c>
      <c r="G34" s="8" t="n">
        <v>8</v>
      </c>
      <c r="H34" s="9" t="n">
        <v>1.375</v>
      </c>
      <c r="I34" s="10">
        <f>IF(G34="","",G34*H34)</f>
        <v/>
      </c>
      <c r="J34" s="7" t="inlineStr">
        <is>
          <t>Week 1 seed data (Jul 1-6, 2026 total)</t>
        </is>
      </c>
    </row>
    <row r="35">
      <c r="A35" s="6" t="n">
        <v>46204</v>
      </c>
      <c r="B35" s="7" t="inlineStr">
        <is>
          <t>Site 1</t>
        </is>
      </c>
      <c r="C35" s="7" t="inlineStr">
        <is>
          <t>Unknown Supplier</t>
        </is>
      </c>
      <c r="D35" s="7" t="inlineStr">
        <is>
          <t>G0073</t>
        </is>
      </c>
      <c r="E35" s="7" t="inlineStr">
        <is>
          <t>1Gang 1Switch</t>
        </is>
      </c>
      <c r="F35" s="7" t="inlineStr">
        <is>
          <t>graib</t>
        </is>
      </c>
      <c r="G35" s="8" t="n">
        <v>1</v>
      </c>
      <c r="H35" s="9" t="n">
        <v>2.5</v>
      </c>
      <c r="I35" s="10">
        <f>IF(G35="","",G35*H35)</f>
        <v/>
      </c>
      <c r="J35" s="7" t="inlineStr">
        <is>
          <t>Week 1 seed data (Jul 1-6, 2026 total)</t>
        </is>
      </c>
    </row>
    <row r="36">
      <c r="A36" s="6" t="n">
        <v>46204</v>
      </c>
      <c r="B36" s="7" t="inlineStr">
        <is>
          <t>Site 1</t>
        </is>
      </c>
      <c r="C36" s="7" t="inlineStr">
        <is>
          <t>Unknown Supplier</t>
        </is>
      </c>
      <c r="D36" s="7" t="inlineStr">
        <is>
          <t>G0074</t>
        </is>
      </c>
      <c r="E36" s="7" t="inlineStr">
        <is>
          <t>breaker 2</t>
        </is>
      </c>
      <c r="F36" s="7" t="inlineStr">
        <is>
          <t>graib</t>
        </is>
      </c>
      <c r="G36" s="8" t="n">
        <v>1</v>
      </c>
      <c r="H36" s="9" t="n">
        <v>2</v>
      </c>
      <c r="I36" s="10">
        <f>IF(G36="","",G36*H36)</f>
        <v/>
      </c>
      <c r="J36" s="7" t="inlineStr">
        <is>
          <t>Week 1 seed data (Jul 1-6, 2026 total)</t>
        </is>
      </c>
    </row>
    <row r="37">
      <c r="A37" s="6" t="n">
        <v>46204</v>
      </c>
      <c r="B37" s="7" t="inlineStr">
        <is>
          <t>Site 1</t>
        </is>
      </c>
      <c r="C37" s="7" t="inlineStr">
        <is>
          <t>Unknown Supplier</t>
        </is>
      </c>
      <c r="D37" s="7" t="inlineStr">
        <is>
          <t>G0075</t>
        </is>
      </c>
      <c r="E37" s="7" t="inlineStr">
        <is>
          <t>Cement (Con)</t>
        </is>
      </c>
      <c r="F37" s="7" t="inlineStr">
        <is>
          <t>bag</t>
        </is>
      </c>
      <c r="G37" s="8" t="n">
        <v>7</v>
      </c>
      <c r="H37" s="9" t="n">
        <v>19</v>
      </c>
      <c r="I37" s="10">
        <f>IF(G37="","",G37*H37)</f>
        <v/>
      </c>
      <c r="J37" s="7" t="inlineStr">
        <is>
          <t>Week 1 seed data (Jul 1-6, 2026 total)</t>
        </is>
      </c>
    </row>
    <row r="38">
      <c r="A38" s="6" t="n">
        <v>46204</v>
      </c>
      <c r="B38" s="7" t="inlineStr">
        <is>
          <t>Site 1</t>
        </is>
      </c>
      <c r="C38" s="7" t="inlineStr">
        <is>
          <t>Unknown Supplier</t>
        </is>
      </c>
      <c r="D38" s="7" t="inlineStr">
        <is>
          <t>G0076</t>
        </is>
      </c>
      <c r="E38" s="7" t="inlineStr">
        <is>
          <t>van 27</t>
        </is>
      </c>
      <c r="F38" s="7" t="inlineStr">
        <is>
          <t>graib</t>
        </is>
      </c>
      <c r="G38" s="8" t="n">
        <v>2</v>
      </c>
      <c r="H38" s="9" t="n">
        <v>0.75</v>
      </c>
      <c r="I38" s="10">
        <f>IF(G38="","",G38*H38)</f>
        <v/>
      </c>
      <c r="J38" s="7" t="inlineStr">
        <is>
          <t>Week 1 seed data (Jul 1-6, 2026 total)</t>
        </is>
      </c>
    </row>
    <row r="39">
      <c r="A39" s="6" t="n">
        <v>46204</v>
      </c>
      <c r="B39" s="7" t="inlineStr">
        <is>
          <t>Site 1</t>
        </is>
      </c>
      <c r="C39" s="7" t="inlineStr">
        <is>
          <t>Unknown Supplier</t>
        </is>
      </c>
      <c r="D39" s="7" t="inlineStr">
        <is>
          <t>G0077</t>
        </is>
      </c>
      <c r="E39" s="7" t="inlineStr">
        <is>
          <t>van 3/4</t>
        </is>
      </c>
      <c r="F39" s="7" t="inlineStr">
        <is>
          <t>graib</t>
        </is>
      </c>
      <c r="G39" s="8" t="n">
        <v>1</v>
      </c>
      <c r="H39" s="9" t="n">
        <v>1.13</v>
      </c>
      <c r="I39" s="10">
        <f>IF(G39="","",G39*H39)</f>
        <v/>
      </c>
      <c r="J39" s="7" t="inlineStr">
        <is>
          <t>Week 1 seed data (Jul 1-6, 2026 total)</t>
        </is>
      </c>
    </row>
    <row r="40">
      <c r="A40" s="6" t="n">
        <v>46204</v>
      </c>
      <c r="B40" s="7" t="inlineStr">
        <is>
          <t>Site 1</t>
        </is>
      </c>
      <c r="C40" s="7" t="inlineStr">
        <is>
          <t>Unknown Supplier</t>
        </is>
      </c>
      <c r="D40" s="7" t="inlineStr">
        <is>
          <t>G0078</t>
        </is>
      </c>
      <c r="E40" s="7" t="inlineStr">
        <is>
          <t>te 34 x 27</t>
        </is>
      </c>
      <c r="F40" s="7" t="inlineStr">
        <is>
          <t>graib</t>
        </is>
      </c>
      <c r="G40" s="8" t="n">
        <v>1</v>
      </c>
      <c r="H40" s="9" t="n">
        <v>0.88</v>
      </c>
      <c r="I40" s="10">
        <f>IF(G40="","",G40*H40)</f>
        <v/>
      </c>
      <c r="J40" s="7" t="inlineStr">
        <is>
          <t>Week 1 seed data (Jul 1-6, 2026 total)</t>
        </is>
      </c>
    </row>
    <row r="41">
      <c r="A41" s="6" t="n">
        <v>46204</v>
      </c>
      <c r="B41" s="7" t="inlineStr">
        <is>
          <t>Site 1</t>
        </is>
      </c>
      <c r="C41" s="7" t="inlineStr">
        <is>
          <t>Unknown Supplier</t>
        </is>
      </c>
      <c r="D41" s="7" t="inlineStr">
        <is>
          <t>G0079</t>
        </is>
      </c>
      <c r="E41" s="7" t="inlineStr">
        <is>
          <t>kaeng 27</t>
        </is>
      </c>
      <c r="F41" s="7" t="inlineStr">
        <is>
          <t>graib</t>
        </is>
      </c>
      <c r="G41" s="8" t="n">
        <v>3</v>
      </c>
      <c r="H41" s="9" t="n">
        <v>0.25</v>
      </c>
      <c r="I41" s="10">
        <f>IF(G41="","",G41*H41)</f>
        <v/>
      </c>
      <c r="J41" s="7" t="inlineStr">
        <is>
          <t>Week 1 seed data (Jul 1-6, 2026 total)</t>
        </is>
      </c>
    </row>
    <row r="42">
      <c r="A42" s="6" t="n">
        <v>46204</v>
      </c>
      <c r="B42" s="7" t="inlineStr">
        <is>
          <t>Site 1</t>
        </is>
      </c>
      <c r="C42" s="7" t="inlineStr">
        <is>
          <t>Unknown Supplier</t>
        </is>
      </c>
      <c r="D42" s="7" t="inlineStr">
        <is>
          <t>G0080</t>
        </is>
      </c>
      <c r="E42" s="7" t="inlineStr">
        <is>
          <t>kamlasvon 14ft</t>
        </is>
      </c>
      <c r="F42" s="7" t="inlineStr">
        <is>
          <t>graib</t>
        </is>
      </c>
      <c r="G42" s="8" t="n">
        <v>1</v>
      </c>
      <c r="H42" s="9" t="n">
        <v>5</v>
      </c>
      <c r="I42" s="10">
        <f>IF(G42="","",G42*H42)</f>
        <v/>
      </c>
      <c r="J42" s="7" t="inlineStr">
        <is>
          <t>Week 1 seed data (Jul 1-6, 2026 total)</t>
        </is>
      </c>
    </row>
    <row r="43">
      <c r="A43" s="6" t="n">
        <v>46204</v>
      </c>
      <c r="B43" s="7" t="inlineStr">
        <is>
          <t>Site 1</t>
        </is>
      </c>
      <c r="C43" s="7" t="inlineStr">
        <is>
          <t>Unknown Supplier</t>
        </is>
      </c>
      <c r="D43" s="7" t="inlineStr">
        <is>
          <t>G0081</t>
        </is>
      </c>
      <c r="E43" s="7" t="inlineStr">
        <is>
          <t>solar nidan</t>
        </is>
      </c>
      <c r="F43" s="7" t="inlineStr">
        <is>
          <t>graib</t>
        </is>
      </c>
      <c r="G43" s="8" t="n">
        <v>1</v>
      </c>
      <c r="H43" s="9" t="n">
        <v>40</v>
      </c>
      <c r="I43" s="10">
        <f>IF(G43="","",G43*H43)</f>
        <v/>
      </c>
      <c r="J43" s="7" t="inlineStr">
        <is>
          <t>Week 1 seed data (Jul 1-6, 2026 total)</t>
        </is>
      </c>
    </row>
    <row r="44">
      <c r="A44" s="6" t="n">
        <v>46204</v>
      </c>
      <c r="B44" s="7" t="inlineStr">
        <is>
          <t>Site 1</t>
        </is>
      </c>
      <c r="C44" s="7" t="inlineStr">
        <is>
          <t>Unknown Supplier</t>
        </is>
      </c>
      <c r="D44" s="7" t="inlineStr">
        <is>
          <t>G0082</t>
        </is>
      </c>
      <c r="E44" s="7" t="inlineStr">
        <is>
          <t>romsev kod</t>
        </is>
      </c>
      <c r="F44" s="7" t="inlineStr">
        <is>
          <t>graib</t>
        </is>
      </c>
      <c r="G44" s="8" t="n">
        <v>7</v>
      </c>
      <c r="H44" s="9" t="n">
        <v>8</v>
      </c>
      <c r="I44" s="10">
        <f>IF(G44="","",G44*H44)</f>
        <v/>
      </c>
      <c r="J44" s="7" t="inlineStr">
        <is>
          <t>Week 1 seed data (Jul 1-6, 2026 total)</t>
        </is>
      </c>
    </row>
    <row r="45">
      <c r="A45" s="6" t="n">
        <v>46204</v>
      </c>
      <c r="B45" s="7" t="inlineStr">
        <is>
          <t>Site 1</t>
        </is>
      </c>
      <c r="C45" s="7" t="inlineStr">
        <is>
          <t>Unknown Supplier</t>
        </is>
      </c>
      <c r="D45" s="7" t="inlineStr">
        <is>
          <t>G0083</t>
        </is>
      </c>
      <c r="E45" s="7" t="inlineStr">
        <is>
          <t>koh 50</t>
        </is>
      </c>
      <c r="F45" s="7" t="inlineStr">
        <is>
          <t>graib</t>
        </is>
      </c>
      <c r="G45" s="8" t="n">
        <v>8</v>
      </c>
      <c r="H45" s="9" t="n">
        <v>1</v>
      </c>
      <c r="I45" s="10">
        <f>IF(G45="","",G45*H45)</f>
        <v/>
      </c>
      <c r="J45" s="7" t="inlineStr">
        <is>
          <t>Week 1 seed data (Jul 1-6, 2026 total)</t>
        </is>
      </c>
    </row>
    <row r="46">
      <c r="A46" s="6" t="n"/>
      <c r="B46" s="7" t="n"/>
      <c r="C46" s="7" t="n"/>
      <c r="D46" s="7" t="n"/>
      <c r="E46" s="7" t="n"/>
      <c r="F46" s="7" t="n"/>
      <c r="G46" s="8" t="n"/>
      <c r="H46" s="9" t="n"/>
      <c r="I46" s="10">
        <f>IF(G46="","",G46*H46)</f>
        <v/>
      </c>
      <c r="J46" s="7" t="n"/>
    </row>
    <row r="47">
      <c r="A47" s="6" t="n"/>
      <c r="B47" s="7" t="n"/>
      <c r="C47" s="7" t="n"/>
      <c r="D47" s="7" t="n"/>
      <c r="E47" s="7" t="n"/>
      <c r="F47" s="7" t="n"/>
      <c r="G47" s="8" t="n"/>
      <c r="H47" s="9" t="n"/>
      <c r="I47" s="10">
        <f>IF(G47="","",G47*H47)</f>
        <v/>
      </c>
      <c r="J47" s="7" t="n"/>
    </row>
    <row r="48">
      <c r="A48" s="6" t="n"/>
      <c r="B48" s="7" t="n"/>
      <c r="C48" s="7" t="n"/>
      <c r="D48" s="7" t="n"/>
      <c r="E48" s="7" t="n"/>
      <c r="F48" s="7" t="n"/>
      <c r="G48" s="8" t="n"/>
      <c r="H48" s="9" t="n"/>
      <c r="I48" s="10">
        <f>IF(G48="","",G48*H48)</f>
        <v/>
      </c>
      <c r="J48" s="7" t="n"/>
    </row>
    <row r="49">
      <c r="A49" s="6" t="n"/>
      <c r="B49" s="7" t="n"/>
      <c r="C49" s="7" t="n"/>
      <c r="D49" s="7" t="n"/>
      <c r="E49" s="7" t="n"/>
      <c r="F49" s="7" t="n"/>
      <c r="G49" s="8" t="n"/>
      <c r="H49" s="9" t="n"/>
      <c r="I49" s="10">
        <f>IF(G49="","",G49*H49)</f>
        <v/>
      </c>
      <c r="J49" s="7" t="n"/>
    </row>
    <row r="50">
      <c r="A50" s="6" t="n"/>
      <c r="B50" s="7" t="n"/>
      <c r="C50" s="7" t="n"/>
      <c r="D50" s="7" t="n"/>
      <c r="E50" s="7" t="n"/>
      <c r="F50" s="7" t="n"/>
      <c r="G50" s="8" t="n"/>
      <c r="H50" s="9" t="n"/>
      <c r="I50" s="10">
        <f>IF(G50="","",G50*H50)</f>
        <v/>
      </c>
      <c r="J50" s="7" t="n"/>
    </row>
    <row r="51">
      <c r="A51" s="6" t="n"/>
      <c r="B51" s="7" t="n"/>
      <c r="C51" s="7" t="n"/>
      <c r="D51" s="7" t="n"/>
      <c r="E51" s="7" t="n"/>
      <c r="F51" s="7" t="n"/>
      <c r="G51" s="8" t="n"/>
      <c r="H51" s="9" t="n"/>
      <c r="I51" s="10">
        <f>IF(G51="","",G51*H51)</f>
        <v/>
      </c>
      <c r="J51" s="7" t="n"/>
    </row>
    <row r="52">
      <c r="A52" s="6" t="n"/>
      <c r="B52" s="7" t="n"/>
      <c r="C52" s="7" t="n"/>
      <c r="D52" s="7" t="n"/>
      <c r="E52" s="7" t="n"/>
      <c r="F52" s="7" t="n"/>
      <c r="G52" s="8" t="n"/>
      <c r="H52" s="9" t="n"/>
      <c r="I52" s="10">
        <f>IF(G52="","",G52*H52)</f>
        <v/>
      </c>
      <c r="J52" s="7" t="n"/>
    </row>
    <row r="53">
      <c r="A53" s="6" t="n"/>
      <c r="B53" s="7" t="n"/>
      <c r="C53" s="7" t="n"/>
      <c r="D53" s="7" t="n"/>
      <c r="E53" s="7" t="n"/>
      <c r="F53" s="7" t="n"/>
      <c r="G53" s="8" t="n"/>
      <c r="H53" s="9" t="n"/>
      <c r="I53" s="10">
        <f>IF(G53="","",G53*H53)</f>
        <v/>
      </c>
      <c r="J53" s="7" t="n"/>
    </row>
    <row r="54">
      <c r="A54" s="6" t="n"/>
      <c r="B54" s="7" t="n"/>
      <c r="C54" s="7" t="n"/>
      <c r="D54" s="7" t="n"/>
      <c r="E54" s="7" t="n"/>
      <c r="F54" s="7" t="n"/>
      <c r="G54" s="8" t="n"/>
      <c r="H54" s="9" t="n"/>
      <c r="I54" s="10">
        <f>IF(G54="","",G54*H54)</f>
        <v/>
      </c>
      <c r="J54" s="7" t="n"/>
    </row>
    <row r="55">
      <c r="A55" s="6" t="n"/>
      <c r="B55" s="7" t="n"/>
      <c r="C55" s="7" t="n"/>
      <c r="D55" s="7" t="n"/>
      <c r="E55" s="7" t="n"/>
      <c r="F55" s="7" t="n"/>
      <c r="G55" s="8" t="n"/>
      <c r="H55" s="9" t="n"/>
      <c r="I55" s="10">
        <f>IF(G55="","",G55*H55)</f>
        <v/>
      </c>
      <c r="J55" s="7" t="n"/>
    </row>
    <row r="56">
      <c r="A56" s="6" t="n"/>
      <c r="B56" s="7" t="n"/>
      <c r="C56" s="7" t="n"/>
      <c r="D56" s="7" t="n"/>
      <c r="E56" s="7" t="n"/>
      <c r="F56" s="7" t="n"/>
      <c r="G56" s="8" t="n"/>
      <c r="H56" s="9" t="n"/>
      <c r="I56" s="10">
        <f>IF(G56="","",G56*H56)</f>
        <v/>
      </c>
      <c r="J56" s="7" t="n"/>
    </row>
    <row r="57">
      <c r="A57" s="6" t="n"/>
      <c r="B57" s="7" t="n"/>
      <c r="C57" s="7" t="n"/>
      <c r="D57" s="7" t="n"/>
      <c r="E57" s="7" t="n"/>
      <c r="F57" s="7" t="n"/>
      <c r="G57" s="8" t="n"/>
      <c r="H57" s="9" t="n"/>
      <c r="I57" s="10">
        <f>IF(G57="","",G57*H57)</f>
        <v/>
      </c>
      <c r="J57" s="7" t="n"/>
    </row>
    <row r="58">
      <c r="A58" s="6" t="n"/>
      <c r="B58" s="7" t="n"/>
      <c r="C58" s="7" t="n"/>
      <c r="D58" s="7" t="n"/>
      <c r="E58" s="7" t="n"/>
      <c r="F58" s="7" t="n"/>
      <c r="G58" s="8" t="n"/>
      <c r="H58" s="9" t="n"/>
      <c r="I58" s="10">
        <f>IF(G58="","",G58*H58)</f>
        <v/>
      </c>
      <c r="J58" s="7" t="n"/>
    </row>
    <row r="59">
      <c r="A59" s="6" t="n"/>
      <c r="B59" s="7" t="n"/>
      <c r="C59" s="7" t="n"/>
      <c r="D59" s="7" t="n"/>
      <c r="E59" s="7" t="n"/>
      <c r="F59" s="7" t="n"/>
      <c r="G59" s="8" t="n"/>
      <c r="H59" s="9" t="n"/>
      <c r="I59" s="10">
        <f>IF(G59="","",G59*H59)</f>
        <v/>
      </c>
      <c r="J59" s="7" t="n"/>
    </row>
    <row r="60">
      <c r="A60" s="6" t="n"/>
      <c r="B60" s="7" t="n"/>
      <c r="C60" s="7" t="n"/>
      <c r="D60" s="7" t="n"/>
      <c r="E60" s="7" t="n"/>
      <c r="F60" s="7" t="n"/>
      <c r="G60" s="8" t="n"/>
      <c r="H60" s="9" t="n"/>
      <c r="I60" s="10">
        <f>IF(G60="","",G60*H60)</f>
        <v/>
      </c>
      <c r="J60" s="7" t="n"/>
    </row>
    <row r="61">
      <c r="A61" s="6" t="n"/>
      <c r="B61" s="7" t="n"/>
      <c r="C61" s="7" t="n"/>
      <c r="D61" s="7" t="n"/>
      <c r="E61" s="7" t="n"/>
      <c r="F61" s="7" t="n"/>
      <c r="G61" s="8" t="n"/>
      <c r="H61" s="9" t="n"/>
      <c r="I61" s="10">
        <f>IF(G61="","",G61*H61)</f>
        <v/>
      </c>
      <c r="J61" s="7" t="n"/>
    </row>
    <row r="62">
      <c r="A62" s="6" t="n"/>
      <c r="B62" s="7" t="n"/>
      <c r="C62" s="7" t="n"/>
      <c r="D62" s="7" t="n"/>
      <c r="E62" s="7" t="n"/>
      <c r="F62" s="7" t="n"/>
      <c r="G62" s="8" t="n"/>
      <c r="H62" s="9" t="n"/>
      <c r="I62" s="10">
        <f>IF(G62="","",G62*H62)</f>
        <v/>
      </c>
      <c r="J62" s="7" t="n"/>
    </row>
    <row r="63">
      <c r="A63" s="6" t="n"/>
      <c r="B63" s="7" t="n"/>
      <c r="C63" s="7" t="n"/>
      <c r="D63" s="7" t="n"/>
      <c r="E63" s="7" t="n"/>
      <c r="F63" s="7" t="n"/>
      <c r="G63" s="8" t="n"/>
      <c r="H63" s="9" t="n"/>
      <c r="I63" s="10">
        <f>IF(G63="","",G63*H63)</f>
        <v/>
      </c>
      <c r="J63" s="7" t="n"/>
    </row>
    <row r="64">
      <c r="A64" s="6" t="n"/>
      <c r="B64" s="7" t="n"/>
      <c r="C64" s="7" t="n"/>
      <c r="D64" s="7" t="n"/>
      <c r="E64" s="7" t="n"/>
      <c r="F64" s="7" t="n"/>
      <c r="G64" s="8" t="n"/>
      <c r="H64" s="9" t="n"/>
      <c r="I64" s="10">
        <f>IF(G64="","",G64*H64)</f>
        <v/>
      </c>
      <c r="J64" s="7" t="n"/>
    </row>
    <row r="65">
      <c r="A65" s="6" t="n"/>
      <c r="B65" s="7" t="n"/>
      <c r="C65" s="7" t="n"/>
      <c r="D65" s="7" t="n"/>
      <c r="E65" s="7" t="n"/>
      <c r="F65" s="7" t="n"/>
      <c r="G65" s="8" t="n"/>
      <c r="H65" s="9" t="n"/>
      <c r="I65" s="10">
        <f>IF(G65="","",G65*H65)</f>
        <v/>
      </c>
      <c r="J65" s="7" t="n"/>
    </row>
    <row r="66">
      <c r="A66" s="6" t="n"/>
      <c r="B66" s="7" t="n"/>
      <c r="C66" s="7" t="n"/>
      <c r="D66" s="7" t="n"/>
      <c r="E66" s="7" t="n"/>
      <c r="F66" s="7" t="n"/>
      <c r="G66" s="8" t="n"/>
      <c r="H66" s="9" t="n"/>
      <c r="I66" s="10">
        <f>IF(G66="","",G66*H66)</f>
        <v/>
      </c>
      <c r="J66" s="7" t="n"/>
    </row>
    <row r="67">
      <c r="A67" s="6" t="n"/>
      <c r="B67" s="7" t="n"/>
      <c r="C67" s="7" t="n"/>
      <c r="D67" s="7" t="n"/>
      <c r="E67" s="7" t="n"/>
      <c r="F67" s="7" t="n"/>
      <c r="G67" s="8" t="n"/>
      <c r="H67" s="9" t="n"/>
      <c r="I67" s="10">
        <f>IF(G67="","",G67*H67)</f>
        <v/>
      </c>
      <c r="J67" s="7" t="n"/>
    </row>
    <row r="68">
      <c r="A68" s="6" t="n"/>
      <c r="B68" s="7" t="n"/>
      <c r="C68" s="7" t="n"/>
      <c r="D68" s="7" t="n"/>
      <c r="E68" s="7" t="n"/>
      <c r="F68" s="7" t="n"/>
      <c r="G68" s="8" t="n"/>
      <c r="H68" s="9" t="n"/>
      <c r="I68" s="10">
        <f>IF(G68="","",G68*H68)</f>
        <v/>
      </c>
      <c r="J68" s="7" t="n"/>
    </row>
    <row r="69">
      <c r="A69" s="6" t="n"/>
      <c r="B69" s="7" t="n"/>
      <c r="C69" s="7" t="n"/>
      <c r="D69" s="7" t="n"/>
      <c r="E69" s="7" t="n"/>
      <c r="F69" s="7" t="n"/>
      <c r="G69" s="8" t="n"/>
      <c r="H69" s="9" t="n"/>
      <c r="I69" s="10">
        <f>IF(G69="","",G69*H69)</f>
        <v/>
      </c>
      <c r="J69" s="7" t="n"/>
    </row>
    <row r="70">
      <c r="A70" s="6" t="n"/>
      <c r="B70" s="7" t="n"/>
      <c r="C70" s="7" t="n"/>
      <c r="D70" s="7" t="n"/>
      <c r="E70" s="7" t="n"/>
      <c r="F70" s="7" t="n"/>
      <c r="G70" s="8" t="n"/>
      <c r="H70" s="9" t="n"/>
      <c r="I70" s="10">
        <f>IF(G70="","",G70*H70)</f>
        <v/>
      </c>
      <c r="J70" s="7" t="n"/>
    </row>
    <row r="71">
      <c r="A71" s="6" t="n"/>
      <c r="B71" s="7" t="n"/>
      <c r="C71" s="7" t="n"/>
      <c r="D71" s="7" t="n"/>
      <c r="E71" s="7" t="n"/>
      <c r="F71" s="7" t="n"/>
      <c r="G71" s="8" t="n"/>
      <c r="H71" s="9" t="n"/>
      <c r="I71" s="10">
        <f>IF(G71="","",G71*H71)</f>
        <v/>
      </c>
      <c r="J71" s="7" t="n"/>
    </row>
    <row r="72">
      <c r="A72" s="6" t="n"/>
      <c r="B72" s="7" t="n"/>
      <c r="C72" s="7" t="n"/>
      <c r="D72" s="7" t="n"/>
      <c r="E72" s="7" t="n"/>
      <c r="F72" s="7" t="n"/>
      <c r="G72" s="8" t="n"/>
      <c r="H72" s="9" t="n"/>
      <c r="I72" s="10">
        <f>IF(G72="","",G72*H72)</f>
        <v/>
      </c>
      <c r="J72" s="7" t="n"/>
    </row>
    <row r="73">
      <c r="A73" s="6" t="n"/>
      <c r="B73" s="7" t="n"/>
      <c r="C73" s="7" t="n"/>
      <c r="D73" s="7" t="n"/>
      <c r="E73" s="7" t="n"/>
      <c r="F73" s="7" t="n"/>
      <c r="G73" s="8" t="n"/>
      <c r="H73" s="9" t="n"/>
      <c r="I73" s="10">
        <f>IF(G73="","",G73*H73)</f>
        <v/>
      </c>
      <c r="J73" s="7" t="n"/>
    </row>
    <row r="74">
      <c r="A74" s="6" t="n"/>
      <c r="B74" s="7" t="n"/>
      <c r="C74" s="7" t="n"/>
      <c r="D74" s="7" t="n"/>
      <c r="E74" s="7" t="n"/>
      <c r="F74" s="7" t="n"/>
      <c r="G74" s="8" t="n"/>
      <c r="H74" s="9" t="n"/>
      <c r="I74" s="10">
        <f>IF(G74="","",G74*H74)</f>
        <v/>
      </c>
      <c r="J74" s="7" t="n"/>
    </row>
    <row r="75">
      <c r="A75" s="6" t="n"/>
      <c r="B75" s="7" t="n"/>
      <c r="C75" s="7" t="n"/>
      <c r="D75" s="7" t="n"/>
      <c r="E75" s="7" t="n"/>
      <c r="F75" s="7" t="n"/>
      <c r="G75" s="8" t="n"/>
      <c r="H75" s="9" t="n"/>
      <c r="I75" s="10">
        <f>IF(G75="","",G75*H75)</f>
        <v/>
      </c>
      <c r="J75" s="7" t="n"/>
    </row>
    <row r="76">
      <c r="A76" s="6" t="n"/>
      <c r="B76" s="7" t="n"/>
      <c r="C76" s="7" t="n"/>
      <c r="D76" s="7" t="n"/>
      <c r="E76" s="7" t="n"/>
      <c r="F76" s="7" t="n"/>
      <c r="G76" s="8" t="n"/>
      <c r="H76" s="9" t="n"/>
      <c r="I76" s="10">
        <f>IF(G76="","",G76*H76)</f>
        <v/>
      </c>
      <c r="J76" s="7" t="n"/>
    </row>
    <row r="77">
      <c r="A77" s="6" t="n"/>
      <c r="B77" s="7" t="n"/>
      <c r="C77" s="7" t="n"/>
      <c r="D77" s="7" t="n"/>
      <c r="E77" s="7" t="n"/>
      <c r="F77" s="7" t="n"/>
      <c r="G77" s="8" t="n"/>
      <c r="H77" s="9" t="n"/>
      <c r="I77" s="10">
        <f>IF(G77="","",G77*H77)</f>
        <v/>
      </c>
      <c r="J77" s="7" t="n"/>
    </row>
    <row r="78">
      <c r="A78" s="6" t="n"/>
      <c r="B78" s="7" t="n"/>
      <c r="C78" s="7" t="n"/>
      <c r="D78" s="7" t="n"/>
      <c r="E78" s="7" t="n"/>
      <c r="F78" s="7" t="n"/>
      <c r="G78" s="8" t="n"/>
      <c r="H78" s="9" t="n"/>
      <c r="I78" s="10">
        <f>IF(G78="","",G78*H78)</f>
        <v/>
      </c>
      <c r="J78" s="7" t="n"/>
    </row>
    <row r="79">
      <c r="A79" s="6" t="n"/>
      <c r="B79" s="7" t="n"/>
      <c r="C79" s="7" t="n"/>
      <c r="D79" s="7" t="n"/>
      <c r="E79" s="7" t="n"/>
      <c r="F79" s="7" t="n"/>
      <c r="G79" s="8" t="n"/>
      <c r="H79" s="9" t="n"/>
      <c r="I79" s="10">
        <f>IF(G79="","",G79*H79)</f>
        <v/>
      </c>
      <c r="J79" s="7" t="n"/>
    </row>
    <row r="80">
      <c r="A80" s="6" t="n"/>
      <c r="B80" s="7" t="n"/>
      <c r="C80" s="7" t="n"/>
      <c r="D80" s="7" t="n"/>
      <c r="E80" s="7" t="n"/>
      <c r="F80" s="7" t="n"/>
      <c r="G80" s="8" t="n"/>
      <c r="H80" s="9" t="n"/>
      <c r="I80" s="10">
        <f>IF(G80="","",G80*H80)</f>
        <v/>
      </c>
      <c r="J80" s="7" t="n"/>
    </row>
    <row r="81">
      <c r="A81" s="6" t="n"/>
      <c r="B81" s="7" t="n"/>
      <c r="C81" s="7" t="n"/>
      <c r="D81" s="7" t="n"/>
      <c r="E81" s="7" t="n"/>
      <c r="F81" s="7" t="n"/>
      <c r="G81" s="8" t="n"/>
      <c r="H81" s="9" t="n"/>
      <c r="I81" s="10">
        <f>IF(G81="","",G81*H81)</f>
        <v/>
      </c>
      <c r="J81" s="7" t="n"/>
    </row>
    <row r="82">
      <c r="A82" s="6" t="n"/>
      <c r="B82" s="7" t="n"/>
      <c r="C82" s="7" t="n"/>
      <c r="D82" s="7" t="n"/>
      <c r="E82" s="7" t="n"/>
      <c r="F82" s="7" t="n"/>
      <c r="G82" s="8" t="n"/>
      <c r="H82" s="9" t="n"/>
      <c r="I82" s="10">
        <f>IF(G82="","",G82*H82)</f>
        <v/>
      </c>
      <c r="J82" s="7" t="n"/>
    </row>
    <row r="83">
      <c r="A83" s="6" t="n"/>
      <c r="B83" s="7" t="n"/>
      <c r="C83" s="7" t="n"/>
      <c r="D83" s="7" t="n"/>
      <c r="E83" s="7" t="n"/>
      <c r="F83" s="7" t="n"/>
      <c r="G83" s="8" t="n"/>
      <c r="H83" s="9" t="n"/>
      <c r="I83" s="10">
        <f>IF(G83="","",G83*H83)</f>
        <v/>
      </c>
      <c r="J83" s="7" t="n"/>
    </row>
    <row r="84">
      <c r="A84" s="6" t="n"/>
      <c r="B84" s="7" t="n"/>
      <c r="C84" s="7" t="n"/>
      <c r="D84" s="7" t="n"/>
      <c r="E84" s="7" t="n"/>
      <c r="F84" s="7" t="n"/>
      <c r="G84" s="8" t="n"/>
      <c r="H84" s="9" t="n"/>
      <c r="I84" s="10">
        <f>IF(G84="","",G84*H84)</f>
        <v/>
      </c>
      <c r="J84" s="7" t="n"/>
    </row>
    <row r="85">
      <c r="A85" s="6" t="n"/>
      <c r="B85" s="7" t="n"/>
      <c r="C85" s="7" t="n"/>
      <c r="D85" s="7" t="n"/>
      <c r="E85" s="7" t="n"/>
      <c r="F85" s="7" t="n"/>
      <c r="G85" s="8" t="n"/>
      <c r="H85" s="9" t="n"/>
      <c r="I85" s="10">
        <f>IF(G85="","",G85*H85)</f>
        <v/>
      </c>
      <c r="J85" s="7" t="n"/>
    </row>
    <row r="86">
      <c r="A86" s="6" t="n"/>
      <c r="B86" s="7" t="n"/>
      <c r="C86" s="7" t="n"/>
      <c r="D86" s="7" t="n"/>
      <c r="E86" s="7" t="n"/>
      <c r="F86" s="7" t="n"/>
      <c r="G86" s="8" t="n"/>
      <c r="H86" s="9" t="n"/>
      <c r="I86" s="10">
        <f>IF(G86="","",G86*H86)</f>
        <v/>
      </c>
      <c r="J86" s="7" t="n"/>
    </row>
    <row r="87">
      <c r="A87" s="6" t="n"/>
      <c r="B87" s="7" t="n"/>
      <c r="C87" s="7" t="n"/>
      <c r="D87" s="7" t="n"/>
      <c r="E87" s="7" t="n"/>
      <c r="F87" s="7" t="n"/>
      <c r="G87" s="8" t="n"/>
      <c r="H87" s="9" t="n"/>
      <c r="I87" s="10">
        <f>IF(G87="","",G87*H87)</f>
        <v/>
      </c>
      <c r="J87" s="7" t="n"/>
    </row>
    <row r="88">
      <c r="A88" s="6" t="n"/>
      <c r="B88" s="7" t="n"/>
      <c r="C88" s="7" t="n"/>
      <c r="D88" s="7" t="n"/>
      <c r="E88" s="7" t="n"/>
      <c r="F88" s="7" t="n"/>
      <c r="G88" s="8" t="n"/>
      <c r="H88" s="9" t="n"/>
      <c r="I88" s="10">
        <f>IF(G88="","",G88*H88)</f>
        <v/>
      </c>
      <c r="J88" s="7" t="n"/>
    </row>
    <row r="89">
      <c r="A89" s="6" t="n"/>
      <c r="B89" s="7" t="n"/>
      <c r="C89" s="7" t="n"/>
      <c r="D89" s="7" t="n"/>
      <c r="E89" s="7" t="n"/>
      <c r="F89" s="7" t="n"/>
      <c r="G89" s="8" t="n"/>
      <c r="H89" s="9" t="n"/>
      <c r="I89" s="10">
        <f>IF(G89="","",G89*H89)</f>
        <v/>
      </c>
      <c r="J89" s="7" t="n"/>
    </row>
    <row r="90">
      <c r="A90" s="6" t="n"/>
      <c r="B90" s="7" t="n"/>
      <c r="C90" s="7" t="n"/>
      <c r="D90" s="7" t="n"/>
      <c r="E90" s="7" t="n"/>
      <c r="F90" s="7" t="n"/>
      <c r="G90" s="8" t="n"/>
      <c r="H90" s="9" t="n"/>
      <c r="I90" s="10">
        <f>IF(G90="","",G90*H90)</f>
        <v/>
      </c>
      <c r="J90" s="7" t="n"/>
    </row>
    <row r="91">
      <c r="A91" s="6" t="n"/>
      <c r="B91" s="7" t="n"/>
      <c r="C91" s="7" t="n"/>
      <c r="D91" s="7" t="n"/>
      <c r="E91" s="7" t="n"/>
      <c r="F91" s="7" t="n"/>
      <c r="G91" s="8" t="n"/>
      <c r="H91" s="9" t="n"/>
      <c r="I91" s="10">
        <f>IF(G91="","",G91*H91)</f>
        <v/>
      </c>
      <c r="J91" s="7" t="n"/>
    </row>
    <row r="92">
      <c r="A92" s="6" t="n"/>
      <c r="B92" s="7" t="n"/>
      <c r="C92" s="7" t="n"/>
      <c r="D92" s="7" t="n"/>
      <c r="E92" s="7" t="n"/>
      <c r="F92" s="7" t="n"/>
      <c r="G92" s="8" t="n"/>
      <c r="H92" s="9" t="n"/>
      <c r="I92" s="10">
        <f>IF(G92="","",G92*H92)</f>
        <v/>
      </c>
      <c r="J92" s="7" t="n"/>
    </row>
    <row r="93">
      <c r="A93" s="6" t="n"/>
      <c r="B93" s="7" t="n"/>
      <c r="C93" s="7" t="n"/>
      <c r="D93" s="7" t="n"/>
      <c r="E93" s="7" t="n"/>
      <c r="F93" s="7" t="n"/>
      <c r="G93" s="8" t="n"/>
      <c r="H93" s="9" t="n"/>
      <c r="I93" s="10">
        <f>IF(G93="","",G93*H93)</f>
        <v/>
      </c>
      <c r="J93" s="7" t="n"/>
    </row>
    <row r="94">
      <c r="A94" s="6" t="n"/>
      <c r="B94" s="7" t="n"/>
      <c r="C94" s="7" t="n"/>
      <c r="D94" s="7" t="n"/>
      <c r="E94" s="7" t="n"/>
      <c r="F94" s="7" t="n"/>
      <c r="G94" s="8" t="n"/>
      <c r="H94" s="9" t="n"/>
      <c r="I94" s="10">
        <f>IF(G94="","",G94*H94)</f>
        <v/>
      </c>
      <c r="J94" s="7" t="n"/>
    </row>
    <row r="95">
      <c r="A95" s="6" t="n"/>
      <c r="B95" s="7" t="n"/>
      <c r="C95" s="7" t="n"/>
      <c r="D95" s="7" t="n"/>
      <c r="E95" s="7" t="n"/>
      <c r="F95" s="7" t="n"/>
      <c r="G95" s="8" t="n"/>
      <c r="H95" s="9" t="n"/>
      <c r="I95" s="10">
        <f>IF(G95="","",G95*H95)</f>
        <v/>
      </c>
      <c r="J95" s="7" t="n"/>
    </row>
    <row r="96">
      <c r="A96" s="6" t="n"/>
      <c r="B96" s="7" t="n"/>
      <c r="C96" s="7" t="n"/>
      <c r="D96" s="7" t="n"/>
      <c r="E96" s="7" t="n"/>
      <c r="F96" s="7" t="n"/>
      <c r="G96" s="8" t="n"/>
      <c r="H96" s="9" t="n"/>
      <c r="I96" s="10">
        <f>IF(G96="","",G96*H96)</f>
        <v/>
      </c>
      <c r="J96" s="7" t="n"/>
    </row>
    <row r="97">
      <c r="A97" s="6" t="n"/>
      <c r="B97" s="7" t="n"/>
      <c r="C97" s="7" t="n"/>
      <c r="D97" s="7" t="n"/>
      <c r="E97" s="7" t="n"/>
      <c r="F97" s="7" t="n"/>
      <c r="G97" s="8" t="n"/>
      <c r="H97" s="9" t="n"/>
      <c r="I97" s="10">
        <f>IF(G97="","",G97*H97)</f>
        <v/>
      </c>
      <c r="J97" s="7" t="n"/>
    </row>
    <row r="98">
      <c r="A98" s="6" t="n"/>
      <c r="B98" s="7" t="n"/>
      <c r="C98" s="7" t="n"/>
      <c r="D98" s="7" t="n"/>
      <c r="E98" s="7" t="n"/>
      <c r="F98" s="7" t="n"/>
      <c r="G98" s="8" t="n"/>
      <c r="H98" s="9" t="n"/>
      <c r="I98" s="10">
        <f>IF(G98="","",G98*H98)</f>
        <v/>
      </c>
      <c r="J98" s="7" t="n"/>
    </row>
    <row r="99">
      <c r="A99" s="6" t="n"/>
      <c r="B99" s="7" t="n"/>
      <c r="C99" s="7" t="n"/>
      <c r="D99" s="7" t="n"/>
      <c r="E99" s="7" t="n"/>
      <c r="F99" s="7" t="n"/>
      <c r="G99" s="8" t="n"/>
      <c r="H99" s="9" t="n"/>
      <c r="I99" s="10">
        <f>IF(G99="","",G99*H99)</f>
        <v/>
      </c>
      <c r="J99" s="7" t="n"/>
    </row>
    <row r="100">
      <c r="A100" s="6" t="n"/>
      <c r="B100" s="7" t="n"/>
      <c r="C100" s="7" t="n"/>
      <c r="D100" s="7" t="n"/>
      <c r="E100" s="7" t="n"/>
      <c r="F100" s="7" t="n"/>
      <c r="G100" s="8" t="n"/>
      <c r="H100" s="9" t="n"/>
      <c r="I100" s="10">
        <f>IF(G100="","",G100*H100)</f>
        <v/>
      </c>
      <c r="J100" s="7" t="n"/>
    </row>
    <row r="101">
      <c r="A101" s="6" t="n"/>
      <c r="B101" s="7" t="n"/>
      <c r="C101" s="7" t="n"/>
      <c r="D101" s="7" t="n"/>
      <c r="E101" s="7" t="n"/>
      <c r="F101" s="7" t="n"/>
      <c r="G101" s="8" t="n"/>
      <c r="H101" s="9" t="n"/>
      <c r="I101" s="10">
        <f>IF(G101="","",G101*H101)</f>
        <v/>
      </c>
      <c r="J101" s="7" t="n"/>
    </row>
    <row r="102">
      <c r="A102" s="6" t="n"/>
      <c r="B102" s="7" t="n"/>
      <c r="C102" s="7" t="n"/>
      <c r="D102" s="7" t="n"/>
      <c r="E102" s="7" t="n"/>
      <c r="F102" s="7" t="n"/>
      <c r="G102" s="8" t="n"/>
      <c r="H102" s="9" t="n"/>
      <c r="I102" s="10">
        <f>IF(G102="","",G102*H102)</f>
        <v/>
      </c>
      <c r="J102" s="7" t="n"/>
    </row>
    <row r="103">
      <c r="A103" s="6" t="n"/>
      <c r="B103" s="7" t="n"/>
      <c r="C103" s="7" t="n"/>
      <c r="D103" s="7" t="n"/>
      <c r="E103" s="7" t="n"/>
      <c r="F103" s="7" t="n"/>
      <c r="G103" s="8" t="n"/>
      <c r="H103" s="9" t="n"/>
      <c r="I103" s="10">
        <f>IF(G103="","",G103*H103)</f>
        <v/>
      </c>
      <c r="J103" s="7" t="n"/>
    </row>
    <row r="104">
      <c r="A104" s="6" t="n"/>
      <c r="B104" s="7" t="n"/>
      <c r="C104" s="7" t="n"/>
      <c r="D104" s="7" t="n"/>
      <c r="E104" s="7" t="n"/>
      <c r="F104" s="7" t="n"/>
      <c r="G104" s="8" t="n"/>
      <c r="H104" s="9" t="n"/>
      <c r="I104" s="10">
        <f>IF(G104="","",G104*H104)</f>
        <v/>
      </c>
      <c r="J104" s="7" t="n"/>
    </row>
    <row r="105">
      <c r="A105" s="6" t="n"/>
      <c r="B105" s="7" t="n"/>
      <c r="C105" s="7" t="n"/>
      <c r="D105" s="7" t="n"/>
      <c r="E105" s="7" t="n"/>
      <c r="F105" s="7" t="n"/>
      <c r="G105" s="8" t="n"/>
      <c r="H105" s="9" t="n"/>
      <c r="I105" s="10">
        <f>IF(G105="","",G105*H105)</f>
        <v/>
      </c>
      <c r="J105" s="7" t="n"/>
    </row>
    <row r="106">
      <c r="A106" s="6" t="n"/>
      <c r="B106" s="7" t="n"/>
      <c r="C106" s="7" t="n"/>
      <c r="D106" s="7" t="n"/>
      <c r="E106" s="7" t="n"/>
      <c r="F106" s="7" t="n"/>
      <c r="G106" s="8" t="n"/>
      <c r="H106" s="9" t="n"/>
      <c r="I106" s="10">
        <f>IF(G106="","",G106*H106)</f>
        <v/>
      </c>
      <c r="J106" s="7" t="n"/>
    </row>
    <row r="107">
      <c r="A107" s="6" t="n"/>
      <c r="B107" s="7" t="n"/>
      <c r="C107" s="7" t="n"/>
      <c r="D107" s="7" t="n"/>
      <c r="E107" s="7" t="n"/>
      <c r="F107" s="7" t="n"/>
      <c r="G107" s="8" t="n"/>
      <c r="H107" s="9" t="n"/>
      <c r="I107" s="10">
        <f>IF(G107="","",G107*H107)</f>
        <v/>
      </c>
      <c r="J107" s="7" t="n"/>
    </row>
    <row r="108">
      <c r="A108" s="6" t="n"/>
      <c r="B108" s="7" t="n"/>
      <c r="C108" s="7" t="n"/>
      <c r="D108" s="7" t="n"/>
      <c r="E108" s="7" t="n"/>
      <c r="F108" s="7" t="n"/>
      <c r="G108" s="8" t="n"/>
      <c r="H108" s="9" t="n"/>
      <c r="I108" s="10">
        <f>IF(G108="","",G108*H108)</f>
        <v/>
      </c>
      <c r="J108" s="7" t="n"/>
    </row>
    <row r="109">
      <c r="A109" s="6" t="n"/>
      <c r="B109" s="7" t="n"/>
      <c r="C109" s="7" t="n"/>
      <c r="D109" s="7" t="n"/>
      <c r="E109" s="7" t="n"/>
      <c r="F109" s="7" t="n"/>
      <c r="G109" s="8" t="n"/>
      <c r="H109" s="9" t="n"/>
      <c r="I109" s="10">
        <f>IF(G109="","",G109*H109)</f>
        <v/>
      </c>
      <c r="J109" s="7" t="n"/>
    </row>
    <row r="110">
      <c r="A110" s="6" t="n"/>
      <c r="B110" s="7" t="n"/>
      <c r="C110" s="7" t="n"/>
      <c r="D110" s="7" t="n"/>
      <c r="E110" s="7" t="n"/>
      <c r="F110" s="7" t="n"/>
      <c r="G110" s="8" t="n"/>
      <c r="H110" s="9" t="n"/>
      <c r="I110" s="10">
        <f>IF(G110="","",G110*H110)</f>
        <v/>
      </c>
      <c r="J110" s="7" t="n"/>
    </row>
    <row r="111">
      <c r="A111" s="6" t="n"/>
      <c r="B111" s="7" t="n"/>
      <c r="C111" s="7" t="n"/>
      <c r="D111" s="7" t="n"/>
      <c r="E111" s="7" t="n"/>
      <c r="F111" s="7" t="n"/>
      <c r="G111" s="8" t="n"/>
      <c r="H111" s="9" t="n"/>
      <c r="I111" s="10">
        <f>IF(G111="","",G111*H111)</f>
        <v/>
      </c>
      <c r="J111" s="7" t="n"/>
    </row>
    <row r="112">
      <c r="A112" s="6" t="n"/>
      <c r="B112" s="7" t="n"/>
      <c r="C112" s="7" t="n"/>
      <c r="D112" s="7" t="n"/>
      <c r="E112" s="7" t="n"/>
      <c r="F112" s="7" t="n"/>
      <c r="G112" s="8" t="n"/>
      <c r="H112" s="9" t="n"/>
      <c r="I112" s="10">
        <f>IF(G112="","",G112*H112)</f>
        <v/>
      </c>
      <c r="J112" s="7" t="n"/>
    </row>
    <row r="113">
      <c r="A113" s="6" t="n"/>
      <c r="B113" s="7" t="n"/>
      <c r="C113" s="7" t="n"/>
      <c r="D113" s="7" t="n"/>
      <c r="E113" s="7" t="n"/>
      <c r="F113" s="7" t="n"/>
      <c r="G113" s="8" t="n"/>
      <c r="H113" s="9" t="n"/>
      <c r="I113" s="10">
        <f>IF(G113="","",G113*H113)</f>
        <v/>
      </c>
      <c r="J113" s="7" t="n"/>
    </row>
    <row r="114">
      <c r="A114" s="6" t="n"/>
      <c r="B114" s="7" t="n"/>
      <c r="C114" s="7" t="n"/>
      <c r="D114" s="7" t="n"/>
      <c r="E114" s="7" t="n"/>
      <c r="F114" s="7" t="n"/>
      <c r="G114" s="8" t="n"/>
      <c r="H114" s="9" t="n"/>
      <c r="I114" s="10">
        <f>IF(G114="","",G114*H114)</f>
        <v/>
      </c>
      <c r="J114" s="7" t="n"/>
    </row>
    <row r="115">
      <c r="A115" s="6" t="n"/>
      <c r="B115" s="7" t="n"/>
      <c r="C115" s="7" t="n"/>
      <c r="D115" s="7" t="n"/>
      <c r="E115" s="7" t="n"/>
      <c r="F115" s="7" t="n"/>
      <c r="G115" s="8" t="n"/>
      <c r="H115" s="9" t="n"/>
      <c r="I115" s="10">
        <f>IF(G115="","",G115*H115)</f>
        <v/>
      </c>
      <c r="J115" s="7" t="n"/>
    </row>
    <row r="116">
      <c r="A116" s="6" t="n"/>
      <c r="B116" s="7" t="n"/>
      <c r="C116" s="7" t="n"/>
      <c r="D116" s="7" t="n"/>
      <c r="E116" s="7" t="n"/>
      <c r="F116" s="7" t="n"/>
      <c r="G116" s="8" t="n"/>
      <c r="H116" s="9" t="n"/>
      <c r="I116" s="10">
        <f>IF(G116="","",G116*H116)</f>
        <v/>
      </c>
      <c r="J116" s="7" t="n"/>
    </row>
    <row r="117">
      <c r="A117" s="6" t="n"/>
      <c r="B117" s="7" t="n"/>
      <c r="C117" s="7" t="n"/>
      <c r="D117" s="7" t="n"/>
      <c r="E117" s="7" t="n"/>
      <c r="F117" s="7" t="n"/>
      <c r="G117" s="8" t="n"/>
      <c r="H117" s="9" t="n"/>
      <c r="I117" s="10">
        <f>IF(G117="","",G117*H117)</f>
        <v/>
      </c>
      <c r="J117" s="7" t="n"/>
    </row>
    <row r="118">
      <c r="A118" s="6" t="n"/>
      <c r="B118" s="7" t="n"/>
      <c r="C118" s="7" t="n"/>
      <c r="D118" s="7" t="n"/>
      <c r="E118" s="7" t="n"/>
      <c r="F118" s="7" t="n"/>
      <c r="G118" s="8" t="n"/>
      <c r="H118" s="9" t="n"/>
      <c r="I118" s="10">
        <f>IF(G118="","",G118*H118)</f>
        <v/>
      </c>
      <c r="J118" s="7" t="n"/>
    </row>
    <row r="119">
      <c r="A119" s="6" t="n"/>
      <c r="B119" s="7" t="n"/>
      <c r="C119" s="7" t="n"/>
      <c r="D119" s="7" t="n"/>
      <c r="E119" s="7" t="n"/>
      <c r="F119" s="7" t="n"/>
      <c r="G119" s="8" t="n"/>
      <c r="H119" s="9" t="n"/>
      <c r="I119" s="10">
        <f>IF(G119="","",G119*H119)</f>
        <v/>
      </c>
      <c r="J119" s="7" t="n"/>
    </row>
    <row r="120">
      <c r="A120" s="6" t="n"/>
      <c r="B120" s="7" t="n"/>
      <c r="C120" s="7" t="n"/>
      <c r="D120" s="7" t="n"/>
      <c r="E120" s="7" t="n"/>
      <c r="F120" s="7" t="n"/>
      <c r="G120" s="8" t="n"/>
      <c r="H120" s="9" t="n"/>
      <c r="I120" s="10">
        <f>IF(G120="","",G120*H120)</f>
        <v/>
      </c>
      <c r="J120" s="7" t="n"/>
    </row>
    <row r="121">
      <c r="A121" s="6" t="n"/>
      <c r="B121" s="7" t="n"/>
      <c r="C121" s="7" t="n"/>
      <c r="D121" s="7" t="n"/>
      <c r="E121" s="7" t="n"/>
      <c r="F121" s="7" t="n"/>
      <c r="G121" s="8" t="n"/>
      <c r="H121" s="9" t="n"/>
      <c r="I121" s="10">
        <f>IF(G121="","",G121*H121)</f>
        <v/>
      </c>
      <c r="J121" s="7" t="n"/>
    </row>
    <row r="122">
      <c r="A122" s="6" t="n"/>
      <c r="B122" s="7" t="n"/>
      <c r="C122" s="7" t="n"/>
      <c r="D122" s="7" t="n"/>
      <c r="E122" s="7" t="n"/>
      <c r="F122" s="7" t="n"/>
      <c r="G122" s="8" t="n"/>
      <c r="H122" s="9" t="n"/>
      <c r="I122" s="10">
        <f>IF(G122="","",G122*H122)</f>
        <v/>
      </c>
      <c r="J122" s="7" t="n"/>
    </row>
    <row r="123">
      <c r="A123" s="6" t="n"/>
      <c r="B123" s="7" t="n"/>
      <c r="C123" s="7" t="n"/>
      <c r="D123" s="7" t="n"/>
      <c r="E123" s="7" t="n"/>
      <c r="F123" s="7" t="n"/>
      <c r="G123" s="8" t="n"/>
      <c r="H123" s="9" t="n"/>
      <c r="I123" s="10">
        <f>IF(G123="","",G123*H123)</f>
        <v/>
      </c>
      <c r="J123" s="7" t="n"/>
    </row>
    <row r="124">
      <c r="A124" s="6" t="n"/>
      <c r="B124" s="7" t="n"/>
      <c r="C124" s="7" t="n"/>
      <c r="D124" s="7" t="n"/>
      <c r="E124" s="7" t="n"/>
      <c r="F124" s="7" t="n"/>
      <c r="G124" s="8" t="n"/>
      <c r="H124" s="9" t="n"/>
      <c r="I124" s="10">
        <f>IF(G124="","",G124*H124)</f>
        <v/>
      </c>
      <c r="J124" s="7" t="n"/>
    </row>
    <row r="125">
      <c r="A125" s="6" t="n"/>
      <c r="B125" s="7" t="n"/>
      <c r="C125" s="7" t="n"/>
      <c r="D125" s="7" t="n"/>
      <c r="E125" s="7" t="n"/>
      <c r="F125" s="7" t="n"/>
      <c r="G125" s="8" t="n"/>
      <c r="H125" s="9" t="n"/>
      <c r="I125" s="10">
        <f>IF(G125="","",G125*H125)</f>
        <v/>
      </c>
      <c r="J125" s="7" t="n"/>
    </row>
    <row r="126">
      <c r="A126" s="6" t="n"/>
      <c r="B126" s="7" t="n"/>
      <c r="C126" s="7" t="n"/>
      <c r="D126" s="7" t="n"/>
      <c r="E126" s="7" t="n"/>
      <c r="F126" s="7" t="n"/>
      <c r="G126" s="8" t="n"/>
      <c r="H126" s="9" t="n"/>
      <c r="I126" s="10">
        <f>IF(G126="","",G126*H126)</f>
        <v/>
      </c>
      <c r="J126" s="7" t="n"/>
    </row>
    <row r="127">
      <c r="A127" s="6" t="n"/>
      <c r="B127" s="7" t="n"/>
      <c r="C127" s="7" t="n"/>
      <c r="D127" s="7" t="n"/>
      <c r="E127" s="7" t="n"/>
      <c r="F127" s="7" t="n"/>
      <c r="G127" s="8" t="n"/>
      <c r="H127" s="9" t="n"/>
      <c r="I127" s="10">
        <f>IF(G127="","",G127*H127)</f>
        <v/>
      </c>
      <c r="J127" s="7" t="n"/>
    </row>
    <row r="128">
      <c r="A128" s="6" t="n"/>
      <c r="B128" s="7" t="n"/>
      <c r="C128" s="7" t="n"/>
      <c r="D128" s="7" t="n"/>
      <c r="E128" s="7" t="n"/>
      <c r="F128" s="7" t="n"/>
      <c r="G128" s="8" t="n"/>
      <c r="H128" s="9" t="n"/>
      <c r="I128" s="10">
        <f>IF(G128="","",G128*H128)</f>
        <v/>
      </c>
      <c r="J128" s="7" t="n"/>
    </row>
    <row r="129">
      <c r="A129" s="6" t="n"/>
      <c r="B129" s="7" t="n"/>
      <c r="C129" s="7" t="n"/>
      <c r="D129" s="7" t="n"/>
      <c r="E129" s="7" t="n"/>
      <c r="F129" s="7" t="n"/>
      <c r="G129" s="8" t="n"/>
      <c r="H129" s="9" t="n"/>
      <c r="I129" s="10">
        <f>IF(G129="","",G129*H129)</f>
        <v/>
      </c>
      <c r="J129" s="7" t="n"/>
    </row>
    <row r="130">
      <c r="A130" s="6" t="n"/>
      <c r="B130" s="7" t="n"/>
      <c r="C130" s="7" t="n"/>
      <c r="D130" s="7" t="n"/>
      <c r="E130" s="7" t="n"/>
      <c r="F130" s="7" t="n"/>
      <c r="G130" s="8" t="n"/>
      <c r="H130" s="9" t="n"/>
      <c r="I130" s="10">
        <f>IF(G130="","",G130*H130)</f>
        <v/>
      </c>
      <c r="J130" s="7" t="n"/>
    </row>
    <row r="131">
      <c r="A131" s="6" t="n"/>
      <c r="B131" s="7" t="n"/>
      <c r="C131" s="7" t="n"/>
      <c r="D131" s="7" t="n"/>
      <c r="E131" s="7" t="n"/>
      <c r="F131" s="7" t="n"/>
      <c r="G131" s="8" t="n"/>
      <c r="H131" s="9" t="n"/>
      <c r="I131" s="10">
        <f>IF(G131="","",G131*H131)</f>
        <v/>
      </c>
      <c r="J131" s="7" t="n"/>
    </row>
    <row r="132">
      <c r="A132" s="6" t="n"/>
      <c r="B132" s="7" t="n"/>
      <c r="C132" s="7" t="n"/>
      <c r="D132" s="7" t="n"/>
      <c r="E132" s="7" t="n"/>
      <c r="F132" s="7" t="n"/>
      <c r="G132" s="8" t="n"/>
      <c r="H132" s="9" t="n"/>
      <c r="I132" s="10">
        <f>IF(G132="","",G132*H132)</f>
        <v/>
      </c>
      <c r="J132" s="7" t="n"/>
    </row>
    <row r="133">
      <c r="A133" s="6" t="n"/>
      <c r="B133" s="7" t="n"/>
      <c r="C133" s="7" t="n"/>
      <c r="D133" s="7" t="n"/>
      <c r="E133" s="7" t="n"/>
      <c r="F133" s="7" t="n"/>
      <c r="G133" s="8" t="n"/>
      <c r="H133" s="9" t="n"/>
      <c r="I133" s="10">
        <f>IF(G133="","",G133*H133)</f>
        <v/>
      </c>
      <c r="J133" s="7" t="n"/>
    </row>
    <row r="134">
      <c r="A134" s="6" t="n"/>
      <c r="B134" s="7" t="n"/>
      <c r="C134" s="7" t="n"/>
      <c r="D134" s="7" t="n"/>
      <c r="E134" s="7" t="n"/>
      <c r="F134" s="7" t="n"/>
      <c r="G134" s="8" t="n"/>
      <c r="H134" s="9" t="n"/>
      <c r="I134" s="10">
        <f>IF(G134="","",G134*H134)</f>
        <v/>
      </c>
      <c r="J134" s="7" t="n"/>
    </row>
    <row r="135">
      <c r="A135" s="6" t="n"/>
      <c r="B135" s="7" t="n"/>
      <c r="C135" s="7" t="n"/>
      <c r="D135" s="7" t="n"/>
      <c r="E135" s="7" t="n"/>
      <c r="F135" s="7" t="n"/>
      <c r="G135" s="8" t="n"/>
      <c r="H135" s="9" t="n"/>
      <c r="I135" s="10">
        <f>IF(G135="","",G135*H135)</f>
        <v/>
      </c>
      <c r="J135" s="7" t="n"/>
    </row>
    <row r="136">
      <c r="A136" s="6" t="n"/>
      <c r="B136" s="7" t="n"/>
      <c r="C136" s="7" t="n"/>
      <c r="D136" s="7" t="n"/>
      <c r="E136" s="7" t="n"/>
      <c r="F136" s="7" t="n"/>
      <c r="G136" s="8" t="n"/>
      <c r="H136" s="9" t="n"/>
      <c r="I136" s="10">
        <f>IF(G136="","",G136*H136)</f>
        <v/>
      </c>
      <c r="J136" s="7" t="n"/>
    </row>
    <row r="137">
      <c r="A137" s="6" t="n"/>
      <c r="B137" s="7" t="n"/>
      <c r="C137" s="7" t="n"/>
      <c r="D137" s="7" t="n"/>
      <c r="E137" s="7" t="n"/>
      <c r="F137" s="7" t="n"/>
      <c r="G137" s="8" t="n"/>
      <c r="H137" s="9" t="n"/>
      <c r="I137" s="10">
        <f>IF(G137="","",G137*H137)</f>
        <v/>
      </c>
      <c r="J137" s="7" t="n"/>
    </row>
    <row r="138">
      <c r="A138" s="6" t="n"/>
      <c r="B138" s="7" t="n"/>
      <c r="C138" s="7" t="n"/>
      <c r="D138" s="7" t="n"/>
      <c r="E138" s="7" t="n"/>
      <c r="F138" s="7" t="n"/>
      <c r="G138" s="8" t="n"/>
      <c r="H138" s="9" t="n"/>
      <c r="I138" s="10">
        <f>IF(G138="","",G138*H138)</f>
        <v/>
      </c>
      <c r="J138" s="7" t="n"/>
    </row>
    <row r="139">
      <c r="A139" s="6" t="n"/>
      <c r="B139" s="7" t="n"/>
      <c r="C139" s="7" t="n"/>
      <c r="D139" s="7" t="n"/>
      <c r="E139" s="7" t="n"/>
      <c r="F139" s="7" t="n"/>
      <c r="G139" s="8" t="n"/>
      <c r="H139" s="9" t="n"/>
      <c r="I139" s="10">
        <f>IF(G139="","",G139*H139)</f>
        <v/>
      </c>
      <c r="J139" s="7" t="n"/>
    </row>
    <row r="140">
      <c r="A140" s="6" t="n"/>
      <c r="B140" s="7" t="n"/>
      <c r="C140" s="7" t="n"/>
      <c r="D140" s="7" t="n"/>
      <c r="E140" s="7" t="n"/>
      <c r="F140" s="7" t="n"/>
      <c r="G140" s="8" t="n"/>
      <c r="H140" s="9" t="n"/>
      <c r="I140" s="10">
        <f>IF(G140="","",G140*H140)</f>
        <v/>
      </c>
      <c r="J140" s="7" t="n"/>
    </row>
    <row r="141">
      <c r="A141" s="6" t="n"/>
      <c r="B141" s="7" t="n"/>
      <c r="C141" s="7" t="n"/>
      <c r="D141" s="7" t="n"/>
      <c r="E141" s="7" t="n"/>
      <c r="F141" s="7" t="n"/>
      <c r="G141" s="8" t="n"/>
      <c r="H141" s="9" t="n"/>
      <c r="I141" s="10">
        <f>IF(G141="","",G141*H141)</f>
        <v/>
      </c>
      <c r="J141" s="7" t="n"/>
    </row>
    <row r="142">
      <c r="A142" s="6" t="n"/>
      <c r="B142" s="7" t="n"/>
      <c r="C142" s="7" t="n"/>
      <c r="D142" s="7" t="n"/>
      <c r="E142" s="7" t="n"/>
      <c r="F142" s="7" t="n"/>
      <c r="G142" s="8" t="n"/>
      <c r="H142" s="9" t="n"/>
      <c r="I142" s="10">
        <f>IF(G142="","",G142*H142)</f>
        <v/>
      </c>
      <c r="J142" s="7" t="n"/>
    </row>
    <row r="143">
      <c r="A143" s="6" t="n"/>
      <c r="B143" s="7" t="n"/>
      <c r="C143" s="7" t="n"/>
      <c r="D143" s="7" t="n"/>
      <c r="E143" s="7" t="n"/>
      <c r="F143" s="7" t="n"/>
      <c r="G143" s="8" t="n"/>
      <c r="H143" s="9" t="n"/>
      <c r="I143" s="10">
        <f>IF(G143="","",G143*H143)</f>
        <v/>
      </c>
      <c r="J143" s="7" t="n"/>
    </row>
    <row r="144">
      <c r="A144" s="6" t="n"/>
      <c r="B144" s="7" t="n"/>
      <c r="C144" s="7" t="n"/>
      <c r="D144" s="7" t="n"/>
      <c r="E144" s="7" t="n"/>
      <c r="F144" s="7" t="n"/>
      <c r="G144" s="8" t="n"/>
      <c r="H144" s="9" t="n"/>
      <c r="I144" s="10">
        <f>IF(G144="","",G144*H144)</f>
        <v/>
      </c>
      <c r="J144" s="7" t="n"/>
    </row>
    <row r="145">
      <c r="A145" s="6" t="n"/>
      <c r="B145" s="7" t="n"/>
      <c r="C145" s="7" t="n"/>
      <c r="D145" s="7" t="n"/>
      <c r="E145" s="7" t="n"/>
      <c r="F145" s="7" t="n"/>
      <c r="G145" s="8" t="n"/>
      <c r="H145" s="9" t="n"/>
      <c r="I145" s="10">
        <f>IF(G145="","",G145*H145)</f>
        <v/>
      </c>
      <c r="J145" s="7" t="n"/>
    </row>
    <row r="146">
      <c r="A146" s="6" t="n"/>
      <c r="B146" s="7" t="n"/>
      <c r="C146" s="7" t="n"/>
      <c r="D146" s="7" t="n"/>
      <c r="E146" s="7" t="n"/>
      <c r="F146" s="7" t="n"/>
      <c r="G146" s="8" t="n"/>
      <c r="H146" s="9" t="n"/>
      <c r="I146" s="10">
        <f>IF(G146="","",G146*H146)</f>
        <v/>
      </c>
      <c r="J146" s="7" t="n"/>
    </row>
    <row r="147">
      <c r="A147" s="6" t="n"/>
      <c r="B147" s="7" t="n"/>
      <c r="C147" s="7" t="n"/>
      <c r="D147" s="7" t="n"/>
      <c r="E147" s="7" t="n"/>
      <c r="F147" s="7" t="n"/>
      <c r="G147" s="8" t="n"/>
      <c r="H147" s="9" t="n"/>
      <c r="I147" s="10">
        <f>IF(G147="","",G147*H147)</f>
        <v/>
      </c>
      <c r="J147" s="7" t="n"/>
    </row>
    <row r="148">
      <c r="A148" s="6" t="n"/>
      <c r="B148" s="7" t="n"/>
      <c r="C148" s="7" t="n"/>
      <c r="D148" s="7" t="n"/>
      <c r="E148" s="7" t="n"/>
      <c r="F148" s="7" t="n"/>
      <c r="G148" s="8" t="n"/>
      <c r="H148" s="9" t="n"/>
      <c r="I148" s="10">
        <f>IF(G148="","",G148*H148)</f>
        <v/>
      </c>
      <c r="J148" s="7" t="n"/>
    </row>
    <row r="149">
      <c r="A149" s="6" t="n"/>
      <c r="B149" s="7" t="n"/>
      <c r="C149" s="7" t="n"/>
      <c r="D149" s="7" t="n"/>
      <c r="E149" s="7" t="n"/>
      <c r="F149" s="7" t="n"/>
      <c r="G149" s="8" t="n"/>
      <c r="H149" s="9" t="n"/>
      <c r="I149" s="10">
        <f>IF(G149="","",G149*H149)</f>
        <v/>
      </c>
      <c r="J149" s="7" t="n"/>
    </row>
    <row r="150">
      <c r="A150" s="6" t="n"/>
      <c r="B150" s="7" t="n"/>
      <c r="C150" s="7" t="n"/>
      <c r="D150" s="7" t="n"/>
      <c r="E150" s="7" t="n"/>
      <c r="F150" s="7" t="n"/>
      <c r="G150" s="8" t="n"/>
      <c r="H150" s="9" t="n"/>
      <c r="I150" s="10">
        <f>IF(G150="","",G150*H150)</f>
        <v/>
      </c>
      <c r="J150" s="7" t="n"/>
    </row>
    <row r="151">
      <c r="A151" s="6" t="n"/>
      <c r="B151" s="7" t="n"/>
      <c r="C151" s="7" t="n"/>
      <c r="D151" s="7" t="n"/>
      <c r="E151" s="7" t="n"/>
      <c r="F151" s="7" t="n"/>
      <c r="G151" s="8" t="n"/>
      <c r="H151" s="9" t="n"/>
      <c r="I151" s="10">
        <f>IF(G151="","",G151*H151)</f>
        <v/>
      </c>
      <c r="J151" s="7" t="n"/>
    </row>
    <row r="152">
      <c r="A152" s="6" t="n"/>
      <c r="B152" s="7" t="n"/>
      <c r="C152" s="7" t="n"/>
      <c r="D152" s="7" t="n"/>
      <c r="E152" s="7" t="n"/>
      <c r="F152" s="7" t="n"/>
      <c r="G152" s="8" t="n"/>
      <c r="H152" s="9" t="n"/>
      <c r="I152" s="10">
        <f>IF(G152="","",G152*H152)</f>
        <v/>
      </c>
      <c r="J152" s="7" t="n"/>
    </row>
    <row r="153">
      <c r="A153" s="6" t="n"/>
      <c r="B153" s="7" t="n"/>
      <c r="C153" s="7" t="n"/>
      <c r="D153" s="7" t="n"/>
      <c r="E153" s="7" t="n"/>
      <c r="F153" s="7" t="n"/>
      <c r="G153" s="8" t="n"/>
      <c r="H153" s="9" t="n"/>
      <c r="I153" s="10">
        <f>IF(G153="","",G153*H153)</f>
        <v/>
      </c>
      <c r="J153" s="7" t="n"/>
    </row>
    <row r="154">
      <c r="A154" s="6" t="n"/>
      <c r="B154" s="7" t="n"/>
      <c r="C154" s="7" t="n"/>
      <c r="D154" s="7" t="n"/>
      <c r="E154" s="7" t="n"/>
      <c r="F154" s="7" t="n"/>
      <c r="G154" s="8" t="n"/>
      <c r="H154" s="9" t="n"/>
      <c r="I154" s="10">
        <f>IF(G154="","",G154*H154)</f>
        <v/>
      </c>
      <c r="J154" s="7" t="n"/>
    </row>
    <row r="155">
      <c r="A155" s="6" t="n"/>
      <c r="B155" s="7" t="n"/>
      <c r="C155" s="7" t="n"/>
      <c r="D155" s="7" t="n"/>
      <c r="E155" s="7" t="n"/>
      <c r="F155" s="7" t="n"/>
      <c r="G155" s="8" t="n"/>
      <c r="H155" s="9" t="n"/>
      <c r="I155" s="10">
        <f>IF(G155="","",G155*H155)</f>
        <v/>
      </c>
      <c r="J155" s="7" t="n"/>
    </row>
    <row r="156">
      <c r="A156" s="6" t="n"/>
      <c r="B156" s="7" t="n"/>
      <c r="C156" s="7" t="n"/>
      <c r="D156" s="7" t="n"/>
      <c r="E156" s="7" t="n"/>
      <c r="F156" s="7" t="n"/>
      <c r="G156" s="8" t="n"/>
      <c r="H156" s="9" t="n"/>
      <c r="I156" s="10">
        <f>IF(G156="","",G156*H156)</f>
        <v/>
      </c>
      <c r="J156" s="7" t="n"/>
    </row>
    <row r="157">
      <c r="A157" s="6" t="n"/>
      <c r="B157" s="7" t="n"/>
      <c r="C157" s="7" t="n"/>
      <c r="D157" s="7" t="n"/>
      <c r="E157" s="7" t="n"/>
      <c r="F157" s="7" t="n"/>
      <c r="G157" s="8" t="n"/>
      <c r="H157" s="9" t="n"/>
      <c r="I157" s="10">
        <f>IF(G157="","",G157*H157)</f>
        <v/>
      </c>
      <c r="J157" s="7" t="n"/>
    </row>
    <row r="158">
      <c r="A158" s="6" t="n"/>
      <c r="B158" s="7" t="n"/>
      <c r="C158" s="7" t="n"/>
      <c r="D158" s="7" t="n"/>
      <c r="E158" s="7" t="n"/>
      <c r="F158" s="7" t="n"/>
      <c r="G158" s="8" t="n"/>
      <c r="H158" s="9" t="n"/>
      <c r="I158" s="10">
        <f>IF(G158="","",G158*H158)</f>
        <v/>
      </c>
      <c r="J158" s="7" t="n"/>
    </row>
    <row r="159">
      <c r="A159" s="6" t="n"/>
      <c r="B159" s="7" t="n"/>
      <c r="C159" s="7" t="n"/>
      <c r="D159" s="7" t="n"/>
      <c r="E159" s="7" t="n"/>
      <c r="F159" s="7" t="n"/>
      <c r="G159" s="8" t="n"/>
      <c r="H159" s="9" t="n"/>
      <c r="I159" s="10">
        <f>IF(G159="","",G159*H159)</f>
        <v/>
      </c>
      <c r="J159" s="7" t="n"/>
    </row>
    <row r="160">
      <c r="A160" s="6" t="n"/>
      <c r="B160" s="7" t="n"/>
      <c r="C160" s="7" t="n"/>
      <c r="D160" s="7" t="n"/>
      <c r="E160" s="7" t="n"/>
      <c r="F160" s="7" t="n"/>
      <c r="G160" s="8" t="n"/>
      <c r="H160" s="9" t="n"/>
      <c r="I160" s="10">
        <f>IF(G160="","",G160*H160)</f>
        <v/>
      </c>
      <c r="J160" s="7" t="n"/>
    </row>
    <row r="161">
      <c r="A161" s="6" t="n"/>
      <c r="B161" s="7" t="n"/>
      <c r="C161" s="7" t="n"/>
      <c r="D161" s="7" t="n"/>
      <c r="E161" s="7" t="n"/>
      <c r="F161" s="7" t="n"/>
      <c r="G161" s="8" t="n"/>
      <c r="H161" s="9" t="n"/>
      <c r="I161" s="10">
        <f>IF(G161="","",G161*H161)</f>
        <v/>
      </c>
      <c r="J161" s="7" t="n"/>
    </row>
    <row r="162">
      <c r="A162" s="6" t="n"/>
      <c r="B162" s="7" t="n"/>
      <c r="C162" s="7" t="n"/>
      <c r="D162" s="7" t="n"/>
      <c r="E162" s="7" t="n"/>
      <c r="F162" s="7" t="n"/>
      <c r="G162" s="8" t="n"/>
      <c r="H162" s="9" t="n"/>
      <c r="I162" s="10">
        <f>IF(G162="","",G162*H162)</f>
        <v/>
      </c>
      <c r="J162" s="7" t="n"/>
    </row>
    <row r="163">
      <c r="A163" s="6" t="n"/>
      <c r="B163" s="7" t="n"/>
      <c r="C163" s="7" t="n"/>
      <c r="D163" s="7" t="n"/>
      <c r="E163" s="7" t="n"/>
      <c r="F163" s="7" t="n"/>
      <c r="G163" s="8" t="n"/>
      <c r="H163" s="9" t="n"/>
      <c r="I163" s="10">
        <f>IF(G163="","",G163*H163)</f>
        <v/>
      </c>
      <c r="J163" s="7" t="n"/>
    </row>
    <row r="164">
      <c r="A164" s="6" t="n"/>
      <c r="B164" s="7" t="n"/>
      <c r="C164" s="7" t="n"/>
      <c r="D164" s="7" t="n"/>
      <c r="E164" s="7" t="n"/>
      <c r="F164" s="7" t="n"/>
      <c r="G164" s="8" t="n"/>
      <c r="H164" s="9" t="n"/>
      <c r="I164" s="10">
        <f>IF(G164="","",G164*H164)</f>
        <v/>
      </c>
      <c r="J164" s="7" t="n"/>
    </row>
    <row r="165">
      <c r="A165" s="6" t="n"/>
      <c r="B165" s="7" t="n"/>
      <c r="C165" s="7" t="n"/>
      <c r="D165" s="7" t="n"/>
      <c r="E165" s="7" t="n"/>
      <c r="F165" s="7" t="n"/>
      <c r="G165" s="8" t="n"/>
      <c r="H165" s="9" t="n"/>
      <c r="I165" s="10">
        <f>IF(G165="","",G165*H165)</f>
        <v/>
      </c>
      <c r="J165" s="7" t="n"/>
    </row>
    <row r="166">
      <c r="A166" s="6" t="n"/>
      <c r="B166" s="7" t="n"/>
      <c r="C166" s="7" t="n"/>
      <c r="D166" s="7" t="n"/>
      <c r="E166" s="7" t="n"/>
      <c r="F166" s="7" t="n"/>
      <c r="G166" s="8" t="n"/>
      <c r="H166" s="9" t="n"/>
      <c r="I166" s="10">
        <f>IF(G166="","",G166*H166)</f>
        <v/>
      </c>
      <c r="J166" s="7" t="n"/>
    </row>
    <row r="167">
      <c r="A167" s="6" t="n"/>
      <c r="B167" s="7" t="n"/>
      <c r="C167" s="7" t="n"/>
      <c r="D167" s="7" t="n"/>
      <c r="E167" s="7" t="n"/>
      <c r="F167" s="7" t="n"/>
      <c r="G167" s="8" t="n"/>
      <c r="H167" s="9" t="n"/>
      <c r="I167" s="10">
        <f>IF(G167="","",G167*H167)</f>
        <v/>
      </c>
      <c r="J167" s="7" t="n"/>
    </row>
    <row r="168">
      <c r="A168" s="6" t="n"/>
      <c r="B168" s="7" t="n"/>
      <c r="C168" s="7" t="n"/>
      <c r="D168" s="7" t="n"/>
      <c r="E168" s="7" t="n"/>
      <c r="F168" s="7" t="n"/>
      <c r="G168" s="8" t="n"/>
      <c r="H168" s="9" t="n"/>
      <c r="I168" s="10">
        <f>IF(G168="","",G168*H168)</f>
        <v/>
      </c>
      <c r="J168" s="7" t="n"/>
    </row>
    <row r="169">
      <c r="A169" s="6" t="n"/>
      <c r="B169" s="7" t="n"/>
      <c r="C169" s="7" t="n"/>
      <c r="D169" s="7" t="n"/>
      <c r="E169" s="7" t="n"/>
      <c r="F169" s="7" t="n"/>
      <c r="G169" s="8" t="n"/>
      <c r="H169" s="9" t="n"/>
      <c r="I169" s="10">
        <f>IF(G169="","",G169*H169)</f>
        <v/>
      </c>
      <c r="J169" s="7" t="n"/>
    </row>
    <row r="170">
      <c r="A170" s="6" t="n"/>
      <c r="B170" s="7" t="n"/>
      <c r="C170" s="7" t="n"/>
      <c r="D170" s="7" t="n"/>
      <c r="E170" s="7" t="n"/>
      <c r="F170" s="7" t="n"/>
      <c r="G170" s="8" t="n"/>
      <c r="H170" s="9" t="n"/>
      <c r="I170" s="10">
        <f>IF(G170="","",G170*H170)</f>
        <v/>
      </c>
      <c r="J170" s="7" t="n"/>
    </row>
    <row r="171">
      <c r="A171" s="6" t="n"/>
      <c r="B171" s="7" t="n"/>
      <c r="C171" s="7" t="n"/>
      <c r="D171" s="7" t="n"/>
      <c r="E171" s="7" t="n"/>
      <c r="F171" s="7" t="n"/>
      <c r="G171" s="8" t="n"/>
      <c r="H171" s="9" t="n"/>
      <c r="I171" s="10">
        <f>IF(G171="","",G171*H171)</f>
        <v/>
      </c>
      <c r="J171" s="7" t="n"/>
    </row>
    <row r="172">
      <c r="A172" s="6" t="n"/>
      <c r="B172" s="7" t="n"/>
      <c r="C172" s="7" t="n"/>
      <c r="D172" s="7" t="n"/>
      <c r="E172" s="7" t="n"/>
      <c r="F172" s="7" t="n"/>
      <c r="G172" s="8" t="n"/>
      <c r="H172" s="9" t="n"/>
      <c r="I172" s="10">
        <f>IF(G172="","",G172*H172)</f>
        <v/>
      </c>
      <c r="J172" s="7" t="n"/>
    </row>
    <row r="173">
      <c r="A173" s="6" t="n"/>
      <c r="B173" s="7" t="n"/>
      <c r="C173" s="7" t="n"/>
      <c r="D173" s="7" t="n"/>
      <c r="E173" s="7" t="n"/>
      <c r="F173" s="7" t="n"/>
      <c r="G173" s="8" t="n"/>
      <c r="H173" s="9" t="n"/>
      <c r="I173" s="10">
        <f>IF(G173="","",G173*H173)</f>
        <v/>
      </c>
      <c r="J173" s="7" t="n"/>
    </row>
    <row r="174">
      <c r="A174" s="6" t="n"/>
      <c r="B174" s="7" t="n"/>
      <c r="C174" s="7" t="n"/>
      <c r="D174" s="7" t="n"/>
      <c r="E174" s="7" t="n"/>
      <c r="F174" s="7" t="n"/>
      <c r="G174" s="8" t="n"/>
      <c r="H174" s="9" t="n"/>
      <c r="I174" s="10">
        <f>IF(G174="","",G174*H174)</f>
        <v/>
      </c>
      <c r="J174" s="7" t="n"/>
    </row>
    <row r="175">
      <c r="A175" s="6" t="n"/>
      <c r="B175" s="7" t="n"/>
      <c r="C175" s="7" t="n"/>
      <c r="D175" s="7" t="n"/>
      <c r="E175" s="7" t="n"/>
      <c r="F175" s="7" t="n"/>
      <c r="G175" s="8" t="n"/>
      <c r="H175" s="9" t="n"/>
      <c r="I175" s="10">
        <f>IF(G175="","",G175*H175)</f>
        <v/>
      </c>
      <c r="J175" s="7" t="n"/>
    </row>
    <row r="176">
      <c r="A176" s="6" t="n"/>
      <c r="B176" s="7" t="n"/>
      <c r="C176" s="7" t="n"/>
      <c r="D176" s="7" t="n"/>
      <c r="E176" s="7" t="n"/>
      <c r="F176" s="7" t="n"/>
      <c r="G176" s="8" t="n"/>
      <c r="H176" s="9" t="n"/>
      <c r="I176" s="10">
        <f>IF(G176="","",G176*H176)</f>
        <v/>
      </c>
      <c r="J176" s="7" t="n"/>
    </row>
    <row r="177">
      <c r="A177" s="6" t="n"/>
      <c r="B177" s="7" t="n"/>
      <c r="C177" s="7" t="n"/>
      <c r="D177" s="7" t="n"/>
      <c r="E177" s="7" t="n"/>
      <c r="F177" s="7" t="n"/>
      <c r="G177" s="8" t="n"/>
      <c r="H177" s="9" t="n"/>
      <c r="I177" s="10">
        <f>IF(G177="","",G177*H177)</f>
        <v/>
      </c>
      <c r="J177" s="7" t="n"/>
    </row>
    <row r="178">
      <c r="A178" s="6" t="n"/>
      <c r="B178" s="7" t="n"/>
      <c r="C178" s="7" t="n"/>
      <c r="D178" s="7" t="n"/>
      <c r="E178" s="7" t="n"/>
      <c r="F178" s="7" t="n"/>
      <c r="G178" s="8" t="n"/>
      <c r="H178" s="9" t="n"/>
      <c r="I178" s="10">
        <f>IF(G178="","",G178*H178)</f>
        <v/>
      </c>
      <c r="J178" s="7" t="n"/>
    </row>
    <row r="179">
      <c r="A179" s="6" t="n"/>
      <c r="B179" s="7" t="n"/>
      <c r="C179" s="7" t="n"/>
      <c r="D179" s="7" t="n"/>
      <c r="E179" s="7" t="n"/>
      <c r="F179" s="7" t="n"/>
      <c r="G179" s="8" t="n"/>
      <c r="H179" s="9" t="n"/>
      <c r="I179" s="10">
        <f>IF(G179="","",G179*H179)</f>
        <v/>
      </c>
      <c r="J179" s="7" t="n"/>
    </row>
    <row r="180">
      <c r="A180" s="6" t="n"/>
      <c r="B180" s="7" t="n"/>
      <c r="C180" s="7" t="n"/>
      <c r="D180" s="7" t="n"/>
      <c r="E180" s="7" t="n"/>
      <c r="F180" s="7" t="n"/>
      <c r="G180" s="8" t="n"/>
      <c r="H180" s="9" t="n"/>
      <c r="I180" s="10">
        <f>IF(G180="","",G180*H180)</f>
        <v/>
      </c>
      <c r="J180" s="7" t="n"/>
    </row>
    <row r="181">
      <c r="A181" s="6" t="n"/>
      <c r="B181" s="7" t="n"/>
      <c r="C181" s="7" t="n"/>
      <c r="D181" s="7" t="n"/>
      <c r="E181" s="7" t="n"/>
      <c r="F181" s="7" t="n"/>
      <c r="G181" s="8" t="n"/>
      <c r="H181" s="9" t="n"/>
      <c r="I181" s="10">
        <f>IF(G181="","",G181*H181)</f>
        <v/>
      </c>
      <c r="J181" s="7" t="n"/>
    </row>
    <row r="182">
      <c r="A182" s="6" t="n"/>
      <c r="B182" s="7" t="n"/>
      <c r="C182" s="7" t="n"/>
      <c r="D182" s="7" t="n"/>
      <c r="E182" s="7" t="n"/>
      <c r="F182" s="7" t="n"/>
      <c r="G182" s="8" t="n"/>
      <c r="H182" s="9" t="n"/>
      <c r="I182" s="10">
        <f>IF(G182="","",G182*H182)</f>
        <v/>
      </c>
      <c r="J182" s="7" t="n"/>
    </row>
    <row r="183">
      <c r="A183" s="6" t="n"/>
      <c r="B183" s="7" t="n"/>
      <c r="C183" s="7" t="n"/>
      <c r="D183" s="7" t="n"/>
      <c r="E183" s="7" t="n"/>
      <c r="F183" s="7" t="n"/>
      <c r="G183" s="8" t="n"/>
      <c r="H183" s="9" t="n"/>
      <c r="I183" s="10">
        <f>IF(G183="","",G183*H183)</f>
        <v/>
      </c>
      <c r="J183" s="7" t="n"/>
    </row>
    <row r="184">
      <c r="A184" s="6" t="n"/>
      <c r="B184" s="7" t="n"/>
      <c r="C184" s="7" t="n"/>
      <c r="D184" s="7" t="n"/>
      <c r="E184" s="7" t="n"/>
      <c r="F184" s="7" t="n"/>
      <c r="G184" s="8" t="n"/>
      <c r="H184" s="9" t="n"/>
      <c r="I184" s="10">
        <f>IF(G184="","",G184*H184)</f>
        <v/>
      </c>
      <c r="J184" s="7" t="n"/>
    </row>
    <row r="185">
      <c r="A185" s="6" t="n"/>
      <c r="B185" s="7" t="n"/>
      <c r="C185" s="7" t="n"/>
      <c r="D185" s="7" t="n"/>
      <c r="E185" s="7" t="n"/>
      <c r="F185" s="7" t="n"/>
      <c r="G185" s="8" t="n"/>
      <c r="H185" s="9" t="n"/>
      <c r="I185" s="10">
        <f>IF(G185="","",G185*H185)</f>
        <v/>
      </c>
      <c r="J185" s="7" t="n"/>
    </row>
    <row r="186">
      <c r="A186" s="6" t="n"/>
      <c r="B186" s="7" t="n"/>
      <c r="C186" s="7" t="n"/>
      <c r="D186" s="7" t="n"/>
      <c r="E186" s="7" t="n"/>
      <c r="F186" s="7" t="n"/>
      <c r="G186" s="8" t="n"/>
      <c r="H186" s="9" t="n"/>
      <c r="I186" s="10">
        <f>IF(G186="","",G186*H186)</f>
        <v/>
      </c>
      <c r="J186" s="7" t="n"/>
    </row>
    <row r="187">
      <c r="A187" s="6" t="n"/>
      <c r="B187" s="7" t="n"/>
      <c r="C187" s="7" t="n"/>
      <c r="D187" s="7" t="n"/>
      <c r="E187" s="7" t="n"/>
      <c r="F187" s="7" t="n"/>
      <c r="G187" s="8" t="n"/>
      <c r="H187" s="9" t="n"/>
      <c r="I187" s="10">
        <f>IF(G187="","",G187*H187)</f>
        <v/>
      </c>
      <c r="J187" s="7" t="n"/>
    </row>
    <row r="188">
      <c r="A188" s="6" t="n"/>
      <c r="B188" s="7" t="n"/>
      <c r="C188" s="7" t="n"/>
      <c r="D188" s="7" t="n"/>
      <c r="E188" s="7" t="n"/>
      <c r="F188" s="7" t="n"/>
      <c r="G188" s="8" t="n"/>
      <c r="H188" s="9" t="n"/>
      <c r="I188" s="10">
        <f>IF(G188="","",G188*H188)</f>
        <v/>
      </c>
      <c r="J188" s="7" t="n"/>
    </row>
    <row r="189">
      <c r="A189" s="6" t="n"/>
      <c r="B189" s="7" t="n"/>
      <c r="C189" s="7" t="n"/>
      <c r="D189" s="7" t="n"/>
      <c r="E189" s="7" t="n"/>
      <c r="F189" s="7" t="n"/>
      <c r="G189" s="8" t="n"/>
      <c r="H189" s="9" t="n"/>
      <c r="I189" s="10">
        <f>IF(G189="","",G189*H189)</f>
        <v/>
      </c>
      <c r="J189" s="7" t="n"/>
    </row>
    <row r="190">
      <c r="A190" s="6" t="n"/>
      <c r="B190" s="7" t="n"/>
      <c r="C190" s="7" t="n"/>
      <c r="D190" s="7" t="n"/>
      <c r="E190" s="7" t="n"/>
      <c r="F190" s="7" t="n"/>
      <c r="G190" s="8" t="n"/>
      <c r="H190" s="9" t="n"/>
      <c r="I190" s="10">
        <f>IF(G190="","",G190*H190)</f>
        <v/>
      </c>
      <c r="J190" s="7" t="n"/>
    </row>
    <row r="191">
      <c r="A191" s="6" t="n"/>
      <c r="B191" s="7" t="n"/>
      <c r="C191" s="7" t="n"/>
      <c r="D191" s="7" t="n"/>
      <c r="E191" s="7" t="n"/>
      <c r="F191" s="7" t="n"/>
      <c r="G191" s="8" t="n"/>
      <c r="H191" s="9" t="n"/>
      <c r="I191" s="10">
        <f>IF(G191="","",G191*H191)</f>
        <v/>
      </c>
      <c r="J191" s="7" t="n"/>
    </row>
    <row r="192">
      <c r="A192" s="6" t="n"/>
      <c r="B192" s="7" t="n"/>
      <c r="C192" s="7" t="n"/>
      <c r="D192" s="7" t="n"/>
      <c r="E192" s="7" t="n"/>
      <c r="F192" s="7" t="n"/>
      <c r="G192" s="8" t="n"/>
      <c r="H192" s="9" t="n"/>
      <c r="I192" s="10">
        <f>IF(G192="","",G192*H192)</f>
        <v/>
      </c>
      <c r="J192" s="7" t="n"/>
    </row>
    <row r="193">
      <c r="A193" s="6" t="n"/>
      <c r="B193" s="7" t="n"/>
      <c r="C193" s="7" t="n"/>
      <c r="D193" s="7" t="n"/>
      <c r="E193" s="7" t="n"/>
      <c r="F193" s="7" t="n"/>
      <c r="G193" s="8" t="n"/>
      <c r="H193" s="9" t="n"/>
      <c r="I193" s="10">
        <f>IF(G193="","",G193*H193)</f>
        <v/>
      </c>
      <c r="J193" s="7" t="n"/>
    </row>
    <row r="194">
      <c r="A194" s="6" t="n"/>
      <c r="B194" s="7" t="n"/>
      <c r="C194" s="7" t="n"/>
      <c r="D194" s="7" t="n"/>
      <c r="E194" s="7" t="n"/>
      <c r="F194" s="7" t="n"/>
      <c r="G194" s="8" t="n"/>
      <c r="H194" s="9" t="n"/>
      <c r="I194" s="10">
        <f>IF(G194="","",G194*H194)</f>
        <v/>
      </c>
      <c r="J194" s="7" t="n"/>
    </row>
    <row r="195">
      <c r="A195" s="6" t="n"/>
      <c r="B195" s="7" t="n"/>
      <c r="C195" s="7" t="n"/>
      <c r="D195" s="7" t="n"/>
      <c r="E195" s="7" t="n"/>
      <c r="F195" s="7" t="n"/>
      <c r="G195" s="8" t="n"/>
      <c r="H195" s="9" t="n"/>
      <c r="I195" s="10">
        <f>IF(G195="","",G195*H195)</f>
        <v/>
      </c>
      <c r="J195" s="7" t="n"/>
    </row>
    <row r="196">
      <c r="A196" s="6" t="n"/>
      <c r="B196" s="7" t="n"/>
      <c r="C196" s="7" t="n"/>
      <c r="D196" s="7" t="n"/>
      <c r="E196" s="7" t="n"/>
      <c r="F196" s="7" t="n"/>
      <c r="G196" s="8" t="n"/>
      <c r="H196" s="9" t="n"/>
      <c r="I196" s="10">
        <f>IF(G196="","",G196*H196)</f>
        <v/>
      </c>
      <c r="J196" s="7" t="n"/>
    </row>
    <row r="197">
      <c r="A197" s="6" t="n"/>
      <c r="B197" s="7" t="n"/>
      <c r="C197" s="7" t="n"/>
      <c r="D197" s="7" t="n"/>
      <c r="E197" s="7" t="n"/>
      <c r="F197" s="7" t="n"/>
      <c r="G197" s="8" t="n"/>
      <c r="H197" s="9" t="n"/>
      <c r="I197" s="10">
        <f>IF(G197="","",G197*H197)</f>
        <v/>
      </c>
      <c r="J197" s="7" t="n"/>
    </row>
    <row r="198">
      <c r="A198" s="6" t="n"/>
      <c r="B198" s="7" t="n"/>
      <c r="C198" s="7" t="n"/>
      <c r="D198" s="7" t="n"/>
      <c r="E198" s="7" t="n"/>
      <c r="F198" s="7" t="n"/>
      <c r="G198" s="8" t="n"/>
      <c r="H198" s="9" t="n"/>
      <c r="I198" s="10">
        <f>IF(G198="","",G198*H198)</f>
        <v/>
      </c>
      <c r="J198" s="7" t="n"/>
    </row>
    <row r="199">
      <c r="A199" s="6" t="n"/>
      <c r="B199" s="7" t="n"/>
      <c r="C199" s="7" t="n"/>
      <c r="D199" s="7" t="n"/>
      <c r="E199" s="7" t="n"/>
      <c r="F199" s="7" t="n"/>
      <c r="G199" s="8" t="n"/>
      <c r="H199" s="9" t="n"/>
      <c r="I199" s="10">
        <f>IF(G199="","",G199*H199)</f>
        <v/>
      </c>
      <c r="J199" s="7" t="n"/>
    </row>
    <row r="200">
      <c r="A200" s="6" t="n"/>
      <c r="B200" s="7" t="n"/>
      <c r="C200" s="7" t="n"/>
      <c r="D200" s="7" t="n"/>
      <c r="E200" s="7" t="n"/>
      <c r="F200" s="7" t="n"/>
      <c r="G200" s="8" t="n"/>
      <c r="H200" s="9" t="n"/>
      <c r="I200" s="10">
        <f>IF(G200="","",G200*H200)</f>
        <v/>
      </c>
      <c r="J200" s="7" t="n"/>
    </row>
    <row r="201">
      <c r="A201" s="6" t="n"/>
      <c r="B201" s="7" t="n"/>
      <c r="C201" s="7" t="n"/>
      <c r="D201" s="7" t="n"/>
      <c r="E201" s="7" t="n"/>
      <c r="F201" s="7" t="n"/>
      <c r="G201" s="8" t="n"/>
      <c r="H201" s="9" t="n"/>
      <c r="I201" s="10">
        <f>IF(G201="","",G201*H201)</f>
        <v/>
      </c>
      <c r="J201" s="7" t="n"/>
    </row>
    <row r="202">
      <c r="A202" s="6" t="n"/>
      <c r="B202" s="7" t="n"/>
      <c r="C202" s="7" t="n"/>
      <c r="D202" s="7" t="n"/>
      <c r="E202" s="7" t="n"/>
      <c r="F202" s="7" t="n"/>
      <c r="G202" s="8" t="n"/>
      <c r="H202" s="9" t="n"/>
      <c r="I202" s="10">
        <f>IF(G202="","",G202*H202)</f>
        <v/>
      </c>
      <c r="J202" s="7" t="n"/>
    </row>
    <row r="203">
      <c r="A203" s="6" t="n"/>
      <c r="B203" s="7" t="n"/>
      <c r="C203" s="7" t="n"/>
      <c r="D203" s="7" t="n"/>
      <c r="E203" s="7" t="n"/>
      <c r="F203" s="7" t="n"/>
      <c r="G203" s="8" t="n"/>
      <c r="H203" s="9" t="n"/>
      <c r="I203" s="10">
        <f>IF(G203="","",G203*H203)</f>
        <v/>
      </c>
      <c r="J203" s="7" t="n"/>
    </row>
    <row r="204">
      <c r="A204" s="6" t="n"/>
      <c r="B204" s="7" t="n"/>
      <c r="C204" s="7" t="n"/>
      <c r="D204" s="7" t="n"/>
      <c r="E204" s="7" t="n"/>
      <c r="F204" s="7" t="n"/>
      <c r="G204" s="8" t="n"/>
      <c r="H204" s="9" t="n"/>
      <c r="I204" s="10">
        <f>IF(G204="","",G204*H204)</f>
        <v/>
      </c>
      <c r="J204" s="7" t="n"/>
    </row>
    <row r="205">
      <c r="A205" s="6" t="n"/>
      <c r="B205" s="7" t="n"/>
      <c r="C205" s="7" t="n"/>
      <c r="D205" s="7" t="n"/>
      <c r="E205" s="7" t="n"/>
      <c r="F205" s="7" t="n"/>
      <c r="G205" s="8" t="n"/>
      <c r="H205" s="9" t="n"/>
      <c r="I205" s="10">
        <f>IF(G205="","",G205*H205)</f>
        <v/>
      </c>
      <c r="J205" s="7" t="n"/>
    </row>
    <row r="206">
      <c r="A206" s="6" t="n"/>
      <c r="B206" s="7" t="n"/>
      <c r="C206" s="7" t="n"/>
      <c r="D206" s="7" t="n"/>
      <c r="E206" s="7" t="n"/>
      <c r="F206" s="7" t="n"/>
      <c r="G206" s="8" t="n"/>
      <c r="H206" s="9" t="n"/>
      <c r="I206" s="10">
        <f>IF(G206="","",G206*H206)</f>
        <v/>
      </c>
      <c r="J206" s="7" t="n"/>
    </row>
    <row r="207">
      <c r="A207" s="6" t="n"/>
      <c r="B207" s="7" t="n"/>
      <c r="C207" s="7" t="n"/>
      <c r="D207" s="7" t="n"/>
      <c r="E207" s="7" t="n"/>
      <c r="F207" s="7" t="n"/>
      <c r="G207" s="8" t="n"/>
      <c r="H207" s="9" t="n"/>
      <c r="I207" s="10">
        <f>IF(G207="","",G207*H207)</f>
        <v/>
      </c>
      <c r="J207" s="7" t="n"/>
    </row>
    <row r="208">
      <c r="A208" s="6" t="n"/>
      <c r="B208" s="7" t="n"/>
      <c r="C208" s="7" t="n"/>
      <c r="D208" s="7" t="n"/>
      <c r="E208" s="7" t="n"/>
      <c r="F208" s="7" t="n"/>
      <c r="G208" s="8" t="n"/>
      <c r="H208" s="9" t="n"/>
      <c r="I208" s="10">
        <f>IF(G208="","",G208*H208)</f>
        <v/>
      </c>
      <c r="J208" s="7" t="n"/>
    </row>
    <row r="209">
      <c r="A209" s="6" t="n"/>
      <c r="B209" s="7" t="n"/>
      <c r="C209" s="7" t="n"/>
      <c r="D209" s="7" t="n"/>
      <c r="E209" s="7" t="n"/>
      <c r="F209" s="7" t="n"/>
      <c r="G209" s="8" t="n"/>
      <c r="H209" s="9" t="n"/>
      <c r="I209" s="10">
        <f>IF(G209="","",G209*H209)</f>
        <v/>
      </c>
      <c r="J209" s="7" t="n"/>
    </row>
    <row r="210">
      <c r="A210" s="6" t="n"/>
      <c r="B210" s="7" t="n"/>
      <c r="C210" s="7" t="n"/>
      <c r="D210" s="7" t="n"/>
      <c r="E210" s="7" t="n"/>
      <c r="F210" s="7" t="n"/>
      <c r="G210" s="8" t="n"/>
      <c r="H210" s="9" t="n"/>
      <c r="I210" s="10">
        <f>IF(G210="","",G210*H210)</f>
        <v/>
      </c>
      <c r="J210" s="7" t="n"/>
    </row>
    <row r="211">
      <c r="A211" s="6" t="n"/>
      <c r="B211" s="7" t="n"/>
      <c r="C211" s="7" t="n"/>
      <c r="D211" s="7" t="n"/>
      <c r="E211" s="7" t="n"/>
      <c r="F211" s="7" t="n"/>
      <c r="G211" s="8" t="n"/>
      <c r="H211" s="9" t="n"/>
      <c r="I211" s="10">
        <f>IF(G211="","",G211*H211)</f>
        <v/>
      </c>
      <c r="J211" s="7" t="n"/>
    </row>
    <row r="212">
      <c r="A212" s="6" t="n"/>
      <c r="B212" s="7" t="n"/>
      <c r="C212" s="7" t="n"/>
      <c r="D212" s="7" t="n"/>
      <c r="E212" s="7" t="n"/>
      <c r="F212" s="7" t="n"/>
      <c r="G212" s="8" t="n"/>
      <c r="H212" s="9" t="n"/>
      <c r="I212" s="10">
        <f>IF(G212="","",G212*H212)</f>
        <v/>
      </c>
      <c r="J212" s="7" t="n"/>
    </row>
    <row r="213">
      <c r="A213" s="6" t="n"/>
      <c r="B213" s="7" t="n"/>
      <c r="C213" s="7" t="n"/>
      <c r="D213" s="7" t="n"/>
      <c r="E213" s="7" t="n"/>
      <c r="F213" s="7" t="n"/>
      <c r="G213" s="8" t="n"/>
      <c r="H213" s="9" t="n"/>
      <c r="I213" s="10">
        <f>IF(G213="","",G213*H213)</f>
        <v/>
      </c>
      <c r="J213" s="7" t="n"/>
    </row>
    <row r="214">
      <c r="A214" s="6" t="n"/>
      <c r="B214" s="7" t="n"/>
      <c r="C214" s="7" t="n"/>
      <c r="D214" s="7" t="n"/>
      <c r="E214" s="7" t="n"/>
      <c r="F214" s="7" t="n"/>
      <c r="G214" s="8" t="n"/>
      <c r="H214" s="9" t="n"/>
      <c r="I214" s="10">
        <f>IF(G214="","",G214*H214)</f>
        <v/>
      </c>
      <c r="J214" s="7" t="n"/>
    </row>
    <row r="215">
      <c r="A215" s="6" t="n"/>
      <c r="B215" s="7" t="n"/>
      <c r="C215" s="7" t="n"/>
      <c r="D215" s="7" t="n"/>
      <c r="E215" s="7" t="n"/>
      <c r="F215" s="7" t="n"/>
      <c r="G215" s="8" t="n"/>
      <c r="H215" s="9" t="n"/>
      <c r="I215" s="10">
        <f>IF(G215="","",G215*H215)</f>
        <v/>
      </c>
      <c r="J215" s="7" t="n"/>
    </row>
    <row r="216">
      <c r="A216" s="6" t="n"/>
      <c r="B216" s="7" t="n"/>
      <c r="C216" s="7" t="n"/>
      <c r="D216" s="7" t="n"/>
      <c r="E216" s="7" t="n"/>
      <c r="F216" s="7" t="n"/>
      <c r="G216" s="8" t="n"/>
      <c r="H216" s="9" t="n"/>
      <c r="I216" s="10">
        <f>IF(G216="","",G216*H216)</f>
        <v/>
      </c>
      <c r="J216" s="7" t="n"/>
    </row>
    <row r="217">
      <c r="A217" s="6" t="n"/>
      <c r="B217" s="7" t="n"/>
      <c r="C217" s="7" t="n"/>
      <c r="D217" s="7" t="n"/>
      <c r="E217" s="7" t="n"/>
      <c r="F217" s="7" t="n"/>
      <c r="G217" s="8" t="n"/>
      <c r="H217" s="9" t="n"/>
      <c r="I217" s="10">
        <f>IF(G217="","",G217*H217)</f>
        <v/>
      </c>
      <c r="J217" s="7" t="n"/>
    </row>
    <row r="218">
      <c r="A218" s="6" t="n"/>
      <c r="B218" s="7" t="n"/>
      <c r="C218" s="7" t="n"/>
      <c r="D218" s="7" t="n"/>
      <c r="E218" s="7" t="n"/>
      <c r="F218" s="7" t="n"/>
      <c r="G218" s="8" t="n"/>
      <c r="H218" s="9" t="n"/>
      <c r="I218" s="10">
        <f>IF(G218="","",G218*H218)</f>
        <v/>
      </c>
      <c r="J218" s="7" t="n"/>
    </row>
    <row r="219">
      <c r="A219" s="6" t="n"/>
      <c r="B219" s="7" t="n"/>
      <c r="C219" s="7" t="n"/>
      <c r="D219" s="7" t="n"/>
      <c r="E219" s="7" t="n"/>
      <c r="F219" s="7" t="n"/>
      <c r="G219" s="8" t="n"/>
      <c r="H219" s="9" t="n"/>
      <c r="I219" s="10">
        <f>IF(G219="","",G219*H219)</f>
        <v/>
      </c>
      <c r="J219" s="7" t="n"/>
    </row>
    <row r="220">
      <c r="A220" s="6" t="n"/>
      <c r="B220" s="7" t="n"/>
      <c r="C220" s="7" t="n"/>
      <c r="D220" s="7" t="n"/>
      <c r="E220" s="7" t="n"/>
      <c r="F220" s="7" t="n"/>
      <c r="G220" s="8" t="n"/>
      <c r="H220" s="9" t="n"/>
      <c r="I220" s="10">
        <f>IF(G220="","",G220*H220)</f>
        <v/>
      </c>
      <c r="J220" s="7" t="n"/>
    </row>
    <row r="221">
      <c r="A221" s="6" t="n"/>
      <c r="B221" s="7" t="n"/>
      <c r="C221" s="7" t="n"/>
      <c r="D221" s="7" t="n"/>
      <c r="E221" s="7" t="n"/>
      <c r="F221" s="7" t="n"/>
      <c r="G221" s="8" t="n"/>
      <c r="H221" s="9" t="n"/>
      <c r="I221" s="10">
        <f>IF(G221="","",G221*H221)</f>
        <v/>
      </c>
      <c r="J221" s="7" t="n"/>
    </row>
    <row r="222">
      <c r="A222" s="6" t="n"/>
      <c r="B222" s="7" t="n"/>
      <c r="C222" s="7" t="n"/>
      <c r="D222" s="7" t="n"/>
      <c r="E222" s="7" t="n"/>
      <c r="F222" s="7" t="n"/>
      <c r="G222" s="8" t="n"/>
      <c r="H222" s="9" t="n"/>
      <c r="I222" s="10">
        <f>IF(G222="","",G222*H222)</f>
        <v/>
      </c>
      <c r="J222" s="7" t="n"/>
    </row>
    <row r="223">
      <c r="A223" s="6" t="n"/>
      <c r="B223" s="7" t="n"/>
      <c r="C223" s="7" t="n"/>
      <c r="D223" s="7" t="n"/>
      <c r="E223" s="7" t="n"/>
      <c r="F223" s="7" t="n"/>
      <c r="G223" s="8" t="n"/>
      <c r="H223" s="9" t="n"/>
      <c r="I223" s="10">
        <f>IF(G223="","",G223*H223)</f>
        <v/>
      </c>
      <c r="J223" s="7" t="n"/>
    </row>
    <row r="224">
      <c r="A224" s="6" t="n"/>
      <c r="B224" s="7" t="n"/>
      <c r="C224" s="7" t="n"/>
      <c r="D224" s="7" t="n"/>
      <c r="E224" s="7" t="n"/>
      <c r="F224" s="7" t="n"/>
      <c r="G224" s="8" t="n"/>
      <c r="H224" s="9" t="n"/>
      <c r="I224" s="10">
        <f>IF(G224="","",G224*H224)</f>
        <v/>
      </c>
      <c r="J224" s="7" t="n"/>
    </row>
    <row r="225">
      <c r="A225" s="6" t="n"/>
      <c r="B225" s="7" t="n"/>
      <c r="C225" s="7" t="n"/>
      <c r="D225" s="7" t="n"/>
      <c r="E225" s="7" t="n"/>
      <c r="F225" s="7" t="n"/>
      <c r="G225" s="8" t="n"/>
      <c r="H225" s="9" t="n"/>
      <c r="I225" s="10">
        <f>IF(G225="","",G225*H225)</f>
        <v/>
      </c>
      <c r="J225" s="7" t="n"/>
    </row>
    <row r="226">
      <c r="A226" s="6" t="n"/>
      <c r="B226" s="7" t="n"/>
      <c r="C226" s="7" t="n"/>
      <c r="D226" s="7" t="n"/>
      <c r="E226" s="7" t="n"/>
      <c r="F226" s="7" t="n"/>
      <c r="G226" s="8" t="n"/>
      <c r="H226" s="9" t="n"/>
      <c r="I226" s="10">
        <f>IF(G226="","",G226*H226)</f>
        <v/>
      </c>
      <c r="J226" s="7" t="n"/>
    </row>
    <row r="227">
      <c r="A227" s="6" t="n"/>
      <c r="B227" s="7" t="n"/>
      <c r="C227" s="7" t="n"/>
      <c r="D227" s="7" t="n"/>
      <c r="E227" s="7" t="n"/>
      <c r="F227" s="7" t="n"/>
      <c r="G227" s="8" t="n"/>
      <c r="H227" s="9" t="n"/>
      <c r="I227" s="10">
        <f>IF(G227="","",G227*H227)</f>
        <v/>
      </c>
      <c r="J227" s="7" t="n"/>
    </row>
    <row r="228">
      <c r="A228" s="6" t="n"/>
      <c r="B228" s="7" t="n"/>
      <c r="C228" s="7" t="n"/>
      <c r="D228" s="7" t="n"/>
      <c r="E228" s="7" t="n"/>
      <c r="F228" s="7" t="n"/>
      <c r="G228" s="8" t="n"/>
      <c r="H228" s="9" t="n"/>
      <c r="I228" s="10">
        <f>IF(G228="","",G228*H228)</f>
        <v/>
      </c>
      <c r="J228" s="7" t="n"/>
    </row>
    <row r="229">
      <c r="A229" s="6" t="n"/>
      <c r="B229" s="7" t="n"/>
      <c r="C229" s="7" t="n"/>
      <c r="D229" s="7" t="n"/>
      <c r="E229" s="7" t="n"/>
      <c r="F229" s="7" t="n"/>
      <c r="G229" s="8" t="n"/>
      <c r="H229" s="9" t="n"/>
      <c r="I229" s="10">
        <f>IF(G229="","",G229*H229)</f>
        <v/>
      </c>
      <c r="J229" s="7" t="n"/>
    </row>
    <row r="230">
      <c r="A230" s="6" t="n"/>
      <c r="B230" s="7" t="n"/>
      <c r="C230" s="7" t="n"/>
      <c r="D230" s="7" t="n"/>
      <c r="E230" s="7" t="n"/>
      <c r="F230" s="7" t="n"/>
      <c r="G230" s="8" t="n"/>
      <c r="H230" s="9" t="n"/>
      <c r="I230" s="10">
        <f>IF(G230="","",G230*H230)</f>
        <v/>
      </c>
      <c r="J230" s="7" t="n"/>
    </row>
    <row r="231">
      <c r="A231" s="6" t="n"/>
      <c r="B231" s="7" t="n"/>
      <c r="C231" s="7" t="n"/>
      <c r="D231" s="7" t="n"/>
      <c r="E231" s="7" t="n"/>
      <c r="F231" s="7" t="n"/>
      <c r="G231" s="8" t="n"/>
      <c r="H231" s="9" t="n"/>
      <c r="I231" s="10">
        <f>IF(G231="","",G231*H231)</f>
        <v/>
      </c>
      <c r="J231" s="7" t="n"/>
    </row>
    <row r="232">
      <c r="A232" s="6" t="n"/>
      <c r="B232" s="7" t="n"/>
      <c r="C232" s="7" t="n"/>
      <c r="D232" s="7" t="n"/>
      <c r="E232" s="7" t="n"/>
      <c r="F232" s="7" t="n"/>
      <c r="G232" s="8" t="n"/>
      <c r="H232" s="9" t="n"/>
      <c r="I232" s="10">
        <f>IF(G232="","",G232*H232)</f>
        <v/>
      </c>
      <c r="J232" s="7" t="n"/>
    </row>
    <row r="233">
      <c r="A233" s="6" t="n"/>
      <c r="B233" s="7" t="n"/>
      <c r="C233" s="7" t="n"/>
      <c r="D233" s="7" t="n"/>
      <c r="E233" s="7" t="n"/>
      <c r="F233" s="7" t="n"/>
      <c r="G233" s="8" t="n"/>
      <c r="H233" s="9" t="n"/>
      <c r="I233" s="10">
        <f>IF(G233="","",G233*H233)</f>
        <v/>
      </c>
      <c r="J233" s="7" t="n"/>
    </row>
    <row r="234">
      <c r="A234" s="6" t="n"/>
      <c r="B234" s="7" t="n"/>
      <c r="C234" s="7" t="n"/>
      <c r="D234" s="7" t="n"/>
      <c r="E234" s="7" t="n"/>
      <c r="F234" s="7" t="n"/>
      <c r="G234" s="8" t="n"/>
      <c r="H234" s="9" t="n"/>
      <c r="I234" s="10">
        <f>IF(G234="","",G234*H234)</f>
        <v/>
      </c>
      <c r="J234" s="7" t="n"/>
    </row>
    <row r="235">
      <c r="A235" s="6" t="n"/>
      <c r="B235" s="7" t="n"/>
      <c r="C235" s="7" t="n"/>
      <c r="D235" s="7" t="n"/>
      <c r="E235" s="7" t="n"/>
      <c r="F235" s="7" t="n"/>
      <c r="G235" s="8" t="n"/>
      <c r="H235" s="9" t="n"/>
      <c r="I235" s="10">
        <f>IF(G235="","",G235*H235)</f>
        <v/>
      </c>
      <c r="J235" s="7" t="n"/>
    </row>
    <row r="236">
      <c r="A236" s="6" t="n"/>
      <c r="B236" s="7" t="n"/>
      <c r="C236" s="7" t="n"/>
      <c r="D236" s="7" t="n"/>
      <c r="E236" s="7" t="n"/>
      <c r="F236" s="7" t="n"/>
      <c r="G236" s="8" t="n"/>
      <c r="H236" s="9" t="n"/>
      <c r="I236" s="10">
        <f>IF(G236="","",G236*H236)</f>
        <v/>
      </c>
      <c r="J236" s="7" t="n"/>
    </row>
    <row r="237">
      <c r="A237" s="6" t="n"/>
      <c r="B237" s="7" t="n"/>
      <c r="C237" s="7" t="n"/>
      <c r="D237" s="7" t="n"/>
      <c r="E237" s="7" t="n"/>
      <c r="F237" s="7" t="n"/>
      <c r="G237" s="8" t="n"/>
      <c r="H237" s="9" t="n"/>
      <c r="I237" s="10">
        <f>IF(G237="","",G237*H237)</f>
        <v/>
      </c>
      <c r="J237" s="7" t="n"/>
    </row>
    <row r="238">
      <c r="A238" s="6" t="n"/>
      <c r="B238" s="7" t="n"/>
      <c r="C238" s="7" t="n"/>
      <c r="D238" s="7" t="n"/>
      <c r="E238" s="7" t="n"/>
      <c r="F238" s="7" t="n"/>
      <c r="G238" s="8" t="n"/>
      <c r="H238" s="9" t="n"/>
      <c r="I238" s="10">
        <f>IF(G238="","",G238*H238)</f>
        <v/>
      </c>
      <c r="J238" s="7" t="n"/>
    </row>
    <row r="239">
      <c r="A239" s="6" t="n"/>
      <c r="B239" s="7" t="n"/>
      <c r="C239" s="7" t="n"/>
      <c r="D239" s="7" t="n"/>
      <c r="E239" s="7" t="n"/>
      <c r="F239" s="7" t="n"/>
      <c r="G239" s="8" t="n"/>
      <c r="H239" s="9" t="n"/>
      <c r="I239" s="10">
        <f>IF(G239="","",G239*H239)</f>
        <v/>
      </c>
      <c r="J239" s="7" t="n"/>
    </row>
    <row r="240">
      <c r="A240" s="6" t="n"/>
      <c r="B240" s="7" t="n"/>
      <c r="C240" s="7" t="n"/>
      <c r="D240" s="7" t="n"/>
      <c r="E240" s="7" t="n"/>
      <c r="F240" s="7" t="n"/>
      <c r="G240" s="8" t="n"/>
      <c r="H240" s="9" t="n"/>
      <c r="I240" s="10">
        <f>IF(G240="","",G240*H240)</f>
        <v/>
      </c>
      <c r="J240" s="7" t="n"/>
    </row>
    <row r="241">
      <c r="A241" s="6" t="n"/>
      <c r="B241" s="7" t="n"/>
      <c r="C241" s="7" t="n"/>
      <c r="D241" s="7" t="n"/>
      <c r="E241" s="7" t="n"/>
      <c r="F241" s="7" t="n"/>
      <c r="G241" s="8" t="n"/>
      <c r="H241" s="9" t="n"/>
      <c r="I241" s="10">
        <f>IF(G241="","",G241*H241)</f>
        <v/>
      </c>
      <c r="J241" s="7" t="n"/>
    </row>
    <row r="242">
      <c r="A242" s="6" t="n"/>
      <c r="B242" s="7" t="n"/>
      <c r="C242" s="7" t="n"/>
      <c r="D242" s="7" t="n"/>
      <c r="E242" s="7" t="n"/>
      <c r="F242" s="7" t="n"/>
      <c r="G242" s="8" t="n"/>
      <c r="H242" s="9" t="n"/>
      <c r="I242" s="10">
        <f>IF(G242="","",G242*H242)</f>
        <v/>
      </c>
      <c r="J242" s="7" t="n"/>
    </row>
    <row r="243">
      <c r="A243" s="6" t="n"/>
      <c r="B243" s="7" t="n"/>
      <c r="C243" s="7" t="n"/>
      <c r="D243" s="7" t="n"/>
      <c r="E243" s="7" t="n"/>
      <c r="F243" s="7" t="n"/>
      <c r="G243" s="8" t="n"/>
      <c r="H243" s="9" t="n"/>
      <c r="I243" s="10">
        <f>IF(G243="","",G243*H243)</f>
        <v/>
      </c>
      <c r="J243" s="7" t="n"/>
    </row>
    <row r="244">
      <c r="A244" s="6" t="n"/>
      <c r="B244" s="7" t="n"/>
      <c r="C244" s="7" t="n"/>
      <c r="D244" s="7" t="n"/>
      <c r="E244" s="7" t="n"/>
      <c r="F244" s="7" t="n"/>
      <c r="G244" s="8" t="n"/>
      <c r="H244" s="9" t="n"/>
      <c r="I244" s="10">
        <f>IF(G244="","",G244*H244)</f>
        <v/>
      </c>
      <c r="J244" s="7" t="n"/>
    </row>
    <row r="245">
      <c r="A245" s="6" t="n"/>
      <c r="B245" s="7" t="n"/>
      <c r="C245" s="7" t="n"/>
      <c r="D245" s="7" t="n"/>
      <c r="E245" s="7" t="n"/>
      <c r="F245" s="7" t="n"/>
      <c r="G245" s="8" t="n"/>
      <c r="H245" s="9" t="n"/>
      <c r="I245" s="10">
        <f>IF(G245="","",G245*H245)</f>
        <v/>
      </c>
      <c r="J245" s="7" t="n"/>
    </row>
    <row r="246">
      <c r="A246" s="6" t="n"/>
      <c r="B246" s="7" t="n"/>
      <c r="C246" s="7" t="n"/>
      <c r="D246" s="7" t="n"/>
      <c r="E246" s="7" t="n"/>
      <c r="F246" s="7" t="n"/>
      <c r="G246" s="8" t="n"/>
      <c r="H246" s="9" t="n"/>
      <c r="I246" s="10">
        <f>IF(G246="","",G246*H246)</f>
        <v/>
      </c>
      <c r="J246" s="7" t="n"/>
    </row>
    <row r="247">
      <c r="A247" s="6" t="n"/>
      <c r="B247" s="7" t="n"/>
      <c r="C247" s="7" t="n"/>
      <c r="D247" s="7" t="n"/>
      <c r="E247" s="7" t="n"/>
      <c r="F247" s="7" t="n"/>
      <c r="G247" s="8" t="n"/>
      <c r="H247" s="9" t="n"/>
      <c r="I247" s="10">
        <f>IF(G247="","",G247*H247)</f>
        <v/>
      </c>
      <c r="J247" s="7" t="n"/>
    </row>
    <row r="248">
      <c r="A248" s="6" t="n"/>
      <c r="B248" s="7" t="n"/>
      <c r="C248" s="7" t="n"/>
      <c r="D248" s="7" t="n"/>
      <c r="E248" s="7" t="n"/>
      <c r="F248" s="7" t="n"/>
      <c r="G248" s="8" t="n"/>
      <c r="H248" s="9" t="n"/>
      <c r="I248" s="10">
        <f>IF(G248="","",G248*H248)</f>
        <v/>
      </c>
      <c r="J248" s="7" t="n"/>
    </row>
    <row r="249">
      <c r="A249" s="6" t="n"/>
      <c r="B249" s="7" t="n"/>
      <c r="C249" s="7" t="n"/>
      <c r="D249" s="7" t="n"/>
      <c r="E249" s="7" t="n"/>
      <c r="F249" s="7" t="n"/>
      <c r="G249" s="8" t="n"/>
      <c r="H249" s="9" t="n"/>
      <c r="I249" s="10">
        <f>IF(G249="","",G249*H249)</f>
        <v/>
      </c>
      <c r="J249" s="7" t="n"/>
    </row>
    <row r="250">
      <c r="A250" s="6" t="n"/>
      <c r="B250" s="7" t="n"/>
      <c r="C250" s="7" t="n"/>
      <c r="D250" s="7" t="n"/>
      <c r="E250" s="7" t="n"/>
      <c r="F250" s="7" t="n"/>
      <c r="G250" s="8" t="n"/>
      <c r="H250" s="9" t="n"/>
      <c r="I250" s="10">
        <f>IF(G250="","",G250*H250)</f>
        <v/>
      </c>
      <c r="J250" s="7" t="n"/>
    </row>
    <row r="251">
      <c r="A251" s="6" t="n"/>
      <c r="B251" s="7" t="n"/>
      <c r="C251" s="7" t="n"/>
      <c r="D251" s="7" t="n"/>
      <c r="E251" s="7" t="n"/>
      <c r="F251" s="7" t="n"/>
      <c r="G251" s="8" t="n"/>
      <c r="H251" s="9" t="n"/>
      <c r="I251" s="10">
        <f>IF(G251="","",G251*H251)</f>
        <v/>
      </c>
      <c r="J251" s="7" t="n"/>
    </row>
    <row r="252">
      <c r="A252" s="6" t="n"/>
      <c r="B252" s="7" t="n"/>
      <c r="C252" s="7" t="n"/>
      <c r="D252" s="7" t="n"/>
      <c r="E252" s="7" t="n"/>
      <c r="F252" s="7" t="n"/>
      <c r="G252" s="8" t="n"/>
      <c r="H252" s="9" t="n"/>
      <c r="I252" s="10">
        <f>IF(G252="","",G252*H252)</f>
        <v/>
      </c>
      <c r="J252" s="7" t="n"/>
    </row>
    <row r="253">
      <c r="A253" s="6" t="n"/>
      <c r="B253" s="7" t="n"/>
      <c r="C253" s="7" t="n"/>
      <c r="D253" s="7" t="n"/>
      <c r="E253" s="7" t="n"/>
      <c r="F253" s="7" t="n"/>
      <c r="G253" s="8" t="n"/>
      <c r="H253" s="9" t="n"/>
      <c r="I253" s="10">
        <f>IF(G253="","",G253*H253)</f>
        <v/>
      </c>
      <c r="J253" s="7" t="n"/>
    </row>
    <row r="254">
      <c r="A254" s="6" t="n"/>
      <c r="B254" s="7" t="n"/>
      <c r="C254" s="7" t="n"/>
      <c r="D254" s="7" t="n"/>
      <c r="E254" s="7" t="n"/>
      <c r="F254" s="7" t="n"/>
      <c r="G254" s="8" t="n"/>
      <c r="H254" s="9" t="n"/>
      <c r="I254" s="10">
        <f>IF(G254="","",G254*H254)</f>
        <v/>
      </c>
      <c r="J254" s="7" t="n"/>
    </row>
    <row r="255">
      <c r="A255" s="6" t="n"/>
      <c r="B255" s="7" t="n"/>
      <c r="C255" s="7" t="n"/>
      <c r="D255" s="7" t="n"/>
      <c r="E255" s="7" t="n"/>
      <c r="F255" s="7" t="n"/>
      <c r="G255" s="8" t="n"/>
      <c r="H255" s="9" t="n"/>
      <c r="I255" s="10">
        <f>IF(G255="","",G255*H255)</f>
        <v/>
      </c>
      <c r="J255" s="7" t="n"/>
    </row>
    <row r="256">
      <c r="A256" s="6" t="n"/>
      <c r="B256" s="7" t="n"/>
      <c r="C256" s="7" t="n"/>
      <c r="D256" s="7" t="n"/>
      <c r="E256" s="7" t="n"/>
      <c r="F256" s="7" t="n"/>
      <c r="G256" s="8" t="n"/>
      <c r="H256" s="9" t="n"/>
      <c r="I256" s="10">
        <f>IF(G256="","",G256*H256)</f>
        <v/>
      </c>
      <c r="J256" s="7" t="n"/>
    </row>
    <row r="257">
      <c r="A257" s="6" t="n"/>
      <c r="B257" s="7" t="n"/>
      <c r="C257" s="7" t="n"/>
      <c r="D257" s="7" t="n"/>
      <c r="E257" s="7" t="n"/>
      <c r="F257" s="7" t="n"/>
      <c r="G257" s="8" t="n"/>
      <c r="H257" s="9" t="n"/>
      <c r="I257" s="10">
        <f>IF(G257="","",G257*H257)</f>
        <v/>
      </c>
      <c r="J257" s="7" t="n"/>
    </row>
    <row r="258">
      <c r="A258" s="6" t="n"/>
      <c r="B258" s="7" t="n"/>
      <c r="C258" s="7" t="n"/>
      <c r="D258" s="7" t="n"/>
      <c r="E258" s="7" t="n"/>
      <c r="F258" s="7" t="n"/>
      <c r="G258" s="8" t="n"/>
      <c r="H258" s="9" t="n"/>
      <c r="I258" s="10">
        <f>IF(G258="","",G258*H258)</f>
        <v/>
      </c>
      <c r="J258" s="7" t="n"/>
    </row>
    <row r="259">
      <c r="A259" s="6" t="n"/>
      <c r="B259" s="7" t="n"/>
      <c r="C259" s="7" t="n"/>
      <c r="D259" s="7" t="n"/>
      <c r="E259" s="7" t="n"/>
      <c r="F259" s="7" t="n"/>
      <c r="G259" s="8" t="n"/>
      <c r="H259" s="9" t="n"/>
      <c r="I259" s="10">
        <f>IF(G259="","",G259*H259)</f>
        <v/>
      </c>
      <c r="J259" s="7" t="n"/>
    </row>
    <row r="260">
      <c r="A260" s="6" t="n"/>
      <c r="B260" s="7" t="n"/>
      <c r="C260" s="7" t="n"/>
      <c r="D260" s="7" t="n"/>
      <c r="E260" s="7" t="n"/>
      <c r="F260" s="7" t="n"/>
      <c r="G260" s="8" t="n"/>
      <c r="H260" s="9" t="n"/>
      <c r="I260" s="10">
        <f>IF(G260="","",G260*H260)</f>
        <v/>
      </c>
      <c r="J260" s="7" t="n"/>
    </row>
    <row r="261">
      <c r="A261" s="6" t="n"/>
      <c r="B261" s="7" t="n"/>
      <c r="C261" s="7" t="n"/>
      <c r="D261" s="7" t="n"/>
      <c r="E261" s="7" t="n"/>
      <c r="F261" s="7" t="n"/>
      <c r="G261" s="8" t="n"/>
      <c r="H261" s="9" t="n"/>
      <c r="I261" s="10">
        <f>IF(G261="","",G261*H261)</f>
        <v/>
      </c>
      <c r="J261" s="7" t="n"/>
    </row>
    <row r="262">
      <c r="A262" s="6" t="n"/>
      <c r="B262" s="7" t="n"/>
      <c r="C262" s="7" t="n"/>
      <c r="D262" s="7" t="n"/>
      <c r="E262" s="7" t="n"/>
      <c r="F262" s="7" t="n"/>
      <c r="G262" s="8" t="n"/>
      <c r="H262" s="9" t="n"/>
      <c r="I262" s="10">
        <f>IF(G262="","",G262*H262)</f>
        <v/>
      </c>
      <c r="J262" s="7" t="n"/>
    </row>
    <row r="263">
      <c r="A263" s="6" t="n"/>
      <c r="B263" s="7" t="n"/>
      <c r="C263" s="7" t="n"/>
      <c r="D263" s="7" t="n"/>
      <c r="E263" s="7" t="n"/>
      <c r="F263" s="7" t="n"/>
      <c r="G263" s="8" t="n"/>
      <c r="H263" s="9" t="n"/>
      <c r="I263" s="10">
        <f>IF(G263="","",G263*H263)</f>
        <v/>
      </c>
      <c r="J263" s="7" t="n"/>
    </row>
    <row r="264">
      <c r="A264" s="6" t="n"/>
      <c r="B264" s="7" t="n"/>
      <c r="C264" s="7" t="n"/>
      <c r="D264" s="7" t="n"/>
      <c r="E264" s="7" t="n"/>
      <c r="F264" s="7" t="n"/>
      <c r="G264" s="8" t="n"/>
      <c r="H264" s="9" t="n"/>
      <c r="I264" s="10">
        <f>IF(G264="","",G264*H264)</f>
        <v/>
      </c>
      <c r="J264" s="7" t="n"/>
    </row>
    <row r="265">
      <c r="A265" s="6" t="n"/>
      <c r="B265" s="7" t="n"/>
      <c r="C265" s="7" t="n"/>
      <c r="D265" s="7" t="n"/>
      <c r="E265" s="7" t="n"/>
      <c r="F265" s="7" t="n"/>
      <c r="G265" s="8" t="n"/>
      <c r="H265" s="9" t="n"/>
      <c r="I265" s="10">
        <f>IF(G265="","",G265*H265)</f>
        <v/>
      </c>
      <c r="J265" s="7" t="n"/>
    </row>
    <row r="266">
      <c r="A266" s="6" t="n"/>
      <c r="B266" s="7" t="n"/>
      <c r="C266" s="7" t="n"/>
      <c r="D266" s="7" t="n"/>
      <c r="E266" s="7" t="n"/>
      <c r="F266" s="7" t="n"/>
      <c r="G266" s="8" t="n"/>
      <c r="H266" s="9" t="n"/>
      <c r="I266" s="10">
        <f>IF(G266="","",G266*H266)</f>
        <v/>
      </c>
      <c r="J266" s="7" t="n"/>
    </row>
    <row r="267">
      <c r="A267" s="6" t="n"/>
      <c r="B267" s="7" t="n"/>
      <c r="C267" s="7" t="n"/>
      <c r="D267" s="7" t="n"/>
      <c r="E267" s="7" t="n"/>
      <c r="F267" s="7" t="n"/>
      <c r="G267" s="8" t="n"/>
      <c r="H267" s="9" t="n"/>
      <c r="I267" s="10">
        <f>IF(G267="","",G267*H267)</f>
        <v/>
      </c>
      <c r="J267" s="7" t="n"/>
    </row>
    <row r="268">
      <c r="A268" s="6" t="n"/>
      <c r="B268" s="7" t="n"/>
      <c r="C268" s="7" t="n"/>
      <c r="D268" s="7" t="n"/>
      <c r="E268" s="7" t="n"/>
      <c r="F268" s="7" t="n"/>
      <c r="G268" s="8" t="n"/>
      <c r="H268" s="9" t="n"/>
      <c r="I268" s="10">
        <f>IF(G268="","",G268*H268)</f>
        <v/>
      </c>
      <c r="J268" s="7" t="n"/>
    </row>
    <row r="269">
      <c r="A269" s="6" t="n"/>
      <c r="B269" s="7" t="n"/>
      <c r="C269" s="7" t="n"/>
      <c r="D269" s="7" t="n"/>
      <c r="E269" s="7" t="n"/>
      <c r="F269" s="7" t="n"/>
      <c r="G269" s="8" t="n"/>
      <c r="H269" s="9" t="n"/>
      <c r="I269" s="10">
        <f>IF(G269="","",G269*H269)</f>
        <v/>
      </c>
      <c r="J269" s="7" t="n"/>
    </row>
    <row r="270">
      <c r="A270" s="6" t="n"/>
      <c r="B270" s="7" t="n"/>
      <c r="C270" s="7" t="n"/>
      <c r="D270" s="7" t="n"/>
      <c r="E270" s="7" t="n"/>
      <c r="F270" s="7" t="n"/>
      <c r="G270" s="8" t="n"/>
      <c r="H270" s="9" t="n"/>
      <c r="I270" s="10">
        <f>IF(G270="","",G270*H270)</f>
        <v/>
      </c>
      <c r="J270" s="7" t="n"/>
    </row>
    <row r="271">
      <c r="A271" s="6" t="n"/>
      <c r="B271" s="7" t="n"/>
      <c r="C271" s="7" t="n"/>
      <c r="D271" s="7" t="n"/>
      <c r="E271" s="7" t="n"/>
      <c r="F271" s="7" t="n"/>
      <c r="G271" s="8" t="n"/>
      <c r="H271" s="9" t="n"/>
      <c r="I271" s="10">
        <f>IF(G271="","",G271*H271)</f>
        <v/>
      </c>
      <c r="J271" s="7" t="n"/>
    </row>
    <row r="272">
      <c r="A272" s="6" t="n"/>
      <c r="B272" s="7" t="n"/>
      <c r="C272" s="7" t="n"/>
      <c r="D272" s="7" t="n"/>
      <c r="E272" s="7" t="n"/>
      <c r="F272" s="7" t="n"/>
      <c r="G272" s="8" t="n"/>
      <c r="H272" s="9" t="n"/>
      <c r="I272" s="10">
        <f>IF(G272="","",G272*H272)</f>
        <v/>
      </c>
      <c r="J272" s="7" t="n"/>
    </row>
    <row r="273">
      <c r="A273" s="6" t="n"/>
      <c r="B273" s="7" t="n"/>
      <c r="C273" s="7" t="n"/>
      <c r="D273" s="7" t="n"/>
      <c r="E273" s="7" t="n"/>
      <c r="F273" s="7" t="n"/>
      <c r="G273" s="8" t="n"/>
      <c r="H273" s="9" t="n"/>
      <c r="I273" s="10">
        <f>IF(G273="","",G273*H273)</f>
        <v/>
      </c>
      <c r="J273" s="7" t="n"/>
    </row>
    <row r="274">
      <c r="A274" s="6" t="n"/>
      <c r="B274" s="7" t="n"/>
      <c r="C274" s="7" t="n"/>
      <c r="D274" s="7" t="n"/>
      <c r="E274" s="7" t="n"/>
      <c r="F274" s="7" t="n"/>
      <c r="G274" s="8" t="n"/>
      <c r="H274" s="9" t="n"/>
      <c r="I274" s="10">
        <f>IF(G274="","",G274*H274)</f>
        <v/>
      </c>
      <c r="J274" s="7" t="n"/>
    </row>
    <row r="275">
      <c r="A275" s="6" t="n"/>
      <c r="B275" s="7" t="n"/>
      <c r="C275" s="7" t="n"/>
      <c r="D275" s="7" t="n"/>
      <c r="E275" s="7" t="n"/>
      <c r="F275" s="7" t="n"/>
      <c r="G275" s="8" t="n"/>
      <c r="H275" s="9" t="n"/>
      <c r="I275" s="10">
        <f>IF(G275="","",G275*H275)</f>
        <v/>
      </c>
      <c r="J275" s="7" t="n"/>
    </row>
    <row r="276">
      <c r="A276" s="6" t="n"/>
      <c r="B276" s="7" t="n"/>
      <c r="C276" s="7" t="n"/>
      <c r="D276" s="7" t="n"/>
      <c r="E276" s="7" t="n"/>
      <c r="F276" s="7" t="n"/>
      <c r="G276" s="8" t="n"/>
      <c r="H276" s="9" t="n"/>
      <c r="I276" s="10">
        <f>IF(G276="","",G276*H276)</f>
        <v/>
      </c>
      <c r="J276" s="7" t="n"/>
    </row>
    <row r="277">
      <c r="A277" s="6" t="n"/>
      <c r="B277" s="7" t="n"/>
      <c r="C277" s="7" t="n"/>
      <c r="D277" s="7" t="n"/>
      <c r="E277" s="7" t="n"/>
      <c r="F277" s="7" t="n"/>
      <c r="G277" s="8" t="n"/>
      <c r="H277" s="9" t="n"/>
      <c r="I277" s="10">
        <f>IF(G277="","",G277*H277)</f>
        <v/>
      </c>
      <c r="J277" s="7" t="n"/>
    </row>
    <row r="278">
      <c r="A278" s="6" t="n"/>
      <c r="B278" s="7" t="n"/>
      <c r="C278" s="7" t="n"/>
      <c r="D278" s="7" t="n"/>
      <c r="E278" s="7" t="n"/>
      <c r="F278" s="7" t="n"/>
      <c r="G278" s="8" t="n"/>
      <c r="H278" s="9" t="n"/>
      <c r="I278" s="10">
        <f>IF(G278="","",G278*H278)</f>
        <v/>
      </c>
      <c r="J278" s="7" t="n"/>
    </row>
    <row r="279">
      <c r="A279" s="6" t="n"/>
      <c r="B279" s="7" t="n"/>
      <c r="C279" s="7" t="n"/>
      <c r="D279" s="7" t="n"/>
      <c r="E279" s="7" t="n"/>
      <c r="F279" s="7" t="n"/>
      <c r="G279" s="8" t="n"/>
      <c r="H279" s="9" t="n"/>
      <c r="I279" s="10">
        <f>IF(G279="","",G279*H279)</f>
        <v/>
      </c>
      <c r="J279" s="7" t="n"/>
    </row>
    <row r="280">
      <c r="A280" s="6" t="n"/>
      <c r="B280" s="7" t="n"/>
      <c r="C280" s="7" t="n"/>
      <c r="D280" s="7" t="n"/>
      <c r="E280" s="7" t="n"/>
      <c r="F280" s="7" t="n"/>
      <c r="G280" s="8" t="n"/>
      <c r="H280" s="9" t="n"/>
      <c r="I280" s="10">
        <f>IF(G280="","",G280*H280)</f>
        <v/>
      </c>
      <c r="J280" s="7" t="n"/>
    </row>
    <row r="281">
      <c r="A281" s="6" t="n"/>
      <c r="B281" s="7" t="n"/>
      <c r="C281" s="7" t="n"/>
      <c r="D281" s="7" t="n"/>
      <c r="E281" s="7" t="n"/>
      <c r="F281" s="7" t="n"/>
      <c r="G281" s="8" t="n"/>
      <c r="H281" s="9" t="n"/>
      <c r="I281" s="10">
        <f>IF(G281="","",G281*H281)</f>
        <v/>
      </c>
      <c r="J281" s="7" t="n"/>
    </row>
    <row r="282">
      <c r="A282" s="6" t="n"/>
      <c r="B282" s="7" t="n"/>
      <c r="C282" s="7" t="n"/>
      <c r="D282" s="7" t="n"/>
      <c r="E282" s="7" t="n"/>
      <c r="F282" s="7" t="n"/>
      <c r="G282" s="8" t="n"/>
      <c r="H282" s="9" t="n"/>
      <c r="I282" s="10">
        <f>IF(G282="","",G282*H282)</f>
        <v/>
      </c>
      <c r="J282" s="7" t="n"/>
    </row>
    <row r="283">
      <c r="A283" s="6" t="n"/>
      <c r="B283" s="7" t="n"/>
      <c r="C283" s="7" t="n"/>
      <c r="D283" s="7" t="n"/>
      <c r="E283" s="7" t="n"/>
      <c r="F283" s="7" t="n"/>
      <c r="G283" s="8" t="n"/>
      <c r="H283" s="9" t="n"/>
      <c r="I283" s="10">
        <f>IF(G283="","",G283*H283)</f>
        <v/>
      </c>
      <c r="J283" s="7" t="n"/>
    </row>
    <row r="284">
      <c r="A284" s="6" t="n"/>
      <c r="B284" s="7" t="n"/>
      <c r="C284" s="7" t="n"/>
      <c r="D284" s="7" t="n"/>
      <c r="E284" s="7" t="n"/>
      <c r="F284" s="7" t="n"/>
      <c r="G284" s="8" t="n"/>
      <c r="H284" s="9" t="n"/>
      <c r="I284" s="10">
        <f>IF(G284="","",G284*H284)</f>
        <v/>
      </c>
      <c r="J284" s="7" t="n"/>
    </row>
    <row r="285">
      <c r="A285" s="6" t="n"/>
      <c r="B285" s="7" t="n"/>
      <c r="C285" s="7" t="n"/>
      <c r="D285" s="7" t="n"/>
      <c r="E285" s="7" t="n"/>
      <c r="F285" s="7" t="n"/>
      <c r="G285" s="8" t="n"/>
      <c r="H285" s="9" t="n"/>
      <c r="I285" s="10">
        <f>IF(G285="","",G285*H285)</f>
        <v/>
      </c>
      <c r="J285" s="7" t="n"/>
    </row>
    <row r="286">
      <c r="A286" s="6" t="n"/>
      <c r="B286" s="7" t="n"/>
      <c r="C286" s="7" t="n"/>
      <c r="D286" s="7" t="n"/>
      <c r="E286" s="7" t="n"/>
      <c r="F286" s="7" t="n"/>
      <c r="G286" s="8" t="n"/>
      <c r="H286" s="9" t="n"/>
      <c r="I286" s="10">
        <f>IF(G286="","",G286*H286)</f>
        <v/>
      </c>
      <c r="J286" s="7" t="n"/>
    </row>
    <row r="287">
      <c r="A287" s="6" t="n"/>
      <c r="B287" s="7" t="n"/>
      <c r="C287" s="7" t="n"/>
      <c r="D287" s="7" t="n"/>
      <c r="E287" s="7" t="n"/>
      <c r="F287" s="7" t="n"/>
      <c r="G287" s="8" t="n"/>
      <c r="H287" s="9" t="n"/>
      <c r="I287" s="10">
        <f>IF(G287="","",G287*H287)</f>
        <v/>
      </c>
      <c r="J287" s="7" t="n"/>
    </row>
    <row r="288">
      <c r="A288" s="6" t="n"/>
      <c r="B288" s="7" t="n"/>
      <c r="C288" s="7" t="n"/>
      <c r="D288" s="7" t="n"/>
      <c r="E288" s="7" t="n"/>
      <c r="F288" s="7" t="n"/>
      <c r="G288" s="8" t="n"/>
      <c r="H288" s="9" t="n"/>
      <c r="I288" s="10">
        <f>IF(G288="","",G288*H288)</f>
        <v/>
      </c>
      <c r="J288" s="7" t="n"/>
    </row>
    <row r="289">
      <c r="A289" s="6" t="n"/>
      <c r="B289" s="7" t="n"/>
      <c r="C289" s="7" t="n"/>
      <c r="D289" s="7" t="n"/>
      <c r="E289" s="7" t="n"/>
      <c r="F289" s="7" t="n"/>
      <c r="G289" s="8" t="n"/>
      <c r="H289" s="9" t="n"/>
      <c r="I289" s="10">
        <f>IF(G289="","",G289*H289)</f>
        <v/>
      </c>
      <c r="J289" s="7" t="n"/>
    </row>
    <row r="290">
      <c r="A290" s="6" t="n"/>
      <c r="B290" s="7" t="n"/>
      <c r="C290" s="7" t="n"/>
      <c r="D290" s="7" t="n"/>
      <c r="E290" s="7" t="n"/>
      <c r="F290" s="7" t="n"/>
      <c r="G290" s="8" t="n"/>
      <c r="H290" s="9" t="n"/>
      <c r="I290" s="10">
        <f>IF(G290="","",G290*H290)</f>
        <v/>
      </c>
      <c r="J290" s="7" t="n"/>
    </row>
    <row r="291">
      <c r="A291" s="6" t="n"/>
      <c r="B291" s="7" t="n"/>
      <c r="C291" s="7" t="n"/>
      <c r="D291" s="7" t="n"/>
      <c r="E291" s="7" t="n"/>
      <c r="F291" s="7" t="n"/>
      <c r="G291" s="8" t="n"/>
      <c r="H291" s="9" t="n"/>
      <c r="I291" s="10">
        <f>IF(G291="","",G291*H291)</f>
        <v/>
      </c>
      <c r="J291" s="7" t="n"/>
    </row>
    <row r="292">
      <c r="A292" s="6" t="n"/>
      <c r="B292" s="7" t="n"/>
      <c r="C292" s="7" t="n"/>
      <c r="D292" s="7" t="n"/>
      <c r="E292" s="7" t="n"/>
      <c r="F292" s="7" t="n"/>
      <c r="G292" s="8" t="n"/>
      <c r="H292" s="9" t="n"/>
      <c r="I292" s="10">
        <f>IF(G292="","",G292*H292)</f>
        <v/>
      </c>
      <c r="J292" s="7" t="n"/>
    </row>
    <row r="293">
      <c r="A293" s="6" t="n"/>
      <c r="B293" s="7" t="n"/>
      <c r="C293" s="7" t="n"/>
      <c r="D293" s="7" t="n"/>
      <c r="E293" s="7" t="n"/>
      <c r="F293" s="7" t="n"/>
      <c r="G293" s="8" t="n"/>
      <c r="H293" s="9" t="n"/>
      <c r="I293" s="10">
        <f>IF(G293="","",G293*H293)</f>
        <v/>
      </c>
      <c r="J293" s="7" t="n"/>
    </row>
    <row r="294">
      <c r="A294" s="6" t="n"/>
      <c r="B294" s="7" t="n"/>
      <c r="C294" s="7" t="n"/>
      <c r="D294" s="7" t="n"/>
      <c r="E294" s="7" t="n"/>
      <c r="F294" s="7" t="n"/>
      <c r="G294" s="8" t="n"/>
      <c r="H294" s="9" t="n"/>
      <c r="I294" s="10">
        <f>IF(G294="","",G294*H294)</f>
        <v/>
      </c>
      <c r="J294" s="7" t="n"/>
    </row>
    <row r="295">
      <c r="A295" s="6" t="n"/>
      <c r="B295" s="7" t="n"/>
      <c r="C295" s="7" t="n"/>
      <c r="D295" s="7" t="n"/>
      <c r="E295" s="7" t="n"/>
      <c r="F295" s="7" t="n"/>
      <c r="G295" s="8" t="n"/>
      <c r="H295" s="9" t="n"/>
      <c r="I295" s="10">
        <f>IF(G295="","",G295*H295)</f>
        <v/>
      </c>
      <c r="J295" s="7" t="n"/>
    </row>
    <row r="296">
      <c r="A296" s="6" t="n"/>
      <c r="B296" s="7" t="n"/>
      <c r="C296" s="7" t="n"/>
      <c r="D296" s="7" t="n"/>
      <c r="E296" s="7" t="n"/>
      <c r="F296" s="7" t="n"/>
      <c r="G296" s="8" t="n"/>
      <c r="H296" s="9" t="n"/>
      <c r="I296" s="10">
        <f>IF(G296="","",G296*H296)</f>
        <v/>
      </c>
      <c r="J296" s="7" t="n"/>
    </row>
    <row r="297">
      <c r="A297" s="6" t="n"/>
      <c r="B297" s="7" t="n"/>
      <c r="C297" s="7" t="n"/>
      <c r="D297" s="7" t="n"/>
      <c r="E297" s="7" t="n"/>
      <c r="F297" s="7" t="n"/>
      <c r="G297" s="8" t="n"/>
      <c r="H297" s="9" t="n"/>
      <c r="I297" s="10">
        <f>IF(G297="","",G297*H297)</f>
        <v/>
      </c>
      <c r="J297" s="7" t="n"/>
    </row>
    <row r="298">
      <c r="A298" s="6" t="n"/>
      <c r="B298" s="7" t="n"/>
      <c r="C298" s="7" t="n"/>
      <c r="D298" s="7" t="n"/>
      <c r="E298" s="7" t="n"/>
      <c r="F298" s="7" t="n"/>
      <c r="G298" s="8" t="n"/>
      <c r="H298" s="9" t="n"/>
      <c r="I298" s="10">
        <f>IF(G298="","",G298*H298)</f>
        <v/>
      </c>
      <c r="J298" s="7" t="n"/>
    </row>
    <row r="299">
      <c r="A299" s="6" t="n"/>
      <c r="B299" s="7" t="n"/>
      <c r="C299" s="7" t="n"/>
      <c r="D299" s="7" t="n"/>
      <c r="E299" s="7" t="n"/>
      <c r="F299" s="7" t="n"/>
      <c r="G299" s="8" t="n"/>
      <c r="H299" s="9" t="n"/>
      <c r="I299" s="10">
        <f>IF(G299="","",G299*H299)</f>
        <v/>
      </c>
      <c r="J299" s="7" t="n"/>
    </row>
    <row r="300">
      <c r="A300" s="6" t="n"/>
      <c r="B300" s="7" t="n"/>
      <c r="C300" s="7" t="n"/>
      <c r="D300" s="7" t="n"/>
      <c r="E300" s="7" t="n"/>
      <c r="F300" s="7" t="n"/>
      <c r="G300" s="8" t="n"/>
      <c r="H300" s="9" t="n"/>
      <c r="I300" s="10">
        <f>IF(G300="","",G300*H300)</f>
        <v/>
      </c>
      <c r="J300" s="7" t="n"/>
    </row>
    <row r="301">
      <c r="A301" s="6" t="n"/>
      <c r="B301" s="7" t="n"/>
      <c r="C301" s="7" t="n"/>
      <c r="D301" s="7" t="n"/>
      <c r="E301" s="7" t="n"/>
      <c r="F301" s="7" t="n"/>
      <c r="G301" s="8" t="n"/>
      <c r="H301" s="9" t="n"/>
      <c r="I301" s="10">
        <f>IF(G301="","",G301*H301)</f>
        <v/>
      </c>
      <c r="J301" s="7" t="n"/>
    </row>
    <row r="302">
      <c r="A302" s="6" t="n"/>
      <c r="B302" s="7" t="n"/>
      <c r="C302" s="7" t="n"/>
      <c r="D302" s="7" t="n"/>
      <c r="E302" s="7" t="n"/>
      <c r="F302" s="7" t="n"/>
      <c r="G302" s="8" t="n"/>
      <c r="H302" s="9" t="n"/>
      <c r="I302" s="10">
        <f>IF(G302="","",G302*H302)</f>
        <v/>
      </c>
      <c r="J302" s="7" t="n"/>
    </row>
    <row r="303">
      <c r="A303" s="6" t="n"/>
      <c r="B303" s="7" t="n"/>
      <c r="C303" s="7" t="n"/>
      <c r="D303" s="7" t="n"/>
      <c r="E303" s="7" t="n"/>
      <c r="F303" s="7" t="n"/>
      <c r="G303" s="8" t="n"/>
      <c r="H303" s="9" t="n"/>
      <c r="I303" s="10">
        <f>IF(G303="","",G303*H303)</f>
        <v/>
      </c>
      <c r="J303" s="7" t="n"/>
    </row>
    <row r="304">
      <c r="A304" s="6" t="n"/>
      <c r="B304" s="7" t="n"/>
      <c r="C304" s="7" t="n"/>
      <c r="D304" s="7" t="n"/>
      <c r="E304" s="7" t="n"/>
      <c r="F304" s="7" t="n"/>
      <c r="G304" s="8" t="n"/>
      <c r="H304" s="9" t="n"/>
      <c r="I304" s="10">
        <f>IF(G304="","",G304*H304)</f>
        <v/>
      </c>
      <c r="J304" s="7" t="n"/>
    </row>
    <row r="305">
      <c r="A305" s="6" t="n"/>
      <c r="B305" s="7" t="n"/>
      <c r="C305" s="7" t="n"/>
      <c r="D305" s="7" t="n"/>
      <c r="E305" s="7" t="n"/>
      <c r="F305" s="7" t="n"/>
      <c r="G305" s="8" t="n"/>
      <c r="H305" s="9" t="n"/>
      <c r="I305" s="10">
        <f>IF(G305="","",G305*H305)</f>
        <v/>
      </c>
      <c r="J305" s="7" t="n"/>
    </row>
    <row r="306">
      <c r="A306" s="6" t="n"/>
      <c r="B306" s="7" t="n"/>
      <c r="C306" s="7" t="n"/>
      <c r="D306" s="7" t="n"/>
      <c r="E306" s="7" t="n"/>
      <c r="F306" s="7" t="n"/>
      <c r="G306" s="8" t="n"/>
      <c r="H306" s="9" t="n"/>
      <c r="I306" s="10">
        <f>IF(G306="","",G306*H306)</f>
        <v/>
      </c>
      <c r="J306" s="7" t="n"/>
    </row>
    <row r="307">
      <c r="A307" s="6" t="n"/>
      <c r="B307" s="7" t="n"/>
      <c r="C307" s="7" t="n"/>
      <c r="D307" s="7" t="n"/>
      <c r="E307" s="7" t="n"/>
      <c r="F307" s="7" t="n"/>
      <c r="G307" s="8" t="n"/>
      <c r="H307" s="9" t="n"/>
      <c r="I307" s="10">
        <f>IF(G307="","",G307*H307)</f>
        <v/>
      </c>
      <c r="J307" s="7" t="n"/>
    </row>
    <row r="308">
      <c r="A308" s="6" t="n"/>
      <c r="B308" s="7" t="n"/>
      <c r="C308" s="7" t="n"/>
      <c r="D308" s="7" t="n"/>
      <c r="E308" s="7" t="n"/>
      <c r="F308" s="7" t="n"/>
      <c r="G308" s="8" t="n"/>
      <c r="H308" s="9" t="n"/>
      <c r="I308" s="10">
        <f>IF(G308="","",G308*H308)</f>
        <v/>
      </c>
      <c r="J308" s="7" t="n"/>
    </row>
    <row r="309">
      <c r="A309" s="6" t="n"/>
      <c r="B309" s="7" t="n"/>
      <c r="C309" s="7" t="n"/>
      <c r="D309" s="7" t="n"/>
      <c r="E309" s="7" t="n"/>
      <c r="F309" s="7" t="n"/>
      <c r="G309" s="8" t="n"/>
      <c r="H309" s="9" t="n"/>
      <c r="I309" s="10">
        <f>IF(G309="","",G309*H309)</f>
        <v/>
      </c>
      <c r="J309" s="7" t="n"/>
    </row>
    <row r="310">
      <c r="A310" s="6" t="n"/>
      <c r="B310" s="7" t="n"/>
      <c r="C310" s="7" t="n"/>
      <c r="D310" s="7" t="n"/>
      <c r="E310" s="7" t="n"/>
      <c r="F310" s="7" t="n"/>
      <c r="G310" s="8" t="n"/>
      <c r="H310" s="9" t="n"/>
      <c r="I310" s="10">
        <f>IF(G310="","",G310*H310)</f>
        <v/>
      </c>
      <c r="J310" s="7" t="n"/>
    </row>
    <row r="311">
      <c r="A311" s="6" t="n"/>
      <c r="B311" s="7" t="n"/>
      <c r="C311" s="7" t="n"/>
      <c r="D311" s="7" t="n"/>
      <c r="E311" s="7" t="n"/>
      <c r="F311" s="7" t="n"/>
      <c r="G311" s="8" t="n"/>
      <c r="H311" s="9" t="n"/>
      <c r="I311" s="10">
        <f>IF(G311="","",G311*H311)</f>
        <v/>
      </c>
      <c r="J311" s="7" t="n"/>
    </row>
    <row r="312">
      <c r="A312" s="6" t="n"/>
      <c r="B312" s="7" t="n"/>
      <c r="C312" s="7" t="n"/>
      <c r="D312" s="7" t="n"/>
      <c r="E312" s="7" t="n"/>
      <c r="F312" s="7" t="n"/>
      <c r="G312" s="8" t="n"/>
      <c r="H312" s="9" t="n"/>
      <c r="I312" s="10">
        <f>IF(G312="","",G312*H312)</f>
        <v/>
      </c>
      <c r="J312" s="7" t="n"/>
    </row>
    <row r="313">
      <c r="A313" s="6" t="n"/>
      <c r="B313" s="7" t="n"/>
      <c r="C313" s="7" t="n"/>
      <c r="D313" s="7" t="n"/>
      <c r="E313" s="7" t="n"/>
      <c r="F313" s="7" t="n"/>
      <c r="G313" s="8" t="n"/>
      <c r="H313" s="9" t="n"/>
      <c r="I313" s="10">
        <f>IF(G313="","",G313*H313)</f>
        <v/>
      </c>
      <c r="J313" s="7" t="n"/>
    </row>
    <row r="314">
      <c r="A314" s="6" t="n"/>
      <c r="B314" s="7" t="n"/>
      <c r="C314" s="7" t="n"/>
      <c r="D314" s="7" t="n"/>
      <c r="E314" s="7" t="n"/>
      <c r="F314" s="7" t="n"/>
      <c r="G314" s="8" t="n"/>
      <c r="H314" s="9" t="n"/>
      <c r="I314" s="10">
        <f>IF(G314="","",G314*H314)</f>
        <v/>
      </c>
      <c r="J314" s="7" t="n"/>
    </row>
    <row r="315">
      <c r="A315" s="6" t="n"/>
      <c r="B315" s="7" t="n"/>
      <c r="C315" s="7" t="n"/>
      <c r="D315" s="7" t="n"/>
      <c r="E315" s="7" t="n"/>
      <c r="F315" s="7" t="n"/>
      <c r="G315" s="8" t="n"/>
      <c r="H315" s="9" t="n"/>
      <c r="I315" s="10">
        <f>IF(G315="","",G315*H315)</f>
        <v/>
      </c>
      <c r="J315" s="7" t="n"/>
    </row>
    <row r="316">
      <c r="A316" s="6" t="n"/>
      <c r="B316" s="7" t="n"/>
      <c r="C316" s="7" t="n"/>
      <c r="D316" s="7" t="n"/>
      <c r="E316" s="7" t="n"/>
      <c r="F316" s="7" t="n"/>
      <c r="G316" s="8" t="n"/>
      <c r="H316" s="9" t="n"/>
      <c r="I316" s="10">
        <f>IF(G316="","",G316*H316)</f>
        <v/>
      </c>
      <c r="J316" s="7" t="n"/>
    </row>
    <row r="317">
      <c r="A317" s="6" t="n"/>
      <c r="B317" s="7" t="n"/>
      <c r="C317" s="7" t="n"/>
      <c r="D317" s="7" t="n"/>
      <c r="E317" s="7" t="n"/>
      <c r="F317" s="7" t="n"/>
      <c r="G317" s="8" t="n"/>
      <c r="H317" s="9" t="n"/>
      <c r="I317" s="10">
        <f>IF(G317="","",G317*H317)</f>
        <v/>
      </c>
      <c r="J317" s="7" t="n"/>
    </row>
    <row r="318">
      <c r="A318" s="6" t="n"/>
      <c r="B318" s="7" t="n"/>
      <c r="C318" s="7" t="n"/>
      <c r="D318" s="7" t="n"/>
      <c r="E318" s="7" t="n"/>
      <c r="F318" s="7" t="n"/>
      <c r="G318" s="8" t="n"/>
      <c r="H318" s="9" t="n"/>
      <c r="I318" s="10">
        <f>IF(G318="","",G318*H318)</f>
        <v/>
      </c>
      <c r="J318" s="7" t="n"/>
    </row>
    <row r="319">
      <c r="A319" s="6" t="n"/>
      <c r="B319" s="7" t="n"/>
      <c r="C319" s="7" t="n"/>
      <c r="D319" s="7" t="n"/>
      <c r="E319" s="7" t="n"/>
      <c r="F319" s="7" t="n"/>
      <c r="G319" s="8" t="n"/>
      <c r="H319" s="9" t="n"/>
      <c r="I319" s="10">
        <f>IF(G319="","",G319*H319)</f>
        <v/>
      </c>
      <c r="J319" s="7" t="n"/>
    </row>
    <row r="320">
      <c r="A320" s="6" t="n"/>
      <c r="B320" s="7" t="n"/>
      <c r="C320" s="7" t="n"/>
      <c r="D320" s="7" t="n"/>
      <c r="E320" s="7" t="n"/>
      <c r="F320" s="7" t="n"/>
      <c r="G320" s="8" t="n"/>
      <c r="H320" s="9" t="n"/>
      <c r="I320" s="10">
        <f>IF(G320="","",G320*H320)</f>
        <v/>
      </c>
      <c r="J320" s="7" t="n"/>
    </row>
    <row r="321">
      <c r="A321" s="6" t="n"/>
      <c r="B321" s="7" t="n"/>
      <c r="C321" s="7" t="n"/>
      <c r="D321" s="7" t="n"/>
      <c r="E321" s="7" t="n"/>
      <c r="F321" s="7" t="n"/>
      <c r="G321" s="8" t="n"/>
      <c r="H321" s="9" t="n"/>
      <c r="I321" s="10">
        <f>IF(G321="","",G321*H321)</f>
        <v/>
      </c>
      <c r="J321" s="7" t="n"/>
    </row>
    <row r="322">
      <c r="A322" s="6" t="n"/>
      <c r="B322" s="7" t="n"/>
      <c r="C322" s="7" t="n"/>
      <c r="D322" s="7" t="n"/>
      <c r="E322" s="7" t="n"/>
      <c r="F322" s="7" t="n"/>
      <c r="G322" s="8" t="n"/>
      <c r="H322" s="9" t="n"/>
      <c r="I322" s="10">
        <f>IF(G322="","",G322*H322)</f>
        <v/>
      </c>
      <c r="J322" s="7" t="n"/>
    </row>
    <row r="323">
      <c r="A323" s="6" t="n"/>
      <c r="B323" s="7" t="n"/>
      <c r="C323" s="7" t="n"/>
      <c r="D323" s="7" t="n"/>
      <c r="E323" s="7" t="n"/>
      <c r="F323" s="7" t="n"/>
      <c r="G323" s="8" t="n"/>
      <c r="H323" s="9" t="n"/>
      <c r="I323" s="10">
        <f>IF(G323="","",G323*H323)</f>
        <v/>
      </c>
      <c r="J323" s="7" t="n"/>
    </row>
    <row r="324">
      <c r="A324" s="6" t="n"/>
      <c r="B324" s="7" t="n"/>
      <c r="C324" s="7" t="n"/>
      <c r="D324" s="7" t="n"/>
      <c r="E324" s="7" t="n"/>
      <c r="F324" s="7" t="n"/>
      <c r="G324" s="8" t="n"/>
      <c r="H324" s="9" t="n"/>
      <c r="I324" s="10">
        <f>IF(G324="","",G324*H324)</f>
        <v/>
      </c>
      <c r="J324" s="7" t="n"/>
    </row>
    <row r="325">
      <c r="A325" s="6" t="n"/>
      <c r="B325" s="7" t="n"/>
      <c r="C325" s="7" t="n"/>
      <c r="D325" s="7" t="n"/>
      <c r="E325" s="7" t="n"/>
      <c r="F325" s="7" t="n"/>
      <c r="G325" s="8" t="n"/>
      <c r="H325" s="9" t="n"/>
      <c r="I325" s="10">
        <f>IF(G325="","",G325*H325)</f>
        <v/>
      </c>
      <c r="J325" s="7" t="n"/>
    </row>
    <row r="326">
      <c r="A326" s="6" t="n"/>
      <c r="B326" s="7" t="n"/>
      <c r="C326" s="7" t="n"/>
      <c r="D326" s="7" t="n"/>
      <c r="E326" s="7" t="n"/>
      <c r="F326" s="7" t="n"/>
      <c r="G326" s="8" t="n"/>
      <c r="H326" s="9" t="n"/>
      <c r="I326" s="10">
        <f>IF(G326="","",G326*H326)</f>
        <v/>
      </c>
      <c r="J326" s="7" t="n"/>
    </row>
    <row r="327">
      <c r="A327" s="6" t="n"/>
      <c r="B327" s="7" t="n"/>
      <c r="C327" s="7" t="n"/>
      <c r="D327" s="7" t="n"/>
      <c r="E327" s="7" t="n"/>
      <c r="F327" s="7" t="n"/>
      <c r="G327" s="8" t="n"/>
      <c r="H327" s="9" t="n"/>
      <c r="I327" s="10">
        <f>IF(G327="","",G327*H327)</f>
        <v/>
      </c>
      <c r="J327" s="7" t="n"/>
    </row>
    <row r="328">
      <c r="A328" s="6" t="n"/>
      <c r="B328" s="7" t="n"/>
      <c r="C328" s="7" t="n"/>
      <c r="D328" s="7" t="n"/>
      <c r="E328" s="7" t="n"/>
      <c r="F328" s="7" t="n"/>
      <c r="G328" s="8" t="n"/>
      <c r="H328" s="9" t="n"/>
      <c r="I328" s="10">
        <f>IF(G328="","",G328*H328)</f>
        <v/>
      </c>
      <c r="J328" s="7" t="n"/>
    </row>
    <row r="329">
      <c r="A329" s="6" t="n"/>
      <c r="B329" s="7" t="n"/>
      <c r="C329" s="7" t="n"/>
      <c r="D329" s="7" t="n"/>
      <c r="E329" s="7" t="n"/>
      <c r="F329" s="7" t="n"/>
      <c r="G329" s="8" t="n"/>
      <c r="H329" s="9" t="n"/>
      <c r="I329" s="10">
        <f>IF(G329="","",G329*H329)</f>
        <v/>
      </c>
      <c r="J329" s="7" t="n"/>
    </row>
    <row r="330">
      <c r="A330" s="6" t="n"/>
      <c r="B330" s="7" t="n"/>
      <c r="C330" s="7" t="n"/>
      <c r="D330" s="7" t="n"/>
      <c r="E330" s="7" t="n"/>
      <c r="F330" s="7" t="n"/>
      <c r="G330" s="8" t="n"/>
      <c r="H330" s="9" t="n"/>
      <c r="I330" s="10">
        <f>IF(G330="","",G330*H330)</f>
        <v/>
      </c>
      <c r="J330" s="7" t="n"/>
    </row>
    <row r="331">
      <c r="A331" s="6" t="n"/>
      <c r="B331" s="7" t="n"/>
      <c r="C331" s="7" t="n"/>
      <c r="D331" s="7" t="n"/>
      <c r="E331" s="7" t="n"/>
      <c r="F331" s="7" t="n"/>
      <c r="G331" s="8" t="n"/>
      <c r="H331" s="9" t="n"/>
      <c r="I331" s="10">
        <f>IF(G331="","",G331*H331)</f>
        <v/>
      </c>
      <c r="J331" s="7" t="n"/>
    </row>
    <row r="332">
      <c r="A332" s="6" t="n"/>
      <c r="B332" s="7" t="n"/>
      <c r="C332" s="7" t="n"/>
      <c r="D332" s="7" t="n"/>
      <c r="E332" s="7" t="n"/>
      <c r="F332" s="7" t="n"/>
      <c r="G332" s="8" t="n"/>
      <c r="H332" s="9" t="n"/>
      <c r="I332" s="10">
        <f>IF(G332="","",G332*H332)</f>
        <v/>
      </c>
      <c r="J332" s="7" t="n"/>
    </row>
    <row r="333">
      <c r="A333" s="6" t="n"/>
      <c r="B333" s="7" t="n"/>
      <c r="C333" s="7" t="n"/>
      <c r="D333" s="7" t="n"/>
      <c r="E333" s="7" t="n"/>
      <c r="F333" s="7" t="n"/>
      <c r="G333" s="8" t="n"/>
      <c r="H333" s="9" t="n"/>
      <c r="I333" s="10">
        <f>IF(G333="","",G333*H333)</f>
        <v/>
      </c>
      <c r="J333" s="7" t="n"/>
    </row>
    <row r="334">
      <c r="A334" s="6" t="n"/>
      <c r="B334" s="7" t="n"/>
      <c r="C334" s="7" t="n"/>
      <c r="D334" s="7" t="n"/>
      <c r="E334" s="7" t="n"/>
      <c r="F334" s="7" t="n"/>
      <c r="G334" s="8" t="n"/>
      <c r="H334" s="9" t="n"/>
      <c r="I334" s="10">
        <f>IF(G334="","",G334*H334)</f>
        <v/>
      </c>
      <c r="J334" s="7" t="n"/>
    </row>
    <row r="335">
      <c r="A335" s="6" t="n"/>
      <c r="B335" s="7" t="n"/>
      <c r="C335" s="7" t="n"/>
      <c r="D335" s="7" t="n"/>
      <c r="E335" s="7" t="n"/>
      <c r="F335" s="7" t="n"/>
      <c r="G335" s="8" t="n"/>
      <c r="H335" s="9" t="n"/>
      <c r="I335" s="10">
        <f>IF(G335="","",G335*H335)</f>
        <v/>
      </c>
      <c r="J335" s="7" t="n"/>
    </row>
    <row r="336">
      <c r="A336" s="6" t="n"/>
      <c r="B336" s="7" t="n"/>
      <c r="C336" s="7" t="n"/>
      <c r="D336" s="7" t="n"/>
      <c r="E336" s="7" t="n"/>
      <c r="F336" s="7" t="n"/>
      <c r="G336" s="8" t="n"/>
      <c r="H336" s="9" t="n"/>
      <c r="I336" s="10">
        <f>IF(G336="","",G336*H336)</f>
        <v/>
      </c>
      <c r="J336" s="7" t="n"/>
    </row>
    <row r="337">
      <c r="A337" s="6" t="n"/>
      <c r="B337" s="7" t="n"/>
      <c r="C337" s="7" t="n"/>
      <c r="D337" s="7" t="n"/>
      <c r="E337" s="7" t="n"/>
      <c r="F337" s="7" t="n"/>
      <c r="G337" s="8" t="n"/>
      <c r="H337" s="9" t="n"/>
      <c r="I337" s="10">
        <f>IF(G337="","",G337*H337)</f>
        <v/>
      </c>
      <c r="J337" s="7" t="n"/>
    </row>
    <row r="338">
      <c r="A338" s="6" t="n"/>
      <c r="B338" s="7" t="n"/>
      <c r="C338" s="7" t="n"/>
      <c r="D338" s="7" t="n"/>
      <c r="E338" s="7" t="n"/>
      <c r="F338" s="7" t="n"/>
      <c r="G338" s="8" t="n"/>
      <c r="H338" s="9" t="n"/>
      <c r="I338" s="10">
        <f>IF(G338="","",G338*H338)</f>
        <v/>
      </c>
      <c r="J338" s="7" t="n"/>
    </row>
    <row r="339">
      <c r="A339" s="6" t="n"/>
      <c r="B339" s="7" t="n"/>
      <c r="C339" s="7" t="n"/>
      <c r="D339" s="7" t="n"/>
      <c r="E339" s="7" t="n"/>
      <c r="F339" s="7" t="n"/>
      <c r="G339" s="8" t="n"/>
      <c r="H339" s="9" t="n"/>
      <c r="I339" s="10">
        <f>IF(G339="","",G339*H339)</f>
        <v/>
      </c>
      <c r="J339" s="7" t="n"/>
    </row>
    <row r="340">
      <c r="A340" s="6" t="n"/>
      <c r="B340" s="7" t="n"/>
      <c r="C340" s="7" t="n"/>
      <c r="D340" s="7" t="n"/>
      <c r="E340" s="7" t="n"/>
      <c r="F340" s="7" t="n"/>
      <c r="G340" s="8" t="n"/>
      <c r="H340" s="9" t="n"/>
      <c r="I340" s="10">
        <f>IF(G340="","",G340*H340)</f>
        <v/>
      </c>
      <c r="J340" s="7" t="n"/>
    </row>
    <row r="341">
      <c r="A341" s="6" t="n"/>
      <c r="B341" s="7" t="n"/>
      <c r="C341" s="7" t="n"/>
      <c r="D341" s="7" t="n"/>
      <c r="E341" s="7" t="n"/>
      <c r="F341" s="7" t="n"/>
      <c r="G341" s="8" t="n"/>
      <c r="H341" s="9" t="n"/>
      <c r="I341" s="10">
        <f>IF(G341="","",G341*H341)</f>
        <v/>
      </c>
      <c r="J341" s="7" t="n"/>
    </row>
    <row r="342">
      <c r="A342" s="6" t="n"/>
      <c r="B342" s="7" t="n"/>
      <c r="C342" s="7" t="n"/>
      <c r="D342" s="7" t="n"/>
      <c r="E342" s="7" t="n"/>
      <c r="F342" s="7" t="n"/>
      <c r="G342" s="8" t="n"/>
      <c r="H342" s="9" t="n"/>
      <c r="I342" s="10">
        <f>IF(G342="","",G342*H342)</f>
        <v/>
      </c>
      <c r="J342" s="7" t="n"/>
    </row>
    <row r="343">
      <c r="A343" s="6" t="n"/>
      <c r="B343" s="7" t="n"/>
      <c r="C343" s="7" t="n"/>
      <c r="D343" s="7" t="n"/>
      <c r="E343" s="7" t="n"/>
      <c r="F343" s="7" t="n"/>
      <c r="G343" s="8" t="n"/>
      <c r="H343" s="9" t="n"/>
      <c r="I343" s="10">
        <f>IF(G343="","",G343*H343)</f>
        <v/>
      </c>
      <c r="J343" s="7" t="n"/>
    </row>
    <row r="344">
      <c r="A344" s="6" t="n"/>
      <c r="B344" s="7" t="n"/>
      <c r="C344" s="7" t="n"/>
      <c r="D344" s="7" t="n"/>
      <c r="E344" s="7" t="n"/>
      <c r="F344" s="7" t="n"/>
      <c r="G344" s="8" t="n"/>
      <c r="H344" s="9" t="n"/>
      <c r="I344" s="10">
        <f>IF(G344="","",G344*H344)</f>
        <v/>
      </c>
      <c r="J344" s="7" t="n"/>
    </row>
    <row r="345">
      <c r="A345" s="6" t="n"/>
      <c r="B345" s="7" t="n"/>
      <c r="C345" s="7" t="n"/>
      <c r="D345" s="7" t="n"/>
      <c r="E345" s="7" t="n"/>
      <c r="F345" s="7" t="n"/>
      <c r="G345" s="8" t="n"/>
      <c r="H345" s="9" t="n"/>
      <c r="I345" s="10">
        <f>IF(G345="","",G345*H345)</f>
        <v/>
      </c>
      <c r="J345" s="7" t="n"/>
    </row>
    <row r="346">
      <c r="A346" s="6" t="n"/>
      <c r="B346" s="7" t="n"/>
      <c r="C346" s="7" t="n"/>
      <c r="D346" s="7" t="n"/>
      <c r="E346" s="7" t="n"/>
      <c r="F346" s="7" t="n"/>
      <c r="G346" s="8" t="n"/>
      <c r="H346" s="9" t="n"/>
      <c r="I346" s="10">
        <f>IF(G346="","",G346*H346)</f>
        <v/>
      </c>
      <c r="J346" s="7" t="n"/>
    </row>
    <row r="347">
      <c r="A347" s="6" t="n"/>
      <c r="B347" s="7" t="n"/>
      <c r="C347" s="7" t="n"/>
      <c r="D347" s="7" t="n"/>
      <c r="E347" s="7" t="n"/>
      <c r="F347" s="7" t="n"/>
      <c r="G347" s="8" t="n"/>
      <c r="H347" s="9" t="n"/>
      <c r="I347" s="10">
        <f>IF(G347="","",G347*H347)</f>
        <v/>
      </c>
      <c r="J347" s="7" t="n"/>
    </row>
    <row r="348">
      <c r="A348" s="6" t="n"/>
      <c r="B348" s="7" t="n"/>
      <c r="C348" s="7" t="n"/>
      <c r="D348" s="7" t="n"/>
      <c r="E348" s="7" t="n"/>
      <c r="F348" s="7" t="n"/>
      <c r="G348" s="8" t="n"/>
      <c r="H348" s="9" t="n"/>
      <c r="I348" s="10">
        <f>IF(G348="","",G348*H348)</f>
        <v/>
      </c>
      <c r="J348" s="7" t="n"/>
    </row>
    <row r="349">
      <c r="A349" s="6" t="n"/>
      <c r="B349" s="7" t="n"/>
      <c r="C349" s="7" t="n"/>
      <c r="D349" s="7" t="n"/>
      <c r="E349" s="7" t="n"/>
      <c r="F349" s="7" t="n"/>
      <c r="G349" s="8" t="n"/>
      <c r="H349" s="9" t="n"/>
      <c r="I349" s="10">
        <f>IF(G349="","",G349*H349)</f>
        <v/>
      </c>
      <c r="J349" s="7" t="n"/>
    </row>
    <row r="350">
      <c r="A350" s="6" t="n"/>
      <c r="B350" s="7" t="n"/>
      <c r="C350" s="7" t="n"/>
      <c r="D350" s="7" t="n"/>
      <c r="E350" s="7" t="n"/>
      <c r="F350" s="7" t="n"/>
      <c r="G350" s="8" t="n"/>
      <c r="H350" s="9" t="n"/>
      <c r="I350" s="10">
        <f>IF(G350="","",G350*H350)</f>
        <v/>
      </c>
      <c r="J350" s="7" t="n"/>
    </row>
    <row r="351">
      <c r="A351" s="6" t="n"/>
      <c r="B351" s="7" t="n"/>
      <c r="C351" s="7" t="n"/>
      <c r="D351" s="7" t="n"/>
      <c r="E351" s="7" t="n"/>
      <c r="F351" s="7" t="n"/>
      <c r="G351" s="8" t="n"/>
      <c r="H351" s="9" t="n"/>
      <c r="I351" s="10">
        <f>IF(G351="","",G351*H351)</f>
        <v/>
      </c>
      <c r="J351" s="7" t="n"/>
    </row>
    <row r="352">
      <c r="A352" s="6" t="n"/>
      <c r="B352" s="7" t="n"/>
      <c r="C352" s="7" t="n"/>
      <c r="D352" s="7" t="n"/>
      <c r="E352" s="7" t="n"/>
      <c r="F352" s="7" t="n"/>
      <c r="G352" s="8" t="n"/>
      <c r="H352" s="9" t="n"/>
      <c r="I352" s="10">
        <f>IF(G352="","",G352*H352)</f>
        <v/>
      </c>
      <c r="J352" s="7" t="n"/>
    </row>
    <row r="353">
      <c r="A353" s="6" t="n"/>
      <c r="B353" s="7" t="n"/>
      <c r="C353" s="7" t="n"/>
      <c r="D353" s="7" t="n"/>
      <c r="E353" s="7" t="n"/>
      <c r="F353" s="7" t="n"/>
      <c r="G353" s="8" t="n"/>
      <c r="H353" s="9" t="n"/>
      <c r="I353" s="10">
        <f>IF(G353="","",G353*H353)</f>
        <v/>
      </c>
      <c r="J353" s="7" t="n"/>
    </row>
    <row r="354">
      <c r="A354" s="6" t="n"/>
      <c r="B354" s="7" t="n"/>
      <c r="C354" s="7" t="n"/>
      <c r="D354" s="7" t="n"/>
      <c r="E354" s="7" t="n"/>
      <c r="F354" s="7" t="n"/>
      <c r="G354" s="8" t="n"/>
      <c r="H354" s="9" t="n"/>
      <c r="I354" s="10">
        <f>IF(G354="","",G354*H354)</f>
        <v/>
      </c>
      <c r="J354" s="7" t="n"/>
    </row>
    <row r="355">
      <c r="A355" s="6" t="n"/>
      <c r="B355" s="7" t="n"/>
      <c r="C355" s="7" t="n"/>
      <c r="D355" s="7" t="n"/>
      <c r="E355" s="7" t="n"/>
      <c r="F355" s="7" t="n"/>
      <c r="G355" s="8" t="n"/>
      <c r="H355" s="9" t="n"/>
      <c r="I355" s="10">
        <f>IF(G355="","",G355*H355)</f>
        <v/>
      </c>
      <c r="J355" s="7" t="n"/>
    </row>
    <row r="356">
      <c r="A356" s="6" t="n"/>
      <c r="B356" s="7" t="n"/>
      <c r="C356" s="7" t="n"/>
      <c r="D356" s="7" t="n"/>
      <c r="E356" s="7" t="n"/>
      <c r="F356" s="7" t="n"/>
      <c r="G356" s="8" t="n"/>
      <c r="H356" s="9" t="n"/>
      <c r="I356" s="10">
        <f>IF(G356="","",G356*H356)</f>
        <v/>
      </c>
      <c r="J356" s="7" t="n"/>
    </row>
    <row r="357">
      <c r="A357" s="6" t="n"/>
      <c r="B357" s="7" t="n"/>
      <c r="C357" s="7" t="n"/>
      <c r="D357" s="7" t="n"/>
      <c r="E357" s="7" t="n"/>
      <c r="F357" s="7" t="n"/>
      <c r="G357" s="8" t="n"/>
      <c r="H357" s="9" t="n"/>
      <c r="I357" s="10">
        <f>IF(G357="","",G357*H357)</f>
        <v/>
      </c>
      <c r="J357" s="7" t="n"/>
    </row>
    <row r="358">
      <c r="A358" s="6" t="n"/>
      <c r="B358" s="7" t="n"/>
      <c r="C358" s="7" t="n"/>
      <c r="D358" s="7" t="n"/>
      <c r="E358" s="7" t="n"/>
      <c r="F358" s="7" t="n"/>
      <c r="G358" s="8" t="n"/>
      <c r="H358" s="9" t="n"/>
      <c r="I358" s="10">
        <f>IF(G358="","",G358*H358)</f>
        <v/>
      </c>
      <c r="J358" s="7" t="n"/>
    </row>
    <row r="359">
      <c r="A359" s="6" t="n"/>
      <c r="B359" s="7" t="n"/>
      <c r="C359" s="7" t="n"/>
      <c r="D359" s="7" t="n"/>
      <c r="E359" s="7" t="n"/>
      <c r="F359" s="7" t="n"/>
      <c r="G359" s="8" t="n"/>
      <c r="H359" s="9" t="n"/>
      <c r="I359" s="10">
        <f>IF(G359="","",G359*H359)</f>
        <v/>
      </c>
      <c r="J359" s="7" t="n"/>
    </row>
    <row r="360">
      <c r="A360" s="6" t="n"/>
      <c r="B360" s="7" t="n"/>
      <c r="C360" s="7" t="n"/>
      <c r="D360" s="7" t="n"/>
      <c r="E360" s="7" t="n"/>
      <c r="F360" s="7" t="n"/>
      <c r="G360" s="8" t="n"/>
      <c r="H360" s="9" t="n"/>
      <c r="I360" s="10">
        <f>IF(G360="","",G360*H360)</f>
        <v/>
      </c>
      <c r="J360" s="7" t="n"/>
    </row>
    <row r="361">
      <c r="A361" s="6" t="n"/>
      <c r="B361" s="7" t="n"/>
      <c r="C361" s="7" t="n"/>
      <c r="D361" s="7" t="n"/>
      <c r="E361" s="7" t="n"/>
      <c r="F361" s="7" t="n"/>
      <c r="G361" s="8" t="n"/>
      <c r="H361" s="9" t="n"/>
      <c r="I361" s="10">
        <f>IF(G361="","",G361*H361)</f>
        <v/>
      </c>
      <c r="J361" s="7" t="n"/>
    </row>
    <row r="362">
      <c r="A362" s="6" t="n"/>
      <c r="B362" s="7" t="n"/>
      <c r="C362" s="7" t="n"/>
      <c r="D362" s="7" t="n"/>
      <c r="E362" s="7" t="n"/>
      <c r="F362" s="7" t="n"/>
      <c r="G362" s="8" t="n"/>
      <c r="H362" s="9" t="n"/>
      <c r="I362" s="10">
        <f>IF(G362="","",G362*H362)</f>
        <v/>
      </c>
      <c r="J362" s="7" t="n"/>
    </row>
    <row r="363">
      <c r="A363" s="6" t="n"/>
      <c r="B363" s="7" t="n"/>
      <c r="C363" s="7" t="n"/>
      <c r="D363" s="7" t="n"/>
      <c r="E363" s="7" t="n"/>
      <c r="F363" s="7" t="n"/>
      <c r="G363" s="8" t="n"/>
      <c r="H363" s="9" t="n"/>
      <c r="I363" s="10">
        <f>IF(G363="","",G363*H363)</f>
        <v/>
      </c>
      <c r="J363" s="7" t="n"/>
    </row>
    <row r="364">
      <c r="A364" s="6" t="n"/>
      <c r="B364" s="7" t="n"/>
      <c r="C364" s="7" t="n"/>
      <c r="D364" s="7" t="n"/>
      <c r="E364" s="7" t="n"/>
      <c r="F364" s="7" t="n"/>
      <c r="G364" s="8" t="n"/>
      <c r="H364" s="9" t="n"/>
      <c r="I364" s="10">
        <f>IF(G364="","",G364*H364)</f>
        <v/>
      </c>
      <c r="J364" s="7" t="n"/>
    </row>
    <row r="365">
      <c r="A365" s="6" t="n"/>
      <c r="B365" s="7" t="n"/>
      <c r="C365" s="7" t="n"/>
      <c r="D365" s="7" t="n"/>
      <c r="E365" s="7" t="n"/>
      <c r="F365" s="7" t="n"/>
      <c r="G365" s="8" t="n"/>
      <c r="H365" s="9" t="n"/>
      <c r="I365" s="10">
        <f>IF(G365="","",G365*H365)</f>
        <v/>
      </c>
      <c r="J365" s="7" t="n"/>
    </row>
    <row r="366">
      <c r="A366" s="6" t="n"/>
      <c r="B366" s="7" t="n"/>
      <c r="C366" s="7" t="n"/>
      <c r="D366" s="7" t="n"/>
      <c r="E366" s="7" t="n"/>
      <c r="F366" s="7" t="n"/>
      <c r="G366" s="8" t="n"/>
      <c r="H366" s="9" t="n"/>
      <c r="I366" s="10">
        <f>IF(G366="","",G366*H366)</f>
        <v/>
      </c>
      <c r="J366" s="7" t="n"/>
    </row>
    <row r="367">
      <c r="A367" s="6" t="n"/>
      <c r="B367" s="7" t="n"/>
      <c r="C367" s="7" t="n"/>
      <c r="D367" s="7" t="n"/>
      <c r="E367" s="7" t="n"/>
      <c r="F367" s="7" t="n"/>
      <c r="G367" s="8" t="n"/>
      <c r="H367" s="9" t="n"/>
      <c r="I367" s="10">
        <f>IF(G367="","",G367*H367)</f>
        <v/>
      </c>
      <c r="J367" s="7" t="n"/>
    </row>
    <row r="368">
      <c r="A368" s="6" t="n"/>
      <c r="B368" s="7" t="n"/>
      <c r="C368" s="7" t="n"/>
      <c r="D368" s="7" t="n"/>
      <c r="E368" s="7" t="n"/>
      <c r="F368" s="7" t="n"/>
      <c r="G368" s="8" t="n"/>
      <c r="H368" s="9" t="n"/>
      <c r="I368" s="10">
        <f>IF(G368="","",G368*H368)</f>
        <v/>
      </c>
      <c r="J368" s="7" t="n"/>
    </row>
    <row r="369">
      <c r="A369" s="6" t="n"/>
      <c r="B369" s="7" t="n"/>
      <c r="C369" s="7" t="n"/>
      <c r="D369" s="7" t="n"/>
      <c r="E369" s="7" t="n"/>
      <c r="F369" s="7" t="n"/>
      <c r="G369" s="8" t="n"/>
      <c r="H369" s="9" t="n"/>
      <c r="I369" s="10">
        <f>IF(G369="","",G369*H369)</f>
        <v/>
      </c>
      <c r="J369" s="7" t="n"/>
    </row>
    <row r="370">
      <c r="A370" s="6" t="n"/>
      <c r="B370" s="7" t="n"/>
      <c r="C370" s="7" t="n"/>
      <c r="D370" s="7" t="n"/>
      <c r="E370" s="7" t="n"/>
      <c r="F370" s="7" t="n"/>
      <c r="G370" s="8" t="n"/>
      <c r="H370" s="9" t="n"/>
      <c r="I370" s="10">
        <f>IF(G370="","",G370*H370)</f>
        <v/>
      </c>
      <c r="J370" s="7" t="n"/>
    </row>
    <row r="371">
      <c r="A371" s="6" t="n"/>
      <c r="B371" s="7" t="n"/>
      <c r="C371" s="7" t="n"/>
      <c r="D371" s="7" t="n"/>
      <c r="E371" s="7" t="n"/>
      <c r="F371" s="7" t="n"/>
      <c r="G371" s="8" t="n"/>
      <c r="H371" s="9" t="n"/>
      <c r="I371" s="10">
        <f>IF(G371="","",G371*H371)</f>
        <v/>
      </c>
      <c r="J371" s="7" t="n"/>
    </row>
    <row r="372">
      <c r="A372" s="6" t="n"/>
      <c r="B372" s="7" t="n"/>
      <c r="C372" s="7" t="n"/>
      <c r="D372" s="7" t="n"/>
      <c r="E372" s="7" t="n"/>
      <c r="F372" s="7" t="n"/>
      <c r="G372" s="8" t="n"/>
      <c r="H372" s="9" t="n"/>
      <c r="I372" s="10">
        <f>IF(G372="","",G372*H372)</f>
        <v/>
      </c>
      <c r="J372" s="7" t="n"/>
    </row>
    <row r="373">
      <c r="A373" s="6" t="n"/>
      <c r="B373" s="7" t="n"/>
      <c r="C373" s="7" t="n"/>
      <c r="D373" s="7" t="n"/>
      <c r="E373" s="7" t="n"/>
      <c r="F373" s="7" t="n"/>
      <c r="G373" s="8" t="n"/>
      <c r="H373" s="9" t="n"/>
      <c r="I373" s="10">
        <f>IF(G373="","",G373*H373)</f>
        <v/>
      </c>
      <c r="J373" s="7" t="n"/>
    </row>
    <row r="374">
      <c r="A374" s="6" t="n"/>
      <c r="B374" s="7" t="n"/>
      <c r="C374" s="7" t="n"/>
      <c r="D374" s="7" t="n"/>
      <c r="E374" s="7" t="n"/>
      <c r="F374" s="7" t="n"/>
      <c r="G374" s="8" t="n"/>
      <c r="H374" s="9" t="n"/>
      <c r="I374" s="10">
        <f>IF(G374="","",G374*H374)</f>
        <v/>
      </c>
      <c r="J374" s="7" t="n"/>
    </row>
    <row r="375">
      <c r="A375" s="6" t="n"/>
      <c r="B375" s="7" t="n"/>
      <c r="C375" s="7" t="n"/>
      <c r="D375" s="7" t="n"/>
      <c r="E375" s="7" t="n"/>
      <c r="F375" s="7" t="n"/>
      <c r="G375" s="8" t="n"/>
      <c r="H375" s="9" t="n"/>
      <c r="I375" s="10">
        <f>IF(G375="","",G375*H375)</f>
        <v/>
      </c>
      <c r="J375" s="7" t="n"/>
    </row>
    <row r="376">
      <c r="A376" s="6" t="n"/>
      <c r="B376" s="7" t="n"/>
      <c r="C376" s="7" t="n"/>
      <c r="D376" s="7" t="n"/>
      <c r="E376" s="7" t="n"/>
      <c r="F376" s="7" t="n"/>
      <c r="G376" s="8" t="n"/>
      <c r="H376" s="9" t="n"/>
      <c r="I376" s="10">
        <f>IF(G376="","",G376*H376)</f>
        <v/>
      </c>
      <c r="J376" s="7" t="n"/>
    </row>
    <row r="377">
      <c r="A377" s="6" t="n"/>
      <c r="B377" s="7" t="n"/>
      <c r="C377" s="7" t="n"/>
      <c r="D377" s="7" t="n"/>
      <c r="E377" s="7" t="n"/>
      <c r="F377" s="7" t="n"/>
      <c r="G377" s="8" t="n"/>
      <c r="H377" s="9" t="n"/>
      <c r="I377" s="10">
        <f>IF(G377="","",G377*H377)</f>
        <v/>
      </c>
      <c r="J377" s="7" t="n"/>
    </row>
    <row r="378">
      <c r="A378" s="6" t="n"/>
      <c r="B378" s="7" t="n"/>
      <c r="C378" s="7" t="n"/>
      <c r="D378" s="7" t="n"/>
      <c r="E378" s="7" t="n"/>
      <c r="F378" s="7" t="n"/>
      <c r="G378" s="8" t="n"/>
      <c r="H378" s="9" t="n"/>
      <c r="I378" s="10">
        <f>IF(G378="","",G378*H378)</f>
        <v/>
      </c>
      <c r="J378" s="7" t="n"/>
    </row>
    <row r="379">
      <c r="A379" s="6" t="n"/>
      <c r="B379" s="7" t="n"/>
      <c r="C379" s="7" t="n"/>
      <c r="D379" s="7" t="n"/>
      <c r="E379" s="7" t="n"/>
      <c r="F379" s="7" t="n"/>
      <c r="G379" s="8" t="n"/>
      <c r="H379" s="9" t="n"/>
      <c r="I379" s="10">
        <f>IF(G379="","",G379*H379)</f>
        <v/>
      </c>
      <c r="J379" s="7" t="n"/>
    </row>
    <row r="380">
      <c r="A380" s="6" t="n"/>
      <c r="B380" s="7" t="n"/>
      <c r="C380" s="7" t="n"/>
      <c r="D380" s="7" t="n"/>
      <c r="E380" s="7" t="n"/>
      <c r="F380" s="7" t="n"/>
      <c r="G380" s="8" t="n"/>
      <c r="H380" s="9" t="n"/>
      <c r="I380" s="10">
        <f>IF(G380="","",G380*H380)</f>
        <v/>
      </c>
      <c r="J380" s="7" t="n"/>
    </row>
    <row r="381">
      <c r="A381" s="6" t="n"/>
      <c r="B381" s="7" t="n"/>
      <c r="C381" s="7" t="n"/>
      <c r="D381" s="7" t="n"/>
      <c r="E381" s="7" t="n"/>
      <c r="F381" s="7" t="n"/>
      <c r="G381" s="8" t="n"/>
      <c r="H381" s="9" t="n"/>
      <c r="I381" s="10">
        <f>IF(G381="","",G381*H381)</f>
        <v/>
      </c>
      <c r="J381" s="7" t="n"/>
    </row>
    <row r="382">
      <c r="A382" s="6" t="n"/>
      <c r="B382" s="7" t="n"/>
      <c r="C382" s="7" t="n"/>
      <c r="D382" s="7" t="n"/>
      <c r="E382" s="7" t="n"/>
      <c r="F382" s="7" t="n"/>
      <c r="G382" s="8" t="n"/>
      <c r="H382" s="9" t="n"/>
      <c r="I382" s="10">
        <f>IF(G382="","",G382*H382)</f>
        <v/>
      </c>
      <c r="J382" s="7" t="n"/>
    </row>
    <row r="383">
      <c r="A383" s="6" t="n"/>
      <c r="B383" s="7" t="n"/>
      <c r="C383" s="7" t="n"/>
      <c r="D383" s="7" t="n"/>
      <c r="E383" s="7" t="n"/>
      <c r="F383" s="7" t="n"/>
      <c r="G383" s="8" t="n"/>
      <c r="H383" s="9" t="n"/>
      <c r="I383" s="10">
        <f>IF(G383="","",G383*H383)</f>
        <v/>
      </c>
      <c r="J383" s="7" t="n"/>
    </row>
    <row r="384">
      <c r="A384" s="6" t="n"/>
      <c r="B384" s="7" t="n"/>
      <c r="C384" s="7" t="n"/>
      <c r="D384" s="7" t="n"/>
      <c r="E384" s="7" t="n"/>
      <c r="F384" s="7" t="n"/>
      <c r="G384" s="8" t="n"/>
      <c r="H384" s="9" t="n"/>
      <c r="I384" s="10">
        <f>IF(G384="","",G384*H384)</f>
        <v/>
      </c>
      <c r="J384" s="7" t="n"/>
    </row>
    <row r="385">
      <c r="A385" s="6" t="n"/>
      <c r="B385" s="7" t="n"/>
      <c r="C385" s="7" t="n"/>
      <c r="D385" s="7" t="n"/>
      <c r="E385" s="7" t="n"/>
      <c r="F385" s="7" t="n"/>
      <c r="G385" s="8" t="n"/>
      <c r="H385" s="9" t="n"/>
      <c r="I385" s="10">
        <f>IF(G385="","",G385*H385)</f>
        <v/>
      </c>
      <c r="J385" s="7" t="n"/>
    </row>
    <row r="386">
      <c r="A386" s="6" t="n"/>
      <c r="B386" s="7" t="n"/>
      <c r="C386" s="7" t="n"/>
      <c r="D386" s="7" t="n"/>
      <c r="E386" s="7" t="n"/>
      <c r="F386" s="7" t="n"/>
      <c r="G386" s="8" t="n"/>
      <c r="H386" s="9" t="n"/>
      <c r="I386" s="10">
        <f>IF(G386="","",G386*H386)</f>
        <v/>
      </c>
      <c r="J386" s="7" t="n"/>
    </row>
    <row r="387">
      <c r="A387" s="6" t="n"/>
      <c r="B387" s="7" t="n"/>
      <c r="C387" s="7" t="n"/>
      <c r="D387" s="7" t="n"/>
      <c r="E387" s="7" t="n"/>
      <c r="F387" s="7" t="n"/>
      <c r="G387" s="8" t="n"/>
      <c r="H387" s="9" t="n"/>
      <c r="I387" s="10">
        <f>IF(G387="","",G387*H387)</f>
        <v/>
      </c>
      <c r="J387" s="7" t="n"/>
    </row>
    <row r="388">
      <c r="A388" s="6" t="n"/>
      <c r="B388" s="7" t="n"/>
      <c r="C388" s="7" t="n"/>
      <c r="D388" s="7" t="n"/>
      <c r="E388" s="7" t="n"/>
      <c r="F388" s="7" t="n"/>
      <c r="G388" s="8" t="n"/>
      <c r="H388" s="9" t="n"/>
      <c r="I388" s="10">
        <f>IF(G388="","",G388*H388)</f>
        <v/>
      </c>
      <c r="J388" s="7" t="n"/>
    </row>
    <row r="389">
      <c r="A389" s="6" t="n"/>
      <c r="B389" s="7" t="n"/>
      <c r="C389" s="7" t="n"/>
      <c r="D389" s="7" t="n"/>
      <c r="E389" s="7" t="n"/>
      <c r="F389" s="7" t="n"/>
      <c r="G389" s="8" t="n"/>
      <c r="H389" s="9" t="n"/>
      <c r="I389" s="10">
        <f>IF(G389="","",G389*H389)</f>
        <v/>
      </c>
      <c r="J389" s="7" t="n"/>
    </row>
    <row r="390">
      <c r="A390" s="6" t="n"/>
      <c r="B390" s="7" t="n"/>
      <c r="C390" s="7" t="n"/>
      <c r="D390" s="7" t="n"/>
      <c r="E390" s="7" t="n"/>
      <c r="F390" s="7" t="n"/>
      <c r="G390" s="8" t="n"/>
      <c r="H390" s="9" t="n"/>
      <c r="I390" s="10">
        <f>IF(G390="","",G390*H390)</f>
        <v/>
      </c>
      <c r="J390" s="7" t="n"/>
    </row>
    <row r="391">
      <c r="A391" s="6" t="n"/>
      <c r="B391" s="7" t="n"/>
      <c r="C391" s="7" t="n"/>
      <c r="D391" s="7" t="n"/>
      <c r="E391" s="7" t="n"/>
      <c r="F391" s="7" t="n"/>
      <c r="G391" s="8" t="n"/>
      <c r="H391" s="9" t="n"/>
      <c r="I391" s="10">
        <f>IF(G391="","",G391*H391)</f>
        <v/>
      </c>
      <c r="J391" s="7" t="n"/>
    </row>
    <row r="392">
      <c r="A392" s="6" t="n"/>
      <c r="B392" s="7" t="n"/>
      <c r="C392" s="7" t="n"/>
      <c r="D392" s="7" t="n"/>
      <c r="E392" s="7" t="n"/>
      <c r="F392" s="7" t="n"/>
      <c r="G392" s="8" t="n"/>
      <c r="H392" s="9" t="n"/>
      <c r="I392" s="10">
        <f>IF(G392="","",G392*H392)</f>
        <v/>
      </c>
      <c r="J392" s="7" t="n"/>
    </row>
    <row r="393">
      <c r="A393" s="6" t="n"/>
      <c r="B393" s="7" t="n"/>
      <c r="C393" s="7" t="n"/>
      <c r="D393" s="7" t="n"/>
      <c r="E393" s="7" t="n"/>
      <c r="F393" s="7" t="n"/>
      <c r="G393" s="8" t="n"/>
      <c r="H393" s="9" t="n"/>
      <c r="I393" s="10">
        <f>IF(G393="","",G393*H393)</f>
        <v/>
      </c>
      <c r="J393" s="7" t="n"/>
    </row>
    <row r="394">
      <c r="A394" s="6" t="n"/>
      <c r="B394" s="7" t="n"/>
      <c r="C394" s="7" t="n"/>
      <c r="D394" s="7" t="n"/>
      <c r="E394" s="7" t="n"/>
      <c r="F394" s="7" t="n"/>
      <c r="G394" s="8" t="n"/>
      <c r="H394" s="9" t="n"/>
      <c r="I394" s="10">
        <f>IF(G394="","",G394*H394)</f>
        <v/>
      </c>
      <c r="J394" s="7" t="n"/>
    </row>
    <row r="395">
      <c r="A395" s="6" t="n"/>
      <c r="B395" s="7" t="n"/>
      <c r="C395" s="7" t="n"/>
      <c r="D395" s="7" t="n"/>
      <c r="E395" s="7" t="n"/>
      <c r="F395" s="7" t="n"/>
      <c r="G395" s="8" t="n"/>
      <c r="H395" s="9" t="n"/>
      <c r="I395" s="10">
        <f>IF(G395="","",G395*H395)</f>
        <v/>
      </c>
      <c r="J395" s="7" t="n"/>
    </row>
    <row r="396">
      <c r="A396" s="6" t="n"/>
      <c r="B396" s="7" t="n"/>
      <c r="C396" s="7" t="n"/>
      <c r="D396" s="7" t="n"/>
      <c r="E396" s="7" t="n"/>
      <c r="F396" s="7" t="n"/>
      <c r="G396" s="8" t="n"/>
      <c r="H396" s="9" t="n"/>
      <c r="I396" s="10">
        <f>IF(G396="","",G396*H396)</f>
        <v/>
      </c>
      <c r="J396" s="7" t="n"/>
    </row>
    <row r="397">
      <c r="A397" s="6" t="n"/>
      <c r="B397" s="7" t="n"/>
      <c r="C397" s="7" t="n"/>
      <c r="D397" s="7" t="n"/>
      <c r="E397" s="7" t="n"/>
      <c r="F397" s="7" t="n"/>
      <c r="G397" s="8" t="n"/>
      <c r="H397" s="9" t="n"/>
      <c r="I397" s="10">
        <f>IF(G397="","",G397*H397)</f>
        <v/>
      </c>
      <c r="J397" s="7" t="n"/>
    </row>
    <row r="398">
      <c r="A398" s="6" t="n"/>
      <c r="B398" s="7" t="n"/>
      <c r="C398" s="7" t="n"/>
      <c r="D398" s="7" t="n"/>
      <c r="E398" s="7" t="n"/>
      <c r="F398" s="7" t="n"/>
      <c r="G398" s="8" t="n"/>
      <c r="H398" s="9" t="n"/>
      <c r="I398" s="10">
        <f>IF(G398="","",G398*H398)</f>
        <v/>
      </c>
      <c r="J398" s="7" t="n"/>
    </row>
    <row r="399">
      <c r="A399" s="6" t="n"/>
      <c r="B399" s="7" t="n"/>
      <c r="C399" s="7" t="n"/>
      <c r="D399" s="7" t="n"/>
      <c r="E399" s="7" t="n"/>
      <c r="F399" s="7" t="n"/>
      <c r="G399" s="8" t="n"/>
      <c r="H399" s="9" t="n"/>
      <c r="I399" s="10">
        <f>IF(G399="","",G399*H399)</f>
        <v/>
      </c>
      <c r="J399" s="7" t="n"/>
    </row>
    <row r="400">
      <c r="A400" s="6" t="n"/>
      <c r="B400" s="7" t="n"/>
      <c r="C400" s="7" t="n"/>
      <c r="D400" s="7" t="n"/>
      <c r="E400" s="7" t="n"/>
      <c r="F400" s="7" t="n"/>
      <c r="G400" s="8" t="n"/>
      <c r="H400" s="9" t="n"/>
      <c r="I400" s="10">
        <f>IF(G400="","",G400*H400)</f>
        <v/>
      </c>
      <c r="J400" s="7" t="n"/>
    </row>
    <row r="401">
      <c r="A401" s="6" t="n"/>
      <c r="B401" s="7" t="n"/>
      <c r="C401" s="7" t="n"/>
      <c r="D401" s="7" t="n"/>
      <c r="E401" s="7" t="n"/>
      <c r="F401" s="7" t="n"/>
      <c r="G401" s="8" t="n"/>
      <c r="H401" s="9" t="n"/>
      <c r="I401" s="10">
        <f>IF(G401="","",G401*H401)</f>
        <v/>
      </c>
      <c r="J401" s="7" t="n"/>
    </row>
    <row r="402">
      <c r="A402" s="6" t="n"/>
      <c r="B402" s="7" t="n"/>
      <c r="C402" s="7" t="n"/>
      <c r="D402" s="7" t="n"/>
      <c r="E402" s="7" t="n"/>
      <c r="F402" s="7" t="n"/>
      <c r="G402" s="8" t="n"/>
      <c r="H402" s="9" t="n"/>
      <c r="I402" s="10">
        <f>IF(G402="","",G402*H402)</f>
        <v/>
      </c>
      <c r="J402" s="7" t="n"/>
    </row>
    <row r="403">
      <c r="A403" s="6" t="n"/>
      <c r="B403" s="7" t="n"/>
      <c r="C403" s="7" t="n"/>
      <c r="D403" s="7" t="n"/>
      <c r="E403" s="7" t="n"/>
      <c r="F403" s="7" t="n"/>
      <c r="G403" s="8" t="n"/>
      <c r="H403" s="9" t="n"/>
      <c r="I403" s="10">
        <f>IF(G403="","",G403*H403)</f>
        <v/>
      </c>
      <c r="J403" s="7" t="n"/>
    </row>
    <row r="404">
      <c r="A404" s="6" t="n"/>
      <c r="B404" s="7" t="n"/>
      <c r="C404" s="7" t="n"/>
      <c r="D404" s="7" t="n"/>
      <c r="E404" s="7" t="n"/>
      <c r="F404" s="7" t="n"/>
      <c r="G404" s="8" t="n"/>
      <c r="H404" s="9" t="n"/>
      <c r="I404" s="10">
        <f>IF(G404="","",G404*H404)</f>
        <v/>
      </c>
      <c r="J404" s="7" t="n"/>
    </row>
    <row r="405">
      <c r="A405" s="6" t="n"/>
      <c r="B405" s="7" t="n"/>
      <c r="C405" s="7" t="n"/>
      <c r="D405" s="7" t="n"/>
      <c r="E405" s="7" t="n"/>
      <c r="F405" s="7" t="n"/>
      <c r="G405" s="8" t="n"/>
      <c r="H405" s="9" t="n"/>
      <c r="I405" s="10">
        <f>IF(G405="","",G405*H405)</f>
        <v/>
      </c>
      <c r="J405" s="7" t="n"/>
    </row>
    <row r="406">
      <c r="A406" s="6" t="n"/>
      <c r="B406" s="7" t="n"/>
      <c r="C406" s="7" t="n"/>
      <c r="D406" s="7" t="n"/>
      <c r="E406" s="7" t="n"/>
      <c r="F406" s="7" t="n"/>
      <c r="G406" s="8" t="n"/>
      <c r="H406" s="9" t="n"/>
      <c r="I406" s="10">
        <f>IF(G406="","",G406*H406)</f>
        <v/>
      </c>
      <c r="J406" s="7" t="n"/>
    </row>
    <row r="407">
      <c r="A407" s="6" t="n"/>
      <c r="B407" s="7" t="n"/>
      <c r="C407" s="7" t="n"/>
      <c r="D407" s="7" t="n"/>
      <c r="E407" s="7" t="n"/>
      <c r="F407" s="7" t="n"/>
      <c r="G407" s="8" t="n"/>
      <c r="H407" s="9" t="n"/>
      <c r="I407" s="10">
        <f>IF(G407="","",G407*H407)</f>
        <v/>
      </c>
      <c r="J407" s="7" t="n"/>
    </row>
    <row r="408">
      <c r="A408" s="6" t="n"/>
      <c r="B408" s="7" t="n"/>
      <c r="C408" s="7" t="n"/>
      <c r="D408" s="7" t="n"/>
      <c r="E408" s="7" t="n"/>
      <c r="F408" s="7" t="n"/>
      <c r="G408" s="8" t="n"/>
      <c r="H408" s="9" t="n"/>
      <c r="I408" s="10">
        <f>IF(G408="","",G408*H408)</f>
        <v/>
      </c>
      <c r="J408" s="7" t="n"/>
    </row>
    <row r="409">
      <c r="A409" s="6" t="n"/>
      <c r="B409" s="7" t="n"/>
      <c r="C409" s="7" t="n"/>
      <c r="D409" s="7" t="n"/>
      <c r="E409" s="7" t="n"/>
      <c r="F409" s="7" t="n"/>
      <c r="G409" s="8" t="n"/>
      <c r="H409" s="9" t="n"/>
      <c r="I409" s="10">
        <f>IF(G409="","",G409*H409)</f>
        <v/>
      </c>
      <c r="J409" s="7" t="n"/>
    </row>
    <row r="410">
      <c r="A410" s="6" t="n"/>
      <c r="B410" s="7" t="n"/>
      <c r="C410" s="7" t="n"/>
      <c r="D410" s="7" t="n"/>
      <c r="E410" s="7" t="n"/>
      <c r="F410" s="7" t="n"/>
      <c r="G410" s="8" t="n"/>
      <c r="H410" s="9" t="n"/>
      <c r="I410" s="10">
        <f>IF(G410="","",G410*H410)</f>
        <v/>
      </c>
      <c r="J410" s="7" t="n"/>
    </row>
    <row r="411">
      <c r="A411" s="6" t="n"/>
      <c r="B411" s="7" t="n"/>
      <c r="C411" s="7" t="n"/>
      <c r="D411" s="7" t="n"/>
      <c r="E411" s="7" t="n"/>
      <c r="F411" s="7" t="n"/>
      <c r="G411" s="8" t="n"/>
      <c r="H411" s="9" t="n"/>
      <c r="I411" s="10">
        <f>IF(G411="","",G411*H411)</f>
        <v/>
      </c>
      <c r="J411" s="7" t="n"/>
    </row>
    <row r="412">
      <c r="A412" s="6" t="n"/>
      <c r="B412" s="7" t="n"/>
      <c r="C412" s="7" t="n"/>
      <c r="D412" s="7" t="n"/>
      <c r="E412" s="7" t="n"/>
      <c r="F412" s="7" t="n"/>
      <c r="G412" s="8" t="n"/>
      <c r="H412" s="9" t="n"/>
      <c r="I412" s="10">
        <f>IF(G412="","",G412*H412)</f>
        <v/>
      </c>
      <c r="J412" s="7" t="n"/>
    </row>
    <row r="413">
      <c r="A413" s="6" t="n"/>
      <c r="B413" s="7" t="n"/>
      <c r="C413" s="7" t="n"/>
      <c r="D413" s="7" t="n"/>
      <c r="E413" s="7" t="n"/>
      <c r="F413" s="7" t="n"/>
      <c r="G413" s="8" t="n"/>
      <c r="H413" s="9" t="n"/>
      <c r="I413" s="10">
        <f>IF(G413="","",G413*H413)</f>
        <v/>
      </c>
      <c r="J413" s="7" t="n"/>
    </row>
    <row r="414">
      <c r="A414" s="6" t="n"/>
      <c r="B414" s="7" t="n"/>
      <c r="C414" s="7" t="n"/>
      <c r="D414" s="7" t="n"/>
      <c r="E414" s="7" t="n"/>
      <c r="F414" s="7" t="n"/>
      <c r="G414" s="8" t="n"/>
      <c r="H414" s="9" t="n"/>
      <c r="I414" s="10">
        <f>IF(G414="","",G414*H414)</f>
        <v/>
      </c>
      <c r="J414" s="7" t="n"/>
    </row>
    <row r="415">
      <c r="A415" s="6" t="n"/>
      <c r="B415" s="7" t="n"/>
      <c r="C415" s="7" t="n"/>
      <c r="D415" s="7" t="n"/>
      <c r="E415" s="7" t="n"/>
      <c r="F415" s="7" t="n"/>
      <c r="G415" s="8" t="n"/>
      <c r="H415" s="9" t="n"/>
      <c r="I415" s="10">
        <f>IF(G415="","",G415*H415)</f>
        <v/>
      </c>
      <c r="J415" s="7" t="n"/>
    </row>
    <row r="416">
      <c r="A416" s="6" t="n"/>
      <c r="B416" s="7" t="n"/>
      <c r="C416" s="7" t="n"/>
      <c r="D416" s="7" t="n"/>
      <c r="E416" s="7" t="n"/>
      <c r="F416" s="7" t="n"/>
      <c r="G416" s="8" t="n"/>
      <c r="H416" s="9" t="n"/>
      <c r="I416" s="10">
        <f>IF(G416="","",G416*H416)</f>
        <v/>
      </c>
      <c r="J416" s="7" t="n"/>
    </row>
    <row r="417">
      <c r="A417" s="6" t="n"/>
      <c r="B417" s="7" t="n"/>
      <c r="C417" s="7" t="n"/>
      <c r="D417" s="7" t="n"/>
      <c r="E417" s="7" t="n"/>
      <c r="F417" s="7" t="n"/>
      <c r="G417" s="8" t="n"/>
      <c r="H417" s="9" t="n"/>
      <c r="I417" s="10">
        <f>IF(G417="","",G417*H417)</f>
        <v/>
      </c>
      <c r="J417" s="7" t="n"/>
    </row>
    <row r="418">
      <c r="A418" s="6" t="n"/>
      <c r="B418" s="7" t="n"/>
      <c r="C418" s="7" t="n"/>
      <c r="D418" s="7" t="n"/>
      <c r="E418" s="7" t="n"/>
      <c r="F418" s="7" t="n"/>
      <c r="G418" s="8" t="n"/>
      <c r="H418" s="9" t="n"/>
      <c r="I418" s="10">
        <f>IF(G418="","",G418*H418)</f>
        <v/>
      </c>
      <c r="J418" s="7" t="n"/>
    </row>
    <row r="419">
      <c r="A419" s="6" t="n"/>
      <c r="B419" s="7" t="n"/>
      <c r="C419" s="7" t="n"/>
      <c r="D419" s="7" t="n"/>
      <c r="E419" s="7" t="n"/>
      <c r="F419" s="7" t="n"/>
      <c r="G419" s="8" t="n"/>
      <c r="H419" s="9" t="n"/>
      <c r="I419" s="10">
        <f>IF(G419="","",G419*H419)</f>
        <v/>
      </c>
      <c r="J419" s="7" t="n"/>
    </row>
    <row r="420">
      <c r="A420" s="6" t="n"/>
      <c r="B420" s="7" t="n"/>
      <c r="C420" s="7" t="n"/>
      <c r="D420" s="7" t="n"/>
      <c r="E420" s="7" t="n"/>
      <c r="F420" s="7" t="n"/>
      <c r="G420" s="8" t="n"/>
      <c r="H420" s="9" t="n"/>
      <c r="I420" s="10">
        <f>IF(G420="","",G420*H420)</f>
        <v/>
      </c>
      <c r="J420" s="7" t="n"/>
    </row>
    <row r="421">
      <c r="A421" s="6" t="n"/>
      <c r="B421" s="7" t="n"/>
      <c r="C421" s="7" t="n"/>
      <c r="D421" s="7" t="n"/>
      <c r="E421" s="7" t="n"/>
      <c r="F421" s="7" t="n"/>
      <c r="G421" s="8" t="n"/>
      <c r="H421" s="9" t="n"/>
      <c r="I421" s="10">
        <f>IF(G421="","",G421*H421)</f>
        <v/>
      </c>
      <c r="J421" s="7" t="n"/>
    </row>
    <row r="422">
      <c r="A422" s="6" t="n"/>
      <c r="B422" s="7" t="n"/>
      <c r="C422" s="7" t="n"/>
      <c r="D422" s="7" t="n"/>
      <c r="E422" s="7" t="n"/>
      <c r="F422" s="7" t="n"/>
      <c r="G422" s="8" t="n"/>
      <c r="H422" s="9" t="n"/>
      <c r="I422" s="10">
        <f>IF(G422="","",G422*H422)</f>
        <v/>
      </c>
      <c r="J422" s="7" t="n"/>
    </row>
    <row r="423">
      <c r="A423" s="6" t="n"/>
      <c r="B423" s="7" t="n"/>
      <c r="C423" s="7" t="n"/>
      <c r="D423" s="7" t="n"/>
      <c r="E423" s="7" t="n"/>
      <c r="F423" s="7" t="n"/>
      <c r="G423" s="8" t="n"/>
      <c r="H423" s="9" t="n"/>
      <c r="I423" s="10">
        <f>IF(G423="","",G423*H423)</f>
        <v/>
      </c>
      <c r="J423" s="7" t="n"/>
    </row>
    <row r="424">
      <c r="A424" s="6" t="n"/>
      <c r="B424" s="7" t="n"/>
      <c r="C424" s="7" t="n"/>
      <c r="D424" s="7" t="n"/>
      <c r="E424" s="7" t="n"/>
      <c r="F424" s="7" t="n"/>
      <c r="G424" s="8" t="n"/>
      <c r="H424" s="9" t="n"/>
      <c r="I424" s="10">
        <f>IF(G424="","",G424*H424)</f>
        <v/>
      </c>
      <c r="J424" s="7" t="n"/>
    </row>
    <row r="425">
      <c r="A425" s="6" t="n"/>
      <c r="B425" s="7" t="n"/>
      <c r="C425" s="7" t="n"/>
      <c r="D425" s="7" t="n"/>
      <c r="E425" s="7" t="n"/>
      <c r="F425" s="7" t="n"/>
      <c r="G425" s="8" t="n"/>
      <c r="H425" s="9" t="n"/>
      <c r="I425" s="10">
        <f>IF(G425="","",G425*H425)</f>
        <v/>
      </c>
      <c r="J425" s="7" t="n"/>
    </row>
    <row r="426">
      <c r="A426" s="6" t="n"/>
      <c r="B426" s="7" t="n"/>
      <c r="C426" s="7" t="n"/>
      <c r="D426" s="7" t="n"/>
      <c r="E426" s="7" t="n"/>
      <c r="F426" s="7" t="n"/>
      <c r="G426" s="8" t="n"/>
      <c r="H426" s="9" t="n"/>
      <c r="I426" s="10">
        <f>IF(G426="","",G426*H426)</f>
        <v/>
      </c>
      <c r="J426" s="7" t="n"/>
    </row>
    <row r="427">
      <c r="A427" s="6" t="n"/>
      <c r="B427" s="7" t="n"/>
      <c r="C427" s="7" t="n"/>
      <c r="D427" s="7" t="n"/>
      <c r="E427" s="7" t="n"/>
      <c r="F427" s="7" t="n"/>
      <c r="G427" s="8" t="n"/>
      <c r="H427" s="9" t="n"/>
      <c r="I427" s="10">
        <f>IF(G427="","",G427*H427)</f>
        <v/>
      </c>
      <c r="J427" s="7" t="n"/>
    </row>
    <row r="428">
      <c r="A428" s="6" t="n"/>
      <c r="B428" s="7" t="n"/>
      <c r="C428" s="7" t="n"/>
      <c r="D428" s="7" t="n"/>
      <c r="E428" s="7" t="n"/>
      <c r="F428" s="7" t="n"/>
      <c r="G428" s="8" t="n"/>
      <c r="H428" s="9" t="n"/>
      <c r="I428" s="10">
        <f>IF(G428="","",G428*H428)</f>
        <v/>
      </c>
      <c r="J428" s="7" t="n"/>
    </row>
    <row r="429">
      <c r="A429" s="6" t="n"/>
      <c r="B429" s="7" t="n"/>
      <c r="C429" s="7" t="n"/>
      <c r="D429" s="7" t="n"/>
      <c r="E429" s="7" t="n"/>
      <c r="F429" s="7" t="n"/>
      <c r="G429" s="8" t="n"/>
      <c r="H429" s="9" t="n"/>
      <c r="I429" s="10">
        <f>IF(G429="","",G429*H429)</f>
        <v/>
      </c>
      <c r="J429" s="7" t="n"/>
    </row>
    <row r="430">
      <c r="A430" s="6" t="n"/>
      <c r="B430" s="7" t="n"/>
      <c r="C430" s="7" t="n"/>
      <c r="D430" s="7" t="n"/>
      <c r="E430" s="7" t="n"/>
      <c r="F430" s="7" t="n"/>
      <c r="G430" s="8" t="n"/>
      <c r="H430" s="9" t="n"/>
      <c r="I430" s="10">
        <f>IF(G430="","",G430*H430)</f>
        <v/>
      </c>
      <c r="J430" s="7" t="n"/>
    </row>
    <row r="431">
      <c r="A431" s="6" t="n"/>
      <c r="B431" s="7" t="n"/>
      <c r="C431" s="7" t="n"/>
      <c r="D431" s="7" t="n"/>
      <c r="E431" s="7" t="n"/>
      <c r="F431" s="7" t="n"/>
      <c r="G431" s="8" t="n"/>
      <c r="H431" s="9" t="n"/>
      <c r="I431" s="10">
        <f>IF(G431="","",G431*H431)</f>
        <v/>
      </c>
      <c r="J431" s="7" t="n"/>
    </row>
    <row r="432">
      <c r="A432" s="6" t="n"/>
      <c r="B432" s="7" t="n"/>
      <c r="C432" s="7" t="n"/>
      <c r="D432" s="7" t="n"/>
      <c r="E432" s="7" t="n"/>
      <c r="F432" s="7" t="n"/>
      <c r="G432" s="8" t="n"/>
      <c r="H432" s="9" t="n"/>
      <c r="I432" s="10">
        <f>IF(G432="","",G432*H432)</f>
        <v/>
      </c>
      <c r="J432" s="7" t="n"/>
    </row>
    <row r="433">
      <c r="A433" s="6" t="n"/>
      <c r="B433" s="7" t="n"/>
      <c r="C433" s="7" t="n"/>
      <c r="D433" s="7" t="n"/>
      <c r="E433" s="7" t="n"/>
      <c r="F433" s="7" t="n"/>
      <c r="G433" s="8" t="n"/>
      <c r="H433" s="9" t="n"/>
      <c r="I433" s="10">
        <f>IF(G433="","",G433*H433)</f>
        <v/>
      </c>
      <c r="J433" s="7" t="n"/>
    </row>
    <row r="434">
      <c r="A434" s="6" t="n"/>
      <c r="B434" s="7" t="n"/>
      <c r="C434" s="7" t="n"/>
      <c r="D434" s="7" t="n"/>
      <c r="E434" s="7" t="n"/>
      <c r="F434" s="7" t="n"/>
      <c r="G434" s="8" t="n"/>
      <c r="H434" s="9" t="n"/>
      <c r="I434" s="10">
        <f>IF(G434="","",G434*H434)</f>
        <v/>
      </c>
      <c r="J434" s="7" t="n"/>
    </row>
    <row r="435">
      <c r="A435" s="6" t="n"/>
      <c r="B435" s="7" t="n"/>
      <c r="C435" s="7" t="n"/>
      <c r="D435" s="7" t="n"/>
      <c r="E435" s="7" t="n"/>
      <c r="F435" s="7" t="n"/>
      <c r="G435" s="8" t="n"/>
      <c r="H435" s="9" t="n"/>
      <c r="I435" s="10">
        <f>IF(G435="","",G435*H435)</f>
        <v/>
      </c>
      <c r="J435" s="7" t="n"/>
    </row>
    <row r="436">
      <c r="A436" s="6" t="n"/>
      <c r="B436" s="7" t="n"/>
      <c r="C436" s="7" t="n"/>
      <c r="D436" s="7" t="n"/>
      <c r="E436" s="7" t="n"/>
      <c r="F436" s="7" t="n"/>
      <c r="G436" s="8" t="n"/>
      <c r="H436" s="9" t="n"/>
      <c r="I436" s="10">
        <f>IF(G436="","",G436*H436)</f>
        <v/>
      </c>
      <c r="J436" s="7" t="n"/>
    </row>
    <row r="437">
      <c r="A437" s="6" t="n"/>
      <c r="B437" s="7" t="n"/>
      <c r="C437" s="7" t="n"/>
      <c r="D437" s="7" t="n"/>
      <c r="E437" s="7" t="n"/>
      <c r="F437" s="7" t="n"/>
      <c r="G437" s="8" t="n"/>
      <c r="H437" s="9" t="n"/>
      <c r="I437" s="10">
        <f>IF(G437="","",G437*H437)</f>
        <v/>
      </c>
      <c r="J437" s="7" t="n"/>
    </row>
    <row r="438">
      <c r="A438" s="6" t="n"/>
      <c r="B438" s="7" t="n"/>
      <c r="C438" s="7" t="n"/>
      <c r="D438" s="7" t="n"/>
      <c r="E438" s="7" t="n"/>
      <c r="F438" s="7" t="n"/>
      <c r="G438" s="8" t="n"/>
      <c r="H438" s="9" t="n"/>
      <c r="I438" s="10">
        <f>IF(G438="","",G438*H438)</f>
        <v/>
      </c>
      <c r="J438" s="7" t="n"/>
    </row>
    <row r="439">
      <c r="A439" s="6" t="n"/>
      <c r="B439" s="7" t="n"/>
      <c r="C439" s="7" t="n"/>
      <c r="D439" s="7" t="n"/>
      <c r="E439" s="7" t="n"/>
      <c r="F439" s="7" t="n"/>
      <c r="G439" s="8" t="n"/>
      <c r="H439" s="9" t="n"/>
      <c r="I439" s="10">
        <f>IF(G439="","",G439*H439)</f>
        <v/>
      </c>
      <c r="J439" s="7" t="n"/>
    </row>
    <row r="440">
      <c r="A440" s="6" t="n"/>
      <c r="B440" s="7" t="n"/>
      <c r="C440" s="7" t="n"/>
      <c r="D440" s="7" t="n"/>
      <c r="E440" s="7" t="n"/>
      <c r="F440" s="7" t="n"/>
      <c r="G440" s="8" t="n"/>
      <c r="H440" s="9" t="n"/>
      <c r="I440" s="10">
        <f>IF(G440="","",G440*H440)</f>
        <v/>
      </c>
      <c r="J440" s="7" t="n"/>
    </row>
    <row r="441">
      <c r="A441" s="6" t="n"/>
      <c r="B441" s="7" t="n"/>
      <c r="C441" s="7" t="n"/>
      <c r="D441" s="7" t="n"/>
      <c r="E441" s="7" t="n"/>
      <c r="F441" s="7" t="n"/>
      <c r="G441" s="8" t="n"/>
      <c r="H441" s="9" t="n"/>
      <c r="I441" s="10">
        <f>IF(G441="","",G441*H441)</f>
        <v/>
      </c>
      <c r="J441" s="7" t="n"/>
    </row>
    <row r="442">
      <c r="A442" s="6" t="n"/>
      <c r="B442" s="7" t="n"/>
      <c r="C442" s="7" t="n"/>
      <c r="D442" s="7" t="n"/>
      <c r="E442" s="7" t="n"/>
      <c r="F442" s="7" t="n"/>
      <c r="G442" s="8" t="n"/>
      <c r="H442" s="9" t="n"/>
      <c r="I442" s="10">
        <f>IF(G442="","",G442*H442)</f>
        <v/>
      </c>
      <c r="J442" s="7" t="n"/>
    </row>
    <row r="443">
      <c r="A443" s="6" t="n"/>
      <c r="B443" s="7" t="n"/>
      <c r="C443" s="7" t="n"/>
      <c r="D443" s="7" t="n"/>
      <c r="E443" s="7" t="n"/>
      <c r="F443" s="7" t="n"/>
      <c r="G443" s="8" t="n"/>
      <c r="H443" s="9" t="n"/>
      <c r="I443" s="10">
        <f>IF(G443="","",G443*H443)</f>
        <v/>
      </c>
      <c r="J443" s="7" t="n"/>
    </row>
    <row r="444">
      <c r="A444" s="6" t="n"/>
      <c r="B444" s="7" t="n"/>
      <c r="C444" s="7" t="n"/>
      <c r="D444" s="7" t="n"/>
      <c r="E444" s="7" t="n"/>
      <c r="F444" s="7" t="n"/>
      <c r="G444" s="8" t="n"/>
      <c r="H444" s="9" t="n"/>
      <c r="I444" s="10">
        <f>IF(G444="","",G444*H444)</f>
        <v/>
      </c>
      <c r="J444" s="7" t="n"/>
    </row>
    <row r="445">
      <c r="A445" s="6" t="n"/>
      <c r="B445" s="7" t="n"/>
      <c r="C445" s="7" t="n"/>
      <c r="D445" s="7" t="n"/>
      <c r="E445" s="7" t="n"/>
      <c r="F445" s="7" t="n"/>
      <c r="G445" s="8" t="n"/>
      <c r="H445" s="9" t="n"/>
      <c r="I445" s="10">
        <f>IF(G445="","",G445*H445)</f>
        <v/>
      </c>
      <c r="J445" s="7" t="n"/>
    </row>
    <row r="446">
      <c r="A446" s="6" t="n"/>
      <c r="B446" s="7" t="n"/>
      <c r="C446" s="7" t="n"/>
      <c r="D446" s="7" t="n"/>
      <c r="E446" s="7" t="n"/>
      <c r="F446" s="7" t="n"/>
      <c r="G446" s="8" t="n"/>
      <c r="H446" s="9" t="n"/>
      <c r="I446" s="10">
        <f>IF(G446="","",G446*H446)</f>
        <v/>
      </c>
      <c r="J446" s="7" t="n"/>
    </row>
    <row r="447">
      <c r="A447" s="6" t="n"/>
      <c r="B447" s="7" t="n"/>
      <c r="C447" s="7" t="n"/>
      <c r="D447" s="7" t="n"/>
      <c r="E447" s="7" t="n"/>
      <c r="F447" s="7" t="n"/>
      <c r="G447" s="8" t="n"/>
      <c r="H447" s="9" t="n"/>
      <c r="I447" s="10">
        <f>IF(G447="","",G447*H447)</f>
        <v/>
      </c>
      <c r="J447" s="7" t="n"/>
    </row>
    <row r="448">
      <c r="A448" s="6" t="n"/>
      <c r="B448" s="7" t="n"/>
      <c r="C448" s="7" t="n"/>
      <c r="D448" s="7" t="n"/>
      <c r="E448" s="7" t="n"/>
      <c r="F448" s="7" t="n"/>
      <c r="G448" s="8" t="n"/>
      <c r="H448" s="9" t="n"/>
      <c r="I448" s="10">
        <f>IF(G448="","",G448*H448)</f>
        <v/>
      </c>
      <c r="J448" s="7" t="n"/>
    </row>
    <row r="449">
      <c r="A449" s="6" t="n"/>
      <c r="B449" s="7" t="n"/>
      <c r="C449" s="7" t="n"/>
      <c r="D449" s="7" t="n"/>
      <c r="E449" s="7" t="n"/>
      <c r="F449" s="7" t="n"/>
      <c r="G449" s="8" t="n"/>
      <c r="H449" s="9" t="n"/>
      <c r="I449" s="10">
        <f>IF(G449="","",G449*H449)</f>
        <v/>
      </c>
      <c r="J449" s="7" t="n"/>
    </row>
    <row r="450">
      <c r="A450" s="6" t="n"/>
      <c r="B450" s="7" t="n"/>
      <c r="C450" s="7" t="n"/>
      <c r="D450" s="7" t="n"/>
      <c r="E450" s="7" t="n"/>
      <c r="F450" s="7" t="n"/>
      <c r="G450" s="8" t="n"/>
      <c r="H450" s="9" t="n"/>
      <c r="I450" s="10">
        <f>IF(G450="","",G450*H450)</f>
        <v/>
      </c>
      <c r="J450" s="7" t="n"/>
    </row>
    <row r="451">
      <c r="A451" s="6" t="n"/>
      <c r="B451" s="7" t="n"/>
      <c r="C451" s="7" t="n"/>
      <c r="D451" s="7" t="n"/>
      <c r="E451" s="7" t="n"/>
      <c r="F451" s="7" t="n"/>
      <c r="G451" s="8" t="n"/>
      <c r="H451" s="9" t="n"/>
      <c r="I451" s="10">
        <f>IF(G451="","",G451*H451)</f>
        <v/>
      </c>
      <c r="J451" s="7" t="n"/>
    </row>
    <row r="452">
      <c r="A452" s="6" t="n"/>
      <c r="B452" s="7" t="n"/>
      <c r="C452" s="7" t="n"/>
      <c r="D452" s="7" t="n"/>
      <c r="E452" s="7" t="n"/>
      <c r="F452" s="7" t="n"/>
      <c r="G452" s="8" t="n"/>
      <c r="H452" s="9" t="n"/>
      <c r="I452" s="10">
        <f>IF(G452="","",G452*H452)</f>
        <v/>
      </c>
      <c r="J452" s="7" t="n"/>
    </row>
    <row r="453">
      <c r="A453" s="6" t="n"/>
      <c r="B453" s="7" t="n"/>
      <c r="C453" s="7" t="n"/>
      <c r="D453" s="7" t="n"/>
      <c r="E453" s="7" t="n"/>
      <c r="F453" s="7" t="n"/>
      <c r="G453" s="8" t="n"/>
      <c r="H453" s="9" t="n"/>
      <c r="I453" s="10">
        <f>IF(G453="","",G453*H453)</f>
        <v/>
      </c>
      <c r="J453" s="7" t="n"/>
    </row>
    <row r="454">
      <c r="A454" s="6" t="n"/>
      <c r="B454" s="7" t="n"/>
      <c r="C454" s="7" t="n"/>
      <c r="D454" s="7" t="n"/>
      <c r="E454" s="7" t="n"/>
      <c r="F454" s="7" t="n"/>
      <c r="G454" s="8" t="n"/>
      <c r="H454" s="9" t="n"/>
      <c r="I454" s="10">
        <f>IF(G454="","",G454*H454)</f>
        <v/>
      </c>
      <c r="J454" s="7" t="n"/>
    </row>
    <row r="455">
      <c r="A455" s="6" t="n"/>
      <c r="B455" s="7" t="n"/>
      <c r="C455" s="7" t="n"/>
      <c r="D455" s="7" t="n"/>
      <c r="E455" s="7" t="n"/>
      <c r="F455" s="7" t="n"/>
      <c r="G455" s="8" t="n"/>
      <c r="H455" s="9" t="n"/>
      <c r="I455" s="10">
        <f>IF(G455="","",G455*H455)</f>
        <v/>
      </c>
      <c r="J455" s="7" t="n"/>
    </row>
    <row r="456">
      <c r="A456" s="6" t="n"/>
      <c r="B456" s="7" t="n"/>
      <c r="C456" s="7" t="n"/>
      <c r="D456" s="7" t="n"/>
      <c r="E456" s="7" t="n"/>
      <c r="F456" s="7" t="n"/>
      <c r="G456" s="8" t="n"/>
      <c r="H456" s="9" t="n"/>
      <c r="I456" s="10">
        <f>IF(G456="","",G456*H456)</f>
        <v/>
      </c>
      <c r="J456" s="7" t="n"/>
    </row>
    <row r="457">
      <c r="A457" s="6" t="n"/>
      <c r="B457" s="7" t="n"/>
      <c r="C457" s="7" t="n"/>
      <c r="D457" s="7" t="n"/>
      <c r="E457" s="7" t="n"/>
      <c r="F457" s="7" t="n"/>
      <c r="G457" s="8" t="n"/>
      <c r="H457" s="9" t="n"/>
      <c r="I457" s="10">
        <f>IF(G457="","",G457*H457)</f>
        <v/>
      </c>
      <c r="J457" s="7" t="n"/>
    </row>
    <row r="458">
      <c r="A458" s="6" t="n"/>
      <c r="B458" s="7" t="n"/>
      <c r="C458" s="7" t="n"/>
      <c r="D458" s="7" t="n"/>
      <c r="E458" s="7" t="n"/>
      <c r="F458" s="7" t="n"/>
      <c r="G458" s="8" t="n"/>
      <c r="H458" s="9" t="n"/>
      <c r="I458" s="10">
        <f>IF(G458="","",G458*H458)</f>
        <v/>
      </c>
      <c r="J458" s="7" t="n"/>
    </row>
    <row r="459">
      <c r="A459" s="6" t="n"/>
      <c r="B459" s="7" t="n"/>
      <c r="C459" s="7" t="n"/>
      <c r="D459" s="7" t="n"/>
      <c r="E459" s="7" t="n"/>
      <c r="F459" s="7" t="n"/>
      <c r="G459" s="8" t="n"/>
      <c r="H459" s="9" t="n"/>
      <c r="I459" s="10">
        <f>IF(G459="","",G459*H459)</f>
        <v/>
      </c>
      <c r="J459" s="7" t="n"/>
    </row>
    <row r="460">
      <c r="A460" s="6" t="n"/>
      <c r="B460" s="7" t="n"/>
      <c r="C460" s="7" t="n"/>
      <c r="D460" s="7" t="n"/>
      <c r="E460" s="7" t="n"/>
      <c r="F460" s="7" t="n"/>
      <c r="G460" s="8" t="n"/>
      <c r="H460" s="9" t="n"/>
      <c r="I460" s="10">
        <f>IF(G460="","",G460*H460)</f>
        <v/>
      </c>
      <c r="J460" s="7" t="n"/>
    </row>
    <row r="461">
      <c r="A461" s="6" t="n"/>
      <c r="B461" s="7" t="n"/>
      <c r="C461" s="7" t="n"/>
      <c r="D461" s="7" t="n"/>
      <c r="E461" s="7" t="n"/>
      <c r="F461" s="7" t="n"/>
      <c r="G461" s="8" t="n"/>
      <c r="H461" s="9" t="n"/>
      <c r="I461" s="10">
        <f>IF(G461="","",G461*H461)</f>
        <v/>
      </c>
      <c r="J461" s="7" t="n"/>
    </row>
    <row r="462">
      <c r="A462" s="6" t="n"/>
      <c r="B462" s="7" t="n"/>
      <c r="C462" s="7" t="n"/>
      <c r="D462" s="7" t="n"/>
      <c r="E462" s="7" t="n"/>
      <c r="F462" s="7" t="n"/>
      <c r="G462" s="8" t="n"/>
      <c r="H462" s="9" t="n"/>
      <c r="I462" s="10">
        <f>IF(G462="","",G462*H462)</f>
        <v/>
      </c>
      <c r="J462" s="7" t="n"/>
    </row>
    <row r="463">
      <c r="A463" s="6" t="n"/>
      <c r="B463" s="7" t="n"/>
      <c r="C463" s="7" t="n"/>
      <c r="D463" s="7" t="n"/>
      <c r="E463" s="7" t="n"/>
      <c r="F463" s="7" t="n"/>
      <c r="G463" s="8" t="n"/>
      <c r="H463" s="9" t="n"/>
      <c r="I463" s="10">
        <f>IF(G463="","",G463*H463)</f>
        <v/>
      </c>
      <c r="J463" s="7" t="n"/>
    </row>
    <row r="464">
      <c r="A464" s="6" t="n"/>
      <c r="B464" s="7" t="n"/>
      <c r="C464" s="7" t="n"/>
      <c r="D464" s="7" t="n"/>
      <c r="E464" s="7" t="n"/>
      <c r="F464" s="7" t="n"/>
      <c r="G464" s="8" t="n"/>
      <c r="H464" s="9" t="n"/>
      <c r="I464" s="10">
        <f>IF(G464="","",G464*H464)</f>
        <v/>
      </c>
      <c r="J464" s="7" t="n"/>
    </row>
    <row r="465">
      <c r="A465" s="6" t="n"/>
      <c r="B465" s="7" t="n"/>
      <c r="C465" s="7" t="n"/>
      <c r="D465" s="7" t="n"/>
      <c r="E465" s="7" t="n"/>
      <c r="F465" s="7" t="n"/>
      <c r="G465" s="8" t="n"/>
      <c r="H465" s="9" t="n"/>
      <c r="I465" s="10">
        <f>IF(G465="","",G465*H465)</f>
        <v/>
      </c>
      <c r="J465" s="7" t="n"/>
    </row>
    <row r="466">
      <c r="A466" s="6" t="n"/>
      <c r="B466" s="7" t="n"/>
      <c r="C466" s="7" t="n"/>
      <c r="D466" s="7" t="n"/>
      <c r="E466" s="7" t="n"/>
      <c r="F466" s="7" t="n"/>
      <c r="G466" s="8" t="n"/>
      <c r="H466" s="9" t="n"/>
      <c r="I466" s="10">
        <f>IF(G466="","",G466*H466)</f>
        <v/>
      </c>
      <c r="J466" s="7" t="n"/>
    </row>
    <row r="467">
      <c r="A467" s="6" t="n"/>
      <c r="B467" s="7" t="n"/>
      <c r="C467" s="7" t="n"/>
      <c r="D467" s="7" t="n"/>
      <c r="E467" s="7" t="n"/>
      <c r="F467" s="7" t="n"/>
      <c r="G467" s="8" t="n"/>
      <c r="H467" s="9" t="n"/>
      <c r="I467" s="10">
        <f>IF(G467="","",G467*H467)</f>
        <v/>
      </c>
      <c r="J467" s="7" t="n"/>
    </row>
    <row r="468">
      <c r="A468" s="6" t="n"/>
      <c r="B468" s="7" t="n"/>
      <c r="C468" s="7" t="n"/>
      <c r="D468" s="7" t="n"/>
      <c r="E468" s="7" t="n"/>
      <c r="F468" s="7" t="n"/>
      <c r="G468" s="8" t="n"/>
      <c r="H468" s="9" t="n"/>
      <c r="I468" s="10">
        <f>IF(G468="","",G468*H468)</f>
        <v/>
      </c>
      <c r="J468" s="7" t="n"/>
    </row>
    <row r="469">
      <c r="A469" s="6" t="n"/>
      <c r="B469" s="7" t="n"/>
      <c r="C469" s="7" t="n"/>
      <c r="D469" s="7" t="n"/>
      <c r="E469" s="7" t="n"/>
      <c r="F469" s="7" t="n"/>
      <c r="G469" s="8" t="n"/>
      <c r="H469" s="9" t="n"/>
      <c r="I469" s="10">
        <f>IF(G469="","",G469*H469)</f>
        <v/>
      </c>
      <c r="J469" s="7" t="n"/>
    </row>
    <row r="470">
      <c r="A470" s="6" t="n"/>
      <c r="B470" s="7" t="n"/>
      <c r="C470" s="7" t="n"/>
      <c r="D470" s="7" t="n"/>
      <c r="E470" s="7" t="n"/>
      <c r="F470" s="7" t="n"/>
      <c r="G470" s="8" t="n"/>
      <c r="H470" s="9" t="n"/>
      <c r="I470" s="10">
        <f>IF(G470="","",G470*H470)</f>
        <v/>
      </c>
      <c r="J470" s="7" t="n"/>
    </row>
    <row r="471">
      <c r="A471" s="6" t="n"/>
      <c r="B471" s="7" t="n"/>
      <c r="C471" s="7" t="n"/>
      <c r="D471" s="7" t="n"/>
      <c r="E471" s="7" t="n"/>
      <c r="F471" s="7" t="n"/>
      <c r="G471" s="8" t="n"/>
      <c r="H471" s="9" t="n"/>
      <c r="I471" s="10">
        <f>IF(G471="","",G471*H471)</f>
        <v/>
      </c>
      <c r="J471" s="7" t="n"/>
    </row>
    <row r="472">
      <c r="A472" s="6" t="n"/>
      <c r="B472" s="7" t="n"/>
      <c r="C472" s="7" t="n"/>
      <c r="D472" s="7" t="n"/>
      <c r="E472" s="7" t="n"/>
      <c r="F472" s="7" t="n"/>
      <c r="G472" s="8" t="n"/>
      <c r="H472" s="9" t="n"/>
      <c r="I472" s="10">
        <f>IF(G472="","",G472*H472)</f>
        <v/>
      </c>
      <c r="J472" s="7" t="n"/>
    </row>
    <row r="473">
      <c r="A473" s="6" t="n"/>
      <c r="B473" s="7" t="n"/>
      <c r="C473" s="7" t="n"/>
      <c r="D473" s="7" t="n"/>
      <c r="E473" s="7" t="n"/>
      <c r="F473" s="7" t="n"/>
      <c r="G473" s="8" t="n"/>
      <c r="H473" s="9" t="n"/>
      <c r="I473" s="10">
        <f>IF(G473="","",G473*H473)</f>
        <v/>
      </c>
      <c r="J473" s="7" t="n"/>
    </row>
    <row r="474">
      <c r="A474" s="6" t="n"/>
      <c r="B474" s="7" t="n"/>
      <c r="C474" s="7" t="n"/>
      <c r="D474" s="7" t="n"/>
      <c r="E474" s="7" t="n"/>
      <c r="F474" s="7" t="n"/>
      <c r="G474" s="8" t="n"/>
      <c r="H474" s="9" t="n"/>
      <c r="I474" s="10">
        <f>IF(G474="","",G474*H474)</f>
        <v/>
      </c>
      <c r="J474" s="7" t="n"/>
    </row>
    <row r="475">
      <c r="A475" s="6" t="n"/>
      <c r="B475" s="7" t="n"/>
      <c r="C475" s="7" t="n"/>
      <c r="D475" s="7" t="n"/>
      <c r="E475" s="7" t="n"/>
      <c r="F475" s="7" t="n"/>
      <c r="G475" s="8" t="n"/>
      <c r="H475" s="9" t="n"/>
      <c r="I475" s="10">
        <f>IF(G475="","",G475*H475)</f>
        <v/>
      </c>
      <c r="J475" s="7" t="n"/>
    </row>
    <row r="476">
      <c r="A476" s="6" t="n"/>
      <c r="B476" s="7" t="n"/>
      <c r="C476" s="7" t="n"/>
      <c r="D476" s="7" t="n"/>
      <c r="E476" s="7" t="n"/>
      <c r="F476" s="7" t="n"/>
      <c r="G476" s="8" t="n"/>
      <c r="H476" s="9" t="n"/>
      <c r="I476" s="10">
        <f>IF(G476="","",G476*H476)</f>
        <v/>
      </c>
      <c r="J476" s="7" t="n"/>
    </row>
    <row r="477">
      <c r="A477" s="6" t="n"/>
      <c r="B477" s="7" t="n"/>
      <c r="C477" s="7" t="n"/>
      <c r="D477" s="7" t="n"/>
      <c r="E477" s="7" t="n"/>
      <c r="F477" s="7" t="n"/>
      <c r="G477" s="8" t="n"/>
      <c r="H477" s="9" t="n"/>
      <c r="I477" s="10">
        <f>IF(G477="","",G477*H477)</f>
        <v/>
      </c>
      <c r="J477" s="7" t="n"/>
    </row>
    <row r="478">
      <c r="A478" s="6" t="n"/>
      <c r="B478" s="7" t="n"/>
      <c r="C478" s="7" t="n"/>
      <c r="D478" s="7" t="n"/>
      <c r="E478" s="7" t="n"/>
      <c r="F478" s="7" t="n"/>
      <c r="G478" s="8" t="n"/>
      <c r="H478" s="9" t="n"/>
      <c r="I478" s="10">
        <f>IF(G478="","",G478*H478)</f>
        <v/>
      </c>
      <c r="J478" s="7" t="n"/>
    </row>
    <row r="479">
      <c r="A479" s="6" t="n"/>
      <c r="B479" s="7" t="n"/>
      <c r="C479" s="7" t="n"/>
      <c r="D479" s="7" t="n"/>
      <c r="E479" s="7" t="n"/>
      <c r="F479" s="7" t="n"/>
      <c r="G479" s="8" t="n"/>
      <c r="H479" s="9" t="n"/>
      <c r="I479" s="10">
        <f>IF(G479="","",G479*H479)</f>
        <v/>
      </c>
      <c r="J479" s="7" t="n"/>
    </row>
    <row r="480">
      <c r="A480" s="6" t="n"/>
      <c r="B480" s="7" t="n"/>
      <c r="C480" s="7" t="n"/>
      <c r="D480" s="7" t="n"/>
      <c r="E480" s="7" t="n"/>
      <c r="F480" s="7" t="n"/>
      <c r="G480" s="8" t="n"/>
      <c r="H480" s="9" t="n"/>
      <c r="I480" s="10">
        <f>IF(G480="","",G480*H480)</f>
        <v/>
      </c>
      <c r="J480" s="7" t="n"/>
    </row>
    <row r="481">
      <c r="A481" s="6" t="n"/>
      <c r="B481" s="7" t="n"/>
      <c r="C481" s="7" t="n"/>
      <c r="D481" s="7" t="n"/>
      <c r="E481" s="7" t="n"/>
      <c r="F481" s="7" t="n"/>
      <c r="G481" s="8" t="n"/>
      <c r="H481" s="9" t="n"/>
      <c r="I481" s="10">
        <f>IF(G481="","",G481*H481)</f>
        <v/>
      </c>
      <c r="J481" s="7" t="n"/>
    </row>
    <row r="482">
      <c r="A482" s="6" t="n"/>
      <c r="B482" s="7" t="n"/>
      <c r="C482" s="7" t="n"/>
      <c r="D482" s="7" t="n"/>
      <c r="E482" s="7" t="n"/>
      <c r="F482" s="7" t="n"/>
      <c r="G482" s="8" t="n"/>
      <c r="H482" s="9" t="n"/>
      <c r="I482" s="10">
        <f>IF(G482="","",G482*H482)</f>
        <v/>
      </c>
      <c r="J482" s="7" t="n"/>
    </row>
    <row r="483">
      <c r="A483" s="6" t="n"/>
      <c r="B483" s="7" t="n"/>
      <c r="C483" s="7" t="n"/>
      <c r="D483" s="7" t="n"/>
      <c r="E483" s="7" t="n"/>
      <c r="F483" s="7" t="n"/>
      <c r="G483" s="8" t="n"/>
      <c r="H483" s="9" t="n"/>
      <c r="I483" s="10">
        <f>IF(G483="","",G483*H483)</f>
        <v/>
      </c>
      <c r="J483" s="7" t="n"/>
    </row>
    <row r="484">
      <c r="A484" s="6" t="n"/>
      <c r="B484" s="7" t="n"/>
      <c r="C484" s="7" t="n"/>
      <c r="D484" s="7" t="n"/>
      <c r="E484" s="7" t="n"/>
      <c r="F484" s="7" t="n"/>
      <c r="G484" s="8" t="n"/>
      <c r="H484" s="9" t="n"/>
      <c r="I484" s="10">
        <f>IF(G484="","",G484*H484)</f>
        <v/>
      </c>
      <c r="J484" s="7" t="n"/>
    </row>
    <row r="485">
      <c r="A485" s="6" t="n"/>
      <c r="B485" s="7" t="n"/>
      <c r="C485" s="7" t="n"/>
      <c r="D485" s="7" t="n"/>
      <c r="E485" s="7" t="n"/>
      <c r="F485" s="7" t="n"/>
      <c r="G485" s="8" t="n"/>
      <c r="H485" s="9" t="n"/>
      <c r="I485" s="10">
        <f>IF(G485="","",G485*H485)</f>
        <v/>
      </c>
      <c r="J485" s="7" t="n"/>
    </row>
    <row r="486">
      <c r="A486" s="6" t="n"/>
      <c r="B486" s="7" t="n"/>
      <c r="C486" s="7" t="n"/>
      <c r="D486" s="7" t="n"/>
      <c r="E486" s="7" t="n"/>
      <c r="F486" s="7" t="n"/>
      <c r="G486" s="8" t="n"/>
      <c r="H486" s="9" t="n"/>
      <c r="I486" s="10">
        <f>IF(G486="","",G486*H486)</f>
        <v/>
      </c>
      <c r="J486" s="7" t="n"/>
    </row>
    <row r="487">
      <c r="A487" s="6" t="n"/>
      <c r="B487" s="7" t="n"/>
      <c r="C487" s="7" t="n"/>
      <c r="D487" s="7" t="n"/>
      <c r="E487" s="7" t="n"/>
      <c r="F487" s="7" t="n"/>
      <c r="G487" s="8" t="n"/>
      <c r="H487" s="9" t="n"/>
      <c r="I487" s="10">
        <f>IF(G487="","",G487*H487)</f>
        <v/>
      </c>
      <c r="J487" s="7" t="n"/>
    </row>
    <row r="488">
      <c r="A488" s="6" t="n"/>
      <c r="B488" s="7" t="n"/>
      <c r="C488" s="7" t="n"/>
      <c r="D488" s="7" t="n"/>
      <c r="E488" s="7" t="n"/>
      <c r="F488" s="7" t="n"/>
      <c r="G488" s="8" t="n"/>
      <c r="H488" s="9" t="n"/>
      <c r="I488" s="10">
        <f>IF(G488="","",G488*H488)</f>
        <v/>
      </c>
      <c r="J488" s="7" t="n"/>
    </row>
    <row r="489">
      <c r="A489" s="6" t="n"/>
      <c r="B489" s="7" t="n"/>
      <c r="C489" s="7" t="n"/>
      <c r="D489" s="7" t="n"/>
      <c r="E489" s="7" t="n"/>
      <c r="F489" s="7" t="n"/>
      <c r="G489" s="8" t="n"/>
      <c r="H489" s="9" t="n"/>
      <c r="I489" s="10">
        <f>IF(G489="","",G489*H489)</f>
        <v/>
      </c>
      <c r="J489" s="7" t="n"/>
    </row>
    <row r="490">
      <c r="A490" s="6" t="n"/>
      <c r="B490" s="7" t="n"/>
      <c r="C490" s="7" t="n"/>
      <c r="D490" s="7" t="n"/>
      <c r="E490" s="7" t="n"/>
      <c r="F490" s="7" t="n"/>
      <c r="G490" s="8" t="n"/>
      <c r="H490" s="9" t="n"/>
      <c r="I490" s="10">
        <f>IF(G490="","",G490*H490)</f>
        <v/>
      </c>
      <c r="J490" s="7" t="n"/>
    </row>
    <row r="491">
      <c r="A491" s="6" t="n"/>
      <c r="B491" s="7" t="n"/>
      <c r="C491" s="7" t="n"/>
      <c r="D491" s="7" t="n"/>
      <c r="E491" s="7" t="n"/>
      <c r="F491" s="7" t="n"/>
      <c r="G491" s="8" t="n"/>
      <c r="H491" s="9" t="n"/>
      <c r="I491" s="10">
        <f>IF(G491="","",G491*H491)</f>
        <v/>
      </c>
      <c r="J491" s="7" t="n"/>
    </row>
    <row r="492">
      <c r="A492" s="6" t="n"/>
      <c r="B492" s="7" t="n"/>
      <c r="C492" s="7" t="n"/>
      <c r="D492" s="7" t="n"/>
      <c r="E492" s="7" t="n"/>
      <c r="F492" s="7" t="n"/>
      <c r="G492" s="8" t="n"/>
      <c r="H492" s="9" t="n"/>
      <c r="I492" s="10">
        <f>IF(G492="","",G492*H492)</f>
        <v/>
      </c>
      <c r="J492" s="7" t="n"/>
    </row>
    <row r="493">
      <c r="A493" s="6" t="n"/>
      <c r="B493" s="7" t="n"/>
      <c r="C493" s="7" t="n"/>
      <c r="D493" s="7" t="n"/>
      <c r="E493" s="7" t="n"/>
      <c r="F493" s="7" t="n"/>
      <c r="G493" s="8" t="n"/>
      <c r="H493" s="9" t="n"/>
      <c r="I493" s="10">
        <f>IF(G493="","",G493*H493)</f>
        <v/>
      </c>
      <c r="J493" s="7" t="n"/>
    </row>
    <row r="494">
      <c r="A494" s="6" t="n"/>
      <c r="B494" s="7" t="n"/>
      <c r="C494" s="7" t="n"/>
      <c r="D494" s="7" t="n"/>
      <c r="E494" s="7" t="n"/>
      <c r="F494" s="7" t="n"/>
      <c r="G494" s="8" t="n"/>
      <c r="H494" s="9" t="n"/>
      <c r="I494" s="10">
        <f>IF(G494="","",G494*H494)</f>
        <v/>
      </c>
      <c r="J494" s="7" t="n"/>
    </row>
    <row r="495">
      <c r="A495" s="6" t="n"/>
      <c r="B495" s="7" t="n"/>
      <c r="C495" s="7" t="n"/>
      <c r="D495" s="7" t="n"/>
      <c r="E495" s="7" t="n"/>
      <c r="F495" s="7" t="n"/>
      <c r="G495" s="8" t="n"/>
      <c r="H495" s="9" t="n"/>
      <c r="I495" s="10">
        <f>IF(G495="","",G495*H495)</f>
        <v/>
      </c>
      <c r="J495" s="7" t="n"/>
    </row>
    <row r="496">
      <c r="A496" s="6" t="n"/>
      <c r="B496" s="7" t="n"/>
      <c r="C496" s="7" t="n"/>
      <c r="D496" s="7" t="n"/>
      <c r="E496" s="7" t="n"/>
      <c r="F496" s="7" t="n"/>
      <c r="G496" s="8" t="n"/>
      <c r="H496" s="9" t="n"/>
      <c r="I496" s="10">
        <f>IF(G496="","",G496*H496)</f>
        <v/>
      </c>
      <c r="J496" s="7" t="n"/>
    </row>
    <row r="497">
      <c r="A497" s="6" t="n"/>
      <c r="B497" s="7" t="n"/>
      <c r="C497" s="7" t="n"/>
      <c r="D497" s="7" t="n"/>
      <c r="E497" s="7" t="n"/>
      <c r="F497" s="7" t="n"/>
      <c r="G497" s="8" t="n"/>
      <c r="H497" s="9" t="n"/>
      <c r="I497" s="10">
        <f>IF(G497="","",G497*H497)</f>
        <v/>
      </c>
      <c r="J497" s="7" t="n"/>
    </row>
    <row r="498">
      <c r="A498" s="6" t="n"/>
      <c r="B498" s="7" t="n"/>
      <c r="C498" s="7" t="n"/>
      <c r="D498" s="7" t="n"/>
      <c r="E498" s="7" t="n"/>
      <c r="F498" s="7" t="n"/>
      <c r="G498" s="8" t="n"/>
      <c r="H498" s="9" t="n"/>
      <c r="I498" s="10">
        <f>IF(G498="","",G498*H498)</f>
        <v/>
      </c>
      <c r="J498" s="7" t="n"/>
    </row>
    <row r="499">
      <c r="A499" s="6" t="n"/>
      <c r="B499" s="7" t="n"/>
      <c r="C499" s="7" t="n"/>
      <c r="D499" s="7" t="n"/>
      <c r="E499" s="7" t="n"/>
      <c r="F499" s="7" t="n"/>
      <c r="G499" s="8" t="n"/>
      <c r="H499" s="9" t="n"/>
      <c r="I499" s="10">
        <f>IF(G499="","",G499*H499)</f>
        <v/>
      </c>
      <c r="J499" s="7" t="n"/>
    </row>
    <row r="500">
      <c r="A500" s="6" t="n"/>
      <c r="B500" s="7" t="n"/>
      <c r="C500" s="7" t="n"/>
      <c r="D500" s="7" t="n"/>
      <c r="E500" s="7" t="n"/>
      <c r="F500" s="7" t="n"/>
      <c r="G500" s="8" t="n"/>
      <c r="H500" s="9" t="n"/>
      <c r="I500" s="10">
        <f>IF(G500="","",G500*H500)</f>
        <v/>
      </c>
      <c r="J500" s="7" t="n"/>
    </row>
    <row r="501">
      <c r="A501" s="6" t="n"/>
      <c r="B501" s="7" t="n"/>
      <c r="C501" s="7" t="n"/>
      <c r="D501" s="7" t="n"/>
      <c r="E501" s="7" t="n"/>
      <c r="F501" s="7" t="n"/>
      <c r="G501" s="8" t="n"/>
      <c r="H501" s="9" t="n"/>
      <c r="I501" s="10">
        <f>IF(G501="","",G501*H501)</f>
        <v/>
      </c>
      <c r="J501" s="7" t="n"/>
    </row>
    <row r="502">
      <c r="A502" s="6" t="n"/>
      <c r="B502" s="7" t="n"/>
      <c r="C502" s="7" t="n"/>
      <c r="D502" s="7" t="n"/>
      <c r="E502" s="7" t="n"/>
      <c r="F502" s="7" t="n"/>
      <c r="G502" s="8" t="n"/>
      <c r="H502" s="9" t="n"/>
      <c r="I502" s="10">
        <f>IF(G502="","",G502*H502)</f>
        <v/>
      </c>
      <c r="J502" s="7" t="n"/>
    </row>
    <row r="503">
      <c r="A503" s="6" t="n"/>
      <c r="B503" s="7" t="n"/>
      <c r="C503" s="7" t="n"/>
      <c r="D503" s="7" t="n"/>
      <c r="E503" s="7" t="n"/>
      <c r="F503" s="7" t="n"/>
      <c r="G503" s="8" t="n"/>
      <c r="H503" s="9" t="n"/>
      <c r="I503" s="10">
        <f>IF(G503="","",G503*H503)</f>
        <v/>
      </c>
      <c r="J503" s="7" t="n"/>
    </row>
    <row r="504">
      <c r="A504" s="6" t="n"/>
      <c r="B504" s="7" t="n"/>
      <c r="C504" s="7" t="n"/>
      <c r="D504" s="7" t="n"/>
      <c r="E504" s="7" t="n"/>
      <c r="F504" s="7" t="n"/>
      <c r="G504" s="8" t="n"/>
      <c r="H504" s="9" t="n"/>
      <c r="I504" s="10">
        <f>IF(G504="","",G504*H504)</f>
        <v/>
      </c>
      <c r="J504" s="7" t="n"/>
    </row>
    <row r="505">
      <c r="A505" s="6" t="n"/>
      <c r="B505" s="7" t="n"/>
      <c r="C505" s="7" t="n"/>
      <c r="D505" s="7" t="n"/>
      <c r="E505" s="7" t="n"/>
      <c r="F505" s="7" t="n"/>
      <c r="G505" s="8" t="n"/>
      <c r="H505" s="9" t="n"/>
      <c r="I505" s="10">
        <f>IF(G505="","",G505*H505)</f>
        <v/>
      </c>
      <c r="J505" s="7" t="n"/>
    </row>
    <row r="506">
      <c r="A506" s="6" t="n"/>
      <c r="B506" s="7" t="n"/>
      <c r="C506" s="7" t="n"/>
      <c r="D506" s="7" t="n"/>
      <c r="E506" s="7" t="n"/>
      <c r="F506" s="7" t="n"/>
      <c r="G506" s="8" t="n"/>
      <c r="H506" s="9" t="n"/>
      <c r="I506" s="10">
        <f>IF(G506="","",G506*H506)</f>
        <v/>
      </c>
      <c r="J506" s="7" t="n"/>
    </row>
    <row r="507">
      <c r="A507" s="6" t="n"/>
      <c r="B507" s="7" t="n"/>
      <c r="C507" s="7" t="n"/>
      <c r="D507" s="7" t="n"/>
      <c r="E507" s="7" t="n"/>
      <c r="F507" s="7" t="n"/>
      <c r="G507" s="8" t="n"/>
      <c r="H507" s="9" t="n"/>
      <c r="I507" s="10">
        <f>IF(G507="","",G507*H507)</f>
        <v/>
      </c>
      <c r="J507" s="7" t="n"/>
    </row>
    <row r="508">
      <c r="A508" s="6" t="n"/>
      <c r="B508" s="7" t="n"/>
      <c r="C508" s="7" t="n"/>
      <c r="D508" s="7" t="n"/>
      <c r="E508" s="7" t="n"/>
      <c r="F508" s="7" t="n"/>
      <c r="G508" s="8" t="n"/>
      <c r="H508" s="9" t="n"/>
      <c r="I508" s="10">
        <f>IF(G508="","",G508*H508)</f>
        <v/>
      </c>
      <c r="J508" s="7" t="n"/>
    </row>
    <row r="509">
      <c r="A509" s="6" t="n"/>
      <c r="B509" s="7" t="n"/>
      <c r="C509" s="7" t="n"/>
      <c r="D509" s="7" t="n"/>
      <c r="E509" s="7" t="n"/>
      <c r="F509" s="7" t="n"/>
      <c r="G509" s="8" t="n"/>
      <c r="H509" s="9" t="n"/>
      <c r="I509" s="10">
        <f>IF(G509="","",G509*H509)</f>
        <v/>
      </c>
      <c r="J509" s="7" t="n"/>
    </row>
    <row r="510">
      <c r="A510" s="6" t="n"/>
      <c r="B510" s="7" t="n"/>
      <c r="C510" s="7" t="n"/>
      <c r="D510" s="7" t="n"/>
      <c r="E510" s="7" t="n"/>
      <c r="F510" s="7" t="n"/>
      <c r="G510" s="8" t="n"/>
      <c r="H510" s="9" t="n"/>
      <c r="I510" s="10">
        <f>IF(G510="","",G510*H510)</f>
        <v/>
      </c>
      <c r="J510" s="7" t="n"/>
    </row>
    <row r="511">
      <c r="A511" s="6" t="n"/>
      <c r="B511" s="7" t="n"/>
      <c r="C511" s="7" t="n"/>
      <c r="D511" s="7" t="n"/>
      <c r="E511" s="7" t="n"/>
      <c r="F511" s="7" t="n"/>
      <c r="G511" s="8" t="n"/>
      <c r="H511" s="9" t="n"/>
      <c r="I511" s="10">
        <f>IF(G511="","",G511*H511)</f>
        <v/>
      </c>
      <c r="J511" s="7" t="n"/>
    </row>
    <row r="512">
      <c r="A512" s="6" t="n"/>
      <c r="B512" s="7" t="n"/>
      <c r="C512" s="7" t="n"/>
      <c r="D512" s="7" t="n"/>
      <c r="E512" s="7" t="n"/>
      <c r="F512" s="7" t="n"/>
      <c r="G512" s="8" t="n"/>
      <c r="H512" s="9" t="n"/>
      <c r="I512" s="10">
        <f>IF(G512="","",G512*H512)</f>
        <v/>
      </c>
      <c r="J512" s="7" t="n"/>
    </row>
    <row r="513">
      <c r="A513" s="6" t="n"/>
      <c r="B513" s="7" t="n"/>
      <c r="C513" s="7" t="n"/>
      <c r="D513" s="7" t="n"/>
      <c r="E513" s="7" t="n"/>
      <c r="F513" s="7" t="n"/>
      <c r="G513" s="8" t="n"/>
      <c r="H513" s="9" t="n"/>
      <c r="I513" s="10">
        <f>IF(G513="","",G513*H513)</f>
        <v/>
      </c>
      <c r="J513" s="7" t="n"/>
    </row>
    <row r="514">
      <c r="A514" s="6" t="n"/>
      <c r="B514" s="7" t="n"/>
      <c r="C514" s="7" t="n"/>
      <c r="D514" s="7" t="n"/>
      <c r="E514" s="7" t="n"/>
      <c r="F514" s="7" t="n"/>
      <c r="G514" s="8" t="n"/>
      <c r="H514" s="9" t="n"/>
      <c r="I514" s="10">
        <f>IF(G514="","",G514*H514)</f>
        <v/>
      </c>
      <c r="J514" s="7" t="n"/>
    </row>
    <row r="515">
      <c r="A515" s="6" t="n"/>
      <c r="B515" s="7" t="n"/>
      <c r="C515" s="7" t="n"/>
      <c r="D515" s="7" t="n"/>
      <c r="E515" s="7" t="n"/>
      <c r="F515" s="7" t="n"/>
      <c r="G515" s="8" t="n"/>
      <c r="H515" s="9" t="n"/>
      <c r="I515" s="10">
        <f>IF(G515="","",G515*H515)</f>
        <v/>
      </c>
      <c r="J515" s="7" t="n"/>
    </row>
    <row r="516">
      <c r="A516" s="6" t="n"/>
      <c r="B516" s="7" t="n"/>
      <c r="C516" s="7" t="n"/>
      <c r="D516" s="7" t="n"/>
      <c r="E516" s="7" t="n"/>
      <c r="F516" s="7" t="n"/>
      <c r="G516" s="8" t="n"/>
      <c r="H516" s="9" t="n"/>
      <c r="I516" s="10">
        <f>IF(G516="","",G516*H516)</f>
        <v/>
      </c>
      <c r="J516" s="7" t="n"/>
    </row>
    <row r="517">
      <c r="A517" s="6" t="n"/>
      <c r="B517" s="7" t="n"/>
      <c r="C517" s="7" t="n"/>
      <c r="D517" s="7" t="n"/>
      <c r="E517" s="7" t="n"/>
      <c r="F517" s="7" t="n"/>
      <c r="G517" s="8" t="n"/>
      <c r="H517" s="9" t="n"/>
      <c r="I517" s="10">
        <f>IF(G517="","",G517*H517)</f>
        <v/>
      </c>
      <c r="J517" s="7" t="n"/>
    </row>
    <row r="518">
      <c r="A518" s="6" t="n"/>
      <c r="B518" s="7" t="n"/>
      <c r="C518" s="7" t="n"/>
      <c r="D518" s="7" t="n"/>
      <c r="E518" s="7" t="n"/>
      <c r="F518" s="7" t="n"/>
      <c r="G518" s="8" t="n"/>
      <c r="H518" s="9" t="n"/>
      <c r="I518" s="10">
        <f>IF(G518="","",G518*H518)</f>
        <v/>
      </c>
      <c r="J518" s="7" t="n"/>
    </row>
    <row r="519">
      <c r="A519" s="6" t="n"/>
      <c r="B519" s="7" t="n"/>
      <c r="C519" s="7" t="n"/>
      <c r="D519" s="7" t="n"/>
      <c r="E519" s="7" t="n"/>
      <c r="F519" s="7" t="n"/>
      <c r="G519" s="8" t="n"/>
      <c r="H519" s="9" t="n"/>
      <c r="I519" s="10">
        <f>IF(G519="","",G519*H519)</f>
        <v/>
      </c>
      <c r="J519" s="7" t="n"/>
    </row>
    <row r="520">
      <c r="A520" s="6" t="n"/>
      <c r="B520" s="7" t="n"/>
      <c r="C520" s="7" t="n"/>
      <c r="D520" s="7" t="n"/>
      <c r="E520" s="7" t="n"/>
      <c r="F520" s="7" t="n"/>
      <c r="G520" s="8" t="n"/>
      <c r="H520" s="9" t="n"/>
      <c r="I520" s="10">
        <f>IF(G520="","",G520*H520)</f>
        <v/>
      </c>
      <c r="J520" s="7" t="n"/>
    </row>
    <row r="521">
      <c r="A521" s="6" t="n"/>
      <c r="B521" s="7" t="n"/>
      <c r="C521" s="7" t="n"/>
      <c r="D521" s="7" t="n"/>
      <c r="E521" s="7" t="n"/>
      <c r="F521" s="7" t="n"/>
      <c r="G521" s="8" t="n"/>
      <c r="H521" s="9" t="n"/>
      <c r="I521" s="10">
        <f>IF(G521="","",G521*H521)</f>
        <v/>
      </c>
      <c r="J521" s="7" t="n"/>
    </row>
    <row r="522">
      <c r="A522" s="6" t="n"/>
      <c r="B522" s="7" t="n"/>
      <c r="C522" s="7" t="n"/>
      <c r="D522" s="7" t="n"/>
      <c r="E522" s="7" t="n"/>
      <c r="F522" s="7" t="n"/>
      <c r="G522" s="8" t="n"/>
      <c r="H522" s="9" t="n"/>
      <c r="I522" s="10">
        <f>IF(G522="","",G522*H522)</f>
        <v/>
      </c>
      <c r="J522" s="7" t="n"/>
    </row>
    <row r="523">
      <c r="A523" s="6" t="n"/>
      <c r="B523" s="7" t="n"/>
      <c r="C523" s="7" t="n"/>
      <c r="D523" s="7" t="n"/>
      <c r="E523" s="7" t="n"/>
      <c r="F523" s="7" t="n"/>
      <c r="G523" s="8" t="n"/>
      <c r="H523" s="9" t="n"/>
      <c r="I523" s="10">
        <f>IF(G523="","",G523*H523)</f>
        <v/>
      </c>
      <c r="J523" s="7" t="n"/>
    </row>
    <row r="524">
      <c r="A524" s="6" t="n"/>
      <c r="B524" s="7" t="n"/>
      <c r="C524" s="7" t="n"/>
      <c r="D524" s="7" t="n"/>
      <c r="E524" s="7" t="n"/>
      <c r="F524" s="7" t="n"/>
      <c r="G524" s="8" t="n"/>
      <c r="H524" s="9" t="n"/>
      <c r="I524" s="10">
        <f>IF(G524="","",G524*H524)</f>
        <v/>
      </c>
      <c r="J524" s="7" t="n"/>
    </row>
    <row r="525">
      <c r="A525" s="6" t="n"/>
      <c r="B525" s="7" t="n"/>
      <c r="C525" s="7" t="n"/>
      <c r="D525" s="7" t="n"/>
      <c r="E525" s="7" t="n"/>
      <c r="F525" s="7" t="n"/>
      <c r="G525" s="8" t="n"/>
      <c r="H525" s="9" t="n"/>
      <c r="I525" s="10">
        <f>IF(G525="","",G525*H525)</f>
        <v/>
      </c>
      <c r="J525" s="7" t="n"/>
    </row>
    <row r="526">
      <c r="A526" s="6" t="n"/>
      <c r="B526" s="7" t="n"/>
      <c r="C526" s="7" t="n"/>
      <c r="D526" s="7" t="n"/>
      <c r="E526" s="7" t="n"/>
      <c r="F526" s="7" t="n"/>
      <c r="G526" s="8" t="n"/>
      <c r="H526" s="9" t="n"/>
      <c r="I526" s="10">
        <f>IF(G526="","",G526*H526)</f>
        <v/>
      </c>
      <c r="J526" s="7" t="n"/>
    </row>
    <row r="527">
      <c r="A527" s="6" t="n"/>
      <c r="B527" s="7" t="n"/>
      <c r="C527" s="7" t="n"/>
      <c r="D527" s="7" t="n"/>
      <c r="E527" s="7" t="n"/>
      <c r="F527" s="7" t="n"/>
      <c r="G527" s="8" t="n"/>
      <c r="H527" s="9" t="n"/>
      <c r="I527" s="10">
        <f>IF(G527="","",G527*H527)</f>
        <v/>
      </c>
      <c r="J527" s="7" t="n"/>
    </row>
    <row r="528">
      <c r="A528" s="6" t="n"/>
      <c r="B528" s="7" t="n"/>
      <c r="C528" s="7" t="n"/>
      <c r="D528" s="7" t="n"/>
      <c r="E528" s="7" t="n"/>
      <c r="F528" s="7" t="n"/>
      <c r="G528" s="8" t="n"/>
      <c r="H528" s="9" t="n"/>
      <c r="I528" s="10">
        <f>IF(G528="","",G528*H528)</f>
        <v/>
      </c>
      <c r="J528" s="7" t="n"/>
    </row>
    <row r="529">
      <c r="A529" s="6" t="n"/>
      <c r="B529" s="7" t="n"/>
      <c r="C529" s="7" t="n"/>
      <c r="D529" s="7" t="n"/>
      <c r="E529" s="7" t="n"/>
      <c r="F529" s="7" t="n"/>
      <c r="G529" s="8" t="n"/>
      <c r="H529" s="9" t="n"/>
      <c r="I529" s="10">
        <f>IF(G529="","",G529*H529)</f>
        <v/>
      </c>
      <c r="J529" s="7" t="n"/>
    </row>
    <row r="530">
      <c r="A530" s="6" t="n"/>
      <c r="B530" s="7" t="n"/>
      <c r="C530" s="7" t="n"/>
      <c r="D530" s="7" t="n"/>
      <c r="E530" s="7" t="n"/>
      <c r="F530" s="7" t="n"/>
      <c r="G530" s="8" t="n"/>
      <c r="H530" s="9" t="n"/>
      <c r="I530" s="10">
        <f>IF(G530="","",G530*H530)</f>
        <v/>
      </c>
      <c r="J530" s="7" t="n"/>
    </row>
    <row r="531">
      <c r="A531" s="6" t="n"/>
      <c r="B531" s="7" t="n"/>
      <c r="C531" s="7" t="n"/>
      <c r="D531" s="7" t="n"/>
      <c r="E531" s="7" t="n"/>
      <c r="F531" s="7" t="n"/>
      <c r="G531" s="8" t="n"/>
      <c r="H531" s="9" t="n"/>
      <c r="I531" s="10">
        <f>IF(G531="","",G531*H531)</f>
        <v/>
      </c>
      <c r="J531" s="7" t="n"/>
    </row>
    <row r="532">
      <c r="A532" s="6" t="n"/>
      <c r="B532" s="7" t="n"/>
      <c r="C532" s="7" t="n"/>
      <c r="D532" s="7" t="n"/>
      <c r="E532" s="7" t="n"/>
      <c r="F532" s="7" t="n"/>
      <c r="G532" s="8" t="n"/>
      <c r="H532" s="9" t="n"/>
      <c r="I532" s="10">
        <f>IF(G532="","",G532*H532)</f>
        <v/>
      </c>
      <c r="J532" s="7" t="n"/>
    </row>
    <row r="533">
      <c r="A533" s="6" t="n"/>
      <c r="B533" s="7" t="n"/>
      <c r="C533" s="7" t="n"/>
      <c r="D533" s="7" t="n"/>
      <c r="E533" s="7" t="n"/>
      <c r="F533" s="7" t="n"/>
      <c r="G533" s="8" t="n"/>
      <c r="H533" s="9" t="n"/>
      <c r="I533" s="10">
        <f>IF(G533="","",G533*H533)</f>
        <v/>
      </c>
      <c r="J533" s="7" t="n"/>
    </row>
    <row r="534">
      <c r="A534" s="6" t="n"/>
      <c r="B534" s="7" t="n"/>
      <c r="C534" s="7" t="n"/>
      <c r="D534" s="7" t="n"/>
      <c r="E534" s="7" t="n"/>
      <c r="F534" s="7" t="n"/>
      <c r="G534" s="8" t="n"/>
      <c r="H534" s="9" t="n"/>
      <c r="I534" s="10">
        <f>IF(G534="","",G534*H534)</f>
        <v/>
      </c>
      <c r="J534" s="7" t="n"/>
    </row>
    <row r="535">
      <c r="A535" s="6" t="n"/>
      <c r="B535" s="7" t="n"/>
      <c r="C535" s="7" t="n"/>
      <c r="D535" s="7" t="n"/>
      <c r="E535" s="7" t="n"/>
      <c r="F535" s="7" t="n"/>
      <c r="G535" s="8" t="n"/>
      <c r="H535" s="9" t="n"/>
      <c r="I535" s="10">
        <f>IF(G535="","",G535*H535)</f>
        <v/>
      </c>
      <c r="J535" s="7" t="n"/>
    </row>
    <row r="536">
      <c r="A536" s="6" t="n"/>
      <c r="B536" s="7" t="n"/>
      <c r="C536" s="7" t="n"/>
      <c r="D536" s="7" t="n"/>
      <c r="E536" s="7" t="n"/>
      <c r="F536" s="7" t="n"/>
      <c r="G536" s="8" t="n"/>
      <c r="H536" s="9" t="n"/>
      <c r="I536" s="10">
        <f>IF(G536="","",G536*H536)</f>
        <v/>
      </c>
      <c r="J536" s="7" t="n"/>
    </row>
    <row r="537">
      <c r="A537" s="6" t="n"/>
      <c r="B537" s="7" t="n"/>
      <c r="C537" s="7" t="n"/>
      <c r="D537" s="7" t="n"/>
      <c r="E537" s="7" t="n"/>
      <c r="F537" s="7" t="n"/>
      <c r="G537" s="8" t="n"/>
      <c r="H537" s="9" t="n"/>
      <c r="I537" s="10">
        <f>IF(G537="","",G537*H537)</f>
        <v/>
      </c>
      <c r="J537" s="7" t="n"/>
    </row>
    <row r="538">
      <c r="A538" s="6" t="n"/>
      <c r="B538" s="7" t="n"/>
      <c r="C538" s="7" t="n"/>
      <c r="D538" s="7" t="n"/>
      <c r="E538" s="7" t="n"/>
      <c r="F538" s="7" t="n"/>
      <c r="G538" s="8" t="n"/>
      <c r="H538" s="9" t="n"/>
      <c r="I538" s="10">
        <f>IF(G538="","",G538*H538)</f>
        <v/>
      </c>
      <c r="J538" s="7" t="n"/>
    </row>
    <row r="539">
      <c r="A539" s="6" t="n"/>
      <c r="B539" s="7" t="n"/>
      <c r="C539" s="7" t="n"/>
      <c r="D539" s="7" t="n"/>
      <c r="E539" s="7" t="n"/>
      <c r="F539" s="7" t="n"/>
      <c r="G539" s="8" t="n"/>
      <c r="H539" s="9" t="n"/>
      <c r="I539" s="10">
        <f>IF(G539="","",G539*H539)</f>
        <v/>
      </c>
      <c r="J539" s="7" t="n"/>
    </row>
    <row r="540">
      <c r="A540" s="6" t="n"/>
      <c r="B540" s="7" t="n"/>
      <c r="C540" s="7" t="n"/>
      <c r="D540" s="7" t="n"/>
      <c r="E540" s="7" t="n"/>
      <c r="F540" s="7" t="n"/>
      <c r="G540" s="8" t="n"/>
      <c r="H540" s="9" t="n"/>
      <c r="I540" s="10">
        <f>IF(G540="","",G540*H540)</f>
        <v/>
      </c>
      <c r="J540" s="7" t="n"/>
    </row>
    <row r="541">
      <c r="A541" s="6" t="n"/>
      <c r="B541" s="7" t="n"/>
      <c r="C541" s="7" t="n"/>
      <c r="D541" s="7" t="n"/>
      <c r="E541" s="7" t="n"/>
      <c r="F541" s="7" t="n"/>
      <c r="G541" s="8" t="n"/>
      <c r="H541" s="9" t="n"/>
      <c r="I541" s="10">
        <f>IF(G541="","",G541*H541)</f>
        <v/>
      </c>
      <c r="J541" s="7" t="n"/>
    </row>
    <row r="542">
      <c r="A542" s="6" t="n"/>
      <c r="B542" s="7" t="n"/>
      <c r="C542" s="7" t="n"/>
      <c r="D542" s="7" t="n"/>
      <c r="E542" s="7" t="n"/>
      <c r="F542" s="7" t="n"/>
      <c r="G542" s="8" t="n"/>
      <c r="H542" s="9" t="n"/>
      <c r="I542" s="10">
        <f>IF(G542="","",G542*H542)</f>
        <v/>
      </c>
      <c r="J542" s="7" t="n"/>
    </row>
    <row r="543">
      <c r="A543" s="6" t="n"/>
      <c r="B543" s="7" t="n"/>
      <c r="C543" s="7" t="n"/>
      <c r="D543" s="7" t="n"/>
      <c r="E543" s="7" t="n"/>
      <c r="F543" s="7" t="n"/>
      <c r="G543" s="8" t="n"/>
      <c r="H543" s="9" t="n"/>
      <c r="I543" s="10">
        <f>IF(G543="","",G543*H543)</f>
        <v/>
      </c>
      <c r="J543" s="7" t="n"/>
    </row>
    <row r="544">
      <c r="A544" s="6" t="n"/>
      <c r="B544" s="7" t="n"/>
      <c r="C544" s="7" t="n"/>
      <c r="D544" s="7" t="n"/>
      <c r="E544" s="7" t="n"/>
      <c r="F544" s="7" t="n"/>
      <c r="G544" s="8" t="n"/>
      <c r="H544" s="9" t="n"/>
      <c r="I544" s="10">
        <f>IF(G544="","",G544*H544)</f>
        <v/>
      </c>
      <c r="J544" s="7" t="n"/>
    </row>
    <row r="545">
      <c r="A545" s="6" t="n"/>
      <c r="B545" s="7" t="n"/>
      <c r="C545" s="7" t="n"/>
      <c r="D545" s="7" t="n"/>
      <c r="E545" s="7" t="n"/>
      <c r="F545" s="7" t="n"/>
      <c r="G545" s="8" t="n"/>
      <c r="H545" s="9" t="n"/>
      <c r="I545" s="10">
        <f>IF(G545="","",G545*H545)</f>
        <v/>
      </c>
      <c r="J545" s="7" t="n"/>
    </row>
    <row r="546">
      <c r="A546" s="6" t="n"/>
      <c r="B546" s="7" t="n"/>
      <c r="C546" s="7" t="n"/>
      <c r="D546" s="7" t="n"/>
      <c r="E546" s="7" t="n"/>
      <c r="F546" s="7" t="n"/>
      <c r="G546" s="8" t="n"/>
      <c r="H546" s="9" t="n"/>
      <c r="I546" s="10">
        <f>IF(G546="","",G546*H546)</f>
        <v/>
      </c>
      <c r="J546" s="7" t="n"/>
    </row>
    <row r="547">
      <c r="A547" s="6" t="n"/>
      <c r="B547" s="7" t="n"/>
      <c r="C547" s="7" t="n"/>
      <c r="D547" s="7" t="n"/>
      <c r="E547" s="7" t="n"/>
      <c r="F547" s="7" t="n"/>
      <c r="G547" s="8" t="n"/>
      <c r="H547" s="9" t="n"/>
      <c r="I547" s="10">
        <f>IF(G547="","",G547*H547)</f>
        <v/>
      </c>
      <c r="J547" s="7" t="n"/>
    </row>
    <row r="548">
      <c r="A548" s="6" t="n"/>
      <c r="B548" s="7" t="n"/>
      <c r="C548" s="7" t="n"/>
      <c r="D548" s="7" t="n"/>
      <c r="E548" s="7" t="n"/>
      <c r="F548" s="7" t="n"/>
      <c r="G548" s="8" t="n"/>
      <c r="H548" s="9" t="n"/>
      <c r="I548" s="10">
        <f>IF(G548="","",G548*H548)</f>
        <v/>
      </c>
      <c r="J548" s="7" t="n"/>
    </row>
    <row r="549">
      <c r="A549" s="6" t="n"/>
      <c r="B549" s="7" t="n"/>
      <c r="C549" s="7" t="n"/>
      <c r="D549" s="7" t="n"/>
      <c r="E549" s="7" t="n"/>
      <c r="F549" s="7" t="n"/>
      <c r="G549" s="8" t="n"/>
      <c r="H549" s="9" t="n"/>
      <c r="I549" s="10">
        <f>IF(G549="","",G549*H549)</f>
        <v/>
      </c>
      <c r="J549" s="7" t="n"/>
    </row>
    <row r="550">
      <c r="A550" s="6" t="n"/>
      <c r="B550" s="7" t="n"/>
      <c r="C550" s="7" t="n"/>
      <c r="D550" s="7" t="n"/>
      <c r="E550" s="7" t="n"/>
      <c r="F550" s="7" t="n"/>
      <c r="G550" s="8" t="n"/>
      <c r="H550" s="9" t="n"/>
      <c r="I550" s="10">
        <f>IF(G550="","",G550*H550)</f>
        <v/>
      </c>
      <c r="J550" s="7" t="n"/>
    </row>
    <row r="551">
      <c r="A551" s="6" t="n"/>
      <c r="B551" s="7" t="n"/>
      <c r="C551" s="7" t="n"/>
      <c r="D551" s="7" t="n"/>
      <c r="E551" s="7" t="n"/>
      <c r="F551" s="7" t="n"/>
      <c r="G551" s="8" t="n"/>
      <c r="H551" s="9" t="n"/>
      <c r="I551" s="10">
        <f>IF(G551="","",G551*H551)</f>
        <v/>
      </c>
      <c r="J551" s="7" t="n"/>
    </row>
    <row r="552">
      <c r="A552" s="6" t="n"/>
      <c r="B552" s="7" t="n"/>
      <c r="C552" s="7" t="n"/>
      <c r="D552" s="7" t="n"/>
      <c r="E552" s="7" t="n"/>
      <c r="F552" s="7" t="n"/>
      <c r="G552" s="8" t="n"/>
      <c r="H552" s="9" t="n"/>
      <c r="I552" s="10">
        <f>IF(G552="","",G552*H552)</f>
        <v/>
      </c>
      <c r="J552" s="7" t="n"/>
    </row>
    <row r="553">
      <c r="A553" s="6" t="n"/>
      <c r="B553" s="7" t="n"/>
      <c r="C553" s="7" t="n"/>
      <c r="D553" s="7" t="n"/>
      <c r="E553" s="7" t="n"/>
      <c r="F553" s="7" t="n"/>
      <c r="G553" s="8" t="n"/>
      <c r="H553" s="9" t="n"/>
      <c r="I553" s="10">
        <f>IF(G553="","",G553*H553)</f>
        <v/>
      </c>
      <c r="J553" s="7" t="n"/>
    </row>
    <row r="554">
      <c r="A554" s="6" t="n"/>
      <c r="B554" s="7" t="n"/>
      <c r="C554" s="7" t="n"/>
      <c r="D554" s="7" t="n"/>
      <c r="E554" s="7" t="n"/>
      <c r="F554" s="7" t="n"/>
      <c r="G554" s="8" t="n"/>
      <c r="H554" s="9" t="n"/>
      <c r="I554" s="10">
        <f>IF(G554="","",G554*H554)</f>
        <v/>
      </c>
      <c r="J554" s="7" t="n"/>
    </row>
    <row r="555">
      <c r="A555" s="6" t="n"/>
      <c r="B555" s="7" t="n"/>
      <c r="C555" s="7" t="n"/>
      <c r="D555" s="7" t="n"/>
      <c r="E555" s="7" t="n"/>
      <c r="F555" s="7" t="n"/>
      <c r="G555" s="8" t="n"/>
      <c r="H555" s="9" t="n"/>
      <c r="I555" s="10">
        <f>IF(G555="","",G555*H555)</f>
        <v/>
      </c>
      <c r="J555" s="7" t="n"/>
    </row>
    <row r="556">
      <c r="A556" s="6" t="n"/>
      <c r="B556" s="7" t="n"/>
      <c r="C556" s="7" t="n"/>
      <c r="D556" s="7" t="n"/>
      <c r="E556" s="7" t="n"/>
      <c r="F556" s="7" t="n"/>
      <c r="G556" s="8" t="n"/>
      <c r="H556" s="9" t="n"/>
      <c r="I556" s="10">
        <f>IF(G556="","",G556*H556)</f>
        <v/>
      </c>
      <c r="J556" s="7" t="n"/>
    </row>
    <row r="557">
      <c r="A557" s="6" t="n"/>
      <c r="B557" s="7" t="n"/>
      <c r="C557" s="7" t="n"/>
      <c r="D557" s="7" t="n"/>
      <c r="E557" s="7" t="n"/>
      <c r="F557" s="7" t="n"/>
      <c r="G557" s="8" t="n"/>
      <c r="H557" s="9" t="n"/>
      <c r="I557" s="10">
        <f>IF(G557="","",G557*H557)</f>
        <v/>
      </c>
      <c r="J557" s="7" t="n"/>
    </row>
    <row r="558">
      <c r="A558" s="6" t="n"/>
      <c r="B558" s="7" t="n"/>
      <c r="C558" s="7" t="n"/>
      <c r="D558" s="7" t="n"/>
      <c r="E558" s="7" t="n"/>
      <c r="F558" s="7" t="n"/>
      <c r="G558" s="8" t="n"/>
      <c r="H558" s="9" t="n"/>
      <c r="I558" s="10">
        <f>IF(G558="","",G558*H558)</f>
        <v/>
      </c>
      <c r="J558" s="7" t="n"/>
    </row>
    <row r="559">
      <c r="A559" s="6" t="n"/>
      <c r="B559" s="7" t="n"/>
      <c r="C559" s="7" t="n"/>
      <c r="D559" s="7" t="n"/>
      <c r="E559" s="7" t="n"/>
      <c r="F559" s="7" t="n"/>
      <c r="G559" s="8" t="n"/>
      <c r="H559" s="9" t="n"/>
      <c r="I559" s="10">
        <f>IF(G559="","",G559*H559)</f>
        <v/>
      </c>
      <c r="J559" s="7" t="n"/>
    </row>
    <row r="560">
      <c r="A560" s="6" t="n"/>
      <c r="B560" s="7" t="n"/>
      <c r="C560" s="7" t="n"/>
      <c r="D560" s="7" t="n"/>
      <c r="E560" s="7" t="n"/>
      <c r="F560" s="7" t="n"/>
      <c r="G560" s="8" t="n"/>
      <c r="H560" s="9" t="n"/>
      <c r="I560" s="10">
        <f>IF(G560="","",G560*H560)</f>
        <v/>
      </c>
      <c r="J560" s="7" t="n"/>
    </row>
    <row r="561">
      <c r="A561" s="6" t="n"/>
      <c r="B561" s="7" t="n"/>
      <c r="C561" s="7" t="n"/>
      <c r="D561" s="7" t="n"/>
      <c r="E561" s="7" t="n"/>
      <c r="F561" s="7" t="n"/>
      <c r="G561" s="8" t="n"/>
      <c r="H561" s="9" t="n"/>
      <c r="I561" s="10">
        <f>IF(G561="","",G561*H561)</f>
        <v/>
      </c>
      <c r="J561" s="7" t="n"/>
    </row>
    <row r="562">
      <c r="A562" s="6" t="n"/>
      <c r="B562" s="7" t="n"/>
      <c r="C562" s="7" t="n"/>
      <c r="D562" s="7" t="n"/>
      <c r="E562" s="7" t="n"/>
      <c r="F562" s="7" t="n"/>
      <c r="G562" s="8" t="n"/>
      <c r="H562" s="9" t="n"/>
      <c r="I562" s="10">
        <f>IF(G562="","",G562*H562)</f>
        <v/>
      </c>
      <c r="J562" s="7" t="n"/>
    </row>
    <row r="563">
      <c r="A563" s="6" t="n"/>
      <c r="B563" s="7" t="n"/>
      <c r="C563" s="7" t="n"/>
      <c r="D563" s="7" t="n"/>
      <c r="E563" s="7" t="n"/>
      <c r="F563" s="7" t="n"/>
      <c r="G563" s="8" t="n"/>
      <c r="H563" s="9" t="n"/>
      <c r="I563" s="10">
        <f>IF(G563="","",G563*H563)</f>
        <v/>
      </c>
      <c r="J563" s="7" t="n"/>
    </row>
    <row r="564">
      <c r="A564" s="6" t="n"/>
      <c r="B564" s="7" t="n"/>
      <c r="C564" s="7" t="n"/>
      <c r="D564" s="7" t="n"/>
      <c r="E564" s="7" t="n"/>
      <c r="F564" s="7" t="n"/>
      <c r="G564" s="8" t="n"/>
      <c r="H564" s="9" t="n"/>
      <c r="I564" s="10">
        <f>IF(G564="","",G564*H564)</f>
        <v/>
      </c>
      <c r="J564" s="7" t="n"/>
    </row>
    <row r="565">
      <c r="A565" s="6" t="n"/>
      <c r="B565" s="7" t="n"/>
      <c r="C565" s="7" t="n"/>
      <c r="D565" s="7" t="n"/>
      <c r="E565" s="7" t="n"/>
      <c r="F565" s="7" t="n"/>
      <c r="G565" s="8" t="n"/>
      <c r="H565" s="9" t="n"/>
      <c r="I565" s="10">
        <f>IF(G565="","",G565*H565)</f>
        <v/>
      </c>
      <c r="J565" s="7" t="n"/>
    </row>
    <row r="566">
      <c r="A566" s="6" t="n"/>
      <c r="B566" s="7" t="n"/>
      <c r="C566" s="7" t="n"/>
      <c r="D566" s="7" t="n"/>
      <c r="E566" s="7" t="n"/>
      <c r="F566" s="7" t="n"/>
      <c r="G566" s="8" t="n"/>
      <c r="H566" s="9" t="n"/>
      <c r="I566" s="10">
        <f>IF(G566="","",G566*H566)</f>
        <v/>
      </c>
      <c r="J566" s="7" t="n"/>
    </row>
    <row r="567">
      <c r="A567" s="6" t="n"/>
      <c r="B567" s="7" t="n"/>
      <c r="C567" s="7" t="n"/>
      <c r="D567" s="7" t="n"/>
      <c r="E567" s="7" t="n"/>
      <c r="F567" s="7" t="n"/>
      <c r="G567" s="8" t="n"/>
      <c r="H567" s="9" t="n"/>
      <c r="I567" s="10">
        <f>IF(G567="","",G567*H567)</f>
        <v/>
      </c>
      <c r="J567" s="7" t="n"/>
    </row>
    <row r="568">
      <c r="A568" s="6" t="n"/>
      <c r="B568" s="7" t="n"/>
      <c r="C568" s="7" t="n"/>
      <c r="D568" s="7" t="n"/>
      <c r="E568" s="7" t="n"/>
      <c r="F568" s="7" t="n"/>
      <c r="G568" s="8" t="n"/>
      <c r="H568" s="9" t="n"/>
      <c r="I568" s="10">
        <f>IF(G568="","",G568*H568)</f>
        <v/>
      </c>
      <c r="J568" s="7" t="n"/>
    </row>
    <row r="569">
      <c r="A569" s="6" t="n"/>
      <c r="B569" s="7" t="n"/>
      <c r="C569" s="7" t="n"/>
      <c r="D569" s="7" t="n"/>
      <c r="E569" s="7" t="n"/>
      <c r="F569" s="7" t="n"/>
      <c r="G569" s="8" t="n"/>
      <c r="H569" s="9" t="n"/>
      <c r="I569" s="10">
        <f>IF(G569="","",G569*H569)</f>
        <v/>
      </c>
      <c r="J569" s="7" t="n"/>
    </row>
    <row r="570">
      <c r="A570" s="6" t="n"/>
      <c r="B570" s="7" t="n"/>
      <c r="C570" s="7" t="n"/>
      <c r="D570" s="7" t="n"/>
      <c r="E570" s="7" t="n"/>
      <c r="F570" s="7" t="n"/>
      <c r="G570" s="8" t="n"/>
      <c r="H570" s="9" t="n"/>
      <c r="I570" s="10">
        <f>IF(G570="","",G570*H570)</f>
        <v/>
      </c>
      <c r="J570" s="7" t="n"/>
    </row>
    <row r="571">
      <c r="A571" s="6" t="n"/>
      <c r="B571" s="7" t="n"/>
      <c r="C571" s="7" t="n"/>
      <c r="D571" s="7" t="n"/>
      <c r="E571" s="7" t="n"/>
      <c r="F571" s="7" t="n"/>
      <c r="G571" s="8" t="n"/>
      <c r="H571" s="9" t="n"/>
      <c r="I571" s="10">
        <f>IF(G571="","",G571*H571)</f>
        <v/>
      </c>
      <c r="J571" s="7" t="n"/>
    </row>
    <row r="572">
      <c r="A572" s="6" t="n"/>
      <c r="B572" s="7" t="n"/>
      <c r="C572" s="7" t="n"/>
      <c r="D572" s="7" t="n"/>
      <c r="E572" s="7" t="n"/>
      <c r="F572" s="7" t="n"/>
      <c r="G572" s="8" t="n"/>
      <c r="H572" s="9" t="n"/>
      <c r="I572" s="10">
        <f>IF(G572="","",G572*H572)</f>
        <v/>
      </c>
      <c r="J572" s="7" t="n"/>
    </row>
    <row r="573">
      <c r="A573" s="6" t="n"/>
      <c r="B573" s="7" t="n"/>
      <c r="C573" s="7" t="n"/>
      <c r="D573" s="7" t="n"/>
      <c r="E573" s="7" t="n"/>
      <c r="F573" s="7" t="n"/>
      <c r="G573" s="8" t="n"/>
      <c r="H573" s="9" t="n"/>
      <c r="I573" s="10">
        <f>IF(G573="","",G573*H573)</f>
        <v/>
      </c>
      <c r="J573" s="7" t="n"/>
    </row>
    <row r="574">
      <c r="A574" s="6" t="n"/>
      <c r="B574" s="7" t="n"/>
      <c r="C574" s="7" t="n"/>
      <c r="D574" s="7" t="n"/>
      <c r="E574" s="7" t="n"/>
      <c r="F574" s="7" t="n"/>
      <c r="G574" s="8" t="n"/>
      <c r="H574" s="9" t="n"/>
      <c r="I574" s="10">
        <f>IF(G574="","",G574*H574)</f>
        <v/>
      </c>
      <c r="J574" s="7" t="n"/>
    </row>
    <row r="575">
      <c r="A575" s="6" t="n"/>
      <c r="B575" s="7" t="n"/>
      <c r="C575" s="7" t="n"/>
      <c r="D575" s="7" t="n"/>
      <c r="E575" s="7" t="n"/>
      <c r="F575" s="7" t="n"/>
      <c r="G575" s="8" t="n"/>
      <c r="H575" s="9" t="n"/>
      <c r="I575" s="10">
        <f>IF(G575="","",G575*H575)</f>
        <v/>
      </c>
      <c r="J575" s="7" t="n"/>
    </row>
    <row r="576">
      <c r="A576" s="6" t="n"/>
      <c r="B576" s="7" t="n"/>
      <c r="C576" s="7" t="n"/>
      <c r="D576" s="7" t="n"/>
      <c r="E576" s="7" t="n"/>
      <c r="F576" s="7" t="n"/>
      <c r="G576" s="8" t="n"/>
      <c r="H576" s="9" t="n"/>
      <c r="I576" s="10">
        <f>IF(G576="","",G576*H576)</f>
        <v/>
      </c>
      <c r="J576" s="7" t="n"/>
    </row>
    <row r="577">
      <c r="A577" s="6" t="n"/>
      <c r="B577" s="7" t="n"/>
      <c r="C577" s="7" t="n"/>
      <c r="D577" s="7" t="n"/>
      <c r="E577" s="7" t="n"/>
      <c r="F577" s="7" t="n"/>
      <c r="G577" s="8" t="n"/>
      <c r="H577" s="9" t="n"/>
      <c r="I577" s="10">
        <f>IF(G577="","",G577*H577)</f>
        <v/>
      </c>
      <c r="J577" s="7" t="n"/>
    </row>
    <row r="578">
      <c r="A578" s="6" t="n"/>
      <c r="B578" s="7" t="n"/>
      <c r="C578" s="7" t="n"/>
      <c r="D578" s="7" t="n"/>
      <c r="E578" s="7" t="n"/>
      <c r="F578" s="7" t="n"/>
      <c r="G578" s="8" t="n"/>
      <c r="H578" s="9" t="n"/>
      <c r="I578" s="10">
        <f>IF(G578="","",G578*H578)</f>
        <v/>
      </c>
      <c r="J578" s="7" t="n"/>
    </row>
    <row r="579">
      <c r="A579" s="6" t="n"/>
      <c r="B579" s="7" t="n"/>
      <c r="C579" s="7" t="n"/>
      <c r="D579" s="7" t="n"/>
      <c r="E579" s="7" t="n"/>
      <c r="F579" s="7" t="n"/>
      <c r="G579" s="8" t="n"/>
      <c r="H579" s="9" t="n"/>
      <c r="I579" s="10">
        <f>IF(G579="","",G579*H579)</f>
        <v/>
      </c>
      <c r="J579" s="7" t="n"/>
    </row>
    <row r="580">
      <c r="A580" s="6" t="n"/>
      <c r="B580" s="7" t="n"/>
      <c r="C580" s="7" t="n"/>
      <c r="D580" s="7" t="n"/>
      <c r="E580" s="7" t="n"/>
      <c r="F580" s="7" t="n"/>
      <c r="G580" s="8" t="n"/>
      <c r="H580" s="9" t="n"/>
      <c r="I580" s="10">
        <f>IF(G580="","",G580*H580)</f>
        <v/>
      </c>
      <c r="J580" s="7" t="n"/>
    </row>
    <row r="581">
      <c r="A581" s="6" t="n"/>
      <c r="B581" s="7" t="n"/>
      <c r="C581" s="7" t="n"/>
      <c r="D581" s="7" t="n"/>
      <c r="E581" s="7" t="n"/>
      <c r="F581" s="7" t="n"/>
      <c r="G581" s="8" t="n"/>
      <c r="H581" s="9" t="n"/>
      <c r="I581" s="10">
        <f>IF(G581="","",G581*H581)</f>
        <v/>
      </c>
      <c r="J581" s="7" t="n"/>
    </row>
    <row r="582">
      <c r="A582" s="6" t="n"/>
      <c r="B582" s="7" t="n"/>
      <c r="C582" s="7" t="n"/>
      <c r="D582" s="7" t="n"/>
      <c r="E582" s="7" t="n"/>
      <c r="F582" s="7" t="n"/>
      <c r="G582" s="8" t="n"/>
      <c r="H582" s="9" t="n"/>
      <c r="I582" s="10">
        <f>IF(G582="","",G582*H582)</f>
        <v/>
      </c>
      <c r="J582" s="7" t="n"/>
    </row>
    <row r="583">
      <c r="A583" s="6" t="n"/>
      <c r="B583" s="7" t="n"/>
      <c r="C583" s="7" t="n"/>
      <c r="D583" s="7" t="n"/>
      <c r="E583" s="7" t="n"/>
      <c r="F583" s="7" t="n"/>
      <c r="G583" s="8" t="n"/>
      <c r="H583" s="9" t="n"/>
      <c r="I583" s="10">
        <f>IF(G583="","",G583*H583)</f>
        <v/>
      </c>
      <c r="J583" s="7" t="n"/>
    </row>
    <row r="584">
      <c r="A584" s="6" t="n"/>
      <c r="B584" s="7" t="n"/>
      <c r="C584" s="7" t="n"/>
      <c r="D584" s="7" t="n"/>
      <c r="E584" s="7" t="n"/>
      <c r="F584" s="7" t="n"/>
      <c r="G584" s="8" t="n"/>
      <c r="H584" s="9" t="n"/>
      <c r="I584" s="10">
        <f>IF(G584="","",G584*H584)</f>
        <v/>
      </c>
      <c r="J584" s="7" t="n"/>
    </row>
    <row r="585">
      <c r="A585" s="6" t="n"/>
      <c r="B585" s="7" t="n"/>
      <c r="C585" s="7" t="n"/>
      <c r="D585" s="7" t="n"/>
      <c r="E585" s="7" t="n"/>
      <c r="F585" s="7" t="n"/>
      <c r="G585" s="8" t="n"/>
      <c r="H585" s="9" t="n"/>
      <c r="I585" s="10">
        <f>IF(G585="","",G585*H585)</f>
        <v/>
      </c>
      <c r="J585" s="7" t="n"/>
    </row>
    <row r="586">
      <c r="A586" s="6" t="n"/>
      <c r="B586" s="7" t="n"/>
      <c r="C586" s="7" t="n"/>
      <c r="D586" s="7" t="n"/>
      <c r="E586" s="7" t="n"/>
      <c r="F586" s="7" t="n"/>
      <c r="G586" s="8" t="n"/>
      <c r="H586" s="9" t="n"/>
      <c r="I586" s="10">
        <f>IF(G586="","",G586*H586)</f>
        <v/>
      </c>
      <c r="J586" s="7" t="n"/>
    </row>
    <row r="587">
      <c r="A587" s="6" t="n"/>
      <c r="B587" s="7" t="n"/>
      <c r="C587" s="7" t="n"/>
      <c r="D587" s="7" t="n"/>
      <c r="E587" s="7" t="n"/>
      <c r="F587" s="7" t="n"/>
      <c r="G587" s="8" t="n"/>
      <c r="H587" s="9" t="n"/>
      <c r="I587" s="10">
        <f>IF(G587="","",G587*H587)</f>
        <v/>
      </c>
      <c r="J587" s="7" t="n"/>
    </row>
    <row r="588">
      <c r="A588" s="6" t="n"/>
      <c r="B588" s="7" t="n"/>
      <c r="C588" s="7" t="n"/>
      <c r="D588" s="7" t="n"/>
      <c r="E588" s="7" t="n"/>
      <c r="F588" s="7" t="n"/>
      <c r="G588" s="8" t="n"/>
      <c r="H588" s="9" t="n"/>
      <c r="I588" s="10">
        <f>IF(G588="","",G588*H588)</f>
        <v/>
      </c>
      <c r="J588" s="7" t="n"/>
    </row>
    <row r="589">
      <c r="A589" s="6" t="n"/>
      <c r="B589" s="7" t="n"/>
      <c r="C589" s="7" t="n"/>
      <c r="D589" s="7" t="n"/>
      <c r="E589" s="7" t="n"/>
      <c r="F589" s="7" t="n"/>
      <c r="G589" s="8" t="n"/>
      <c r="H589" s="9" t="n"/>
      <c r="I589" s="10">
        <f>IF(G589="","",G589*H589)</f>
        <v/>
      </c>
      <c r="J589" s="7" t="n"/>
    </row>
    <row r="590">
      <c r="A590" s="6" t="n"/>
      <c r="B590" s="7" t="n"/>
      <c r="C590" s="7" t="n"/>
      <c r="D590" s="7" t="n"/>
      <c r="E590" s="7" t="n"/>
      <c r="F590" s="7" t="n"/>
      <c r="G590" s="8" t="n"/>
      <c r="H590" s="9" t="n"/>
      <c r="I590" s="10">
        <f>IF(G590="","",G590*H590)</f>
        <v/>
      </c>
      <c r="J590" s="7" t="n"/>
    </row>
    <row r="591">
      <c r="A591" s="6" t="n"/>
      <c r="B591" s="7" t="n"/>
      <c r="C591" s="7" t="n"/>
      <c r="D591" s="7" t="n"/>
      <c r="E591" s="7" t="n"/>
      <c r="F591" s="7" t="n"/>
      <c r="G591" s="8" t="n"/>
      <c r="H591" s="9" t="n"/>
      <c r="I591" s="10">
        <f>IF(G591="","",G591*H591)</f>
        <v/>
      </c>
      <c r="J591" s="7" t="n"/>
    </row>
    <row r="592">
      <c r="A592" s="6" t="n"/>
      <c r="B592" s="7" t="n"/>
      <c r="C592" s="7" t="n"/>
      <c r="D592" s="7" t="n"/>
      <c r="E592" s="7" t="n"/>
      <c r="F592" s="7" t="n"/>
      <c r="G592" s="8" t="n"/>
      <c r="H592" s="9" t="n"/>
      <c r="I592" s="10">
        <f>IF(G592="","",G592*H592)</f>
        <v/>
      </c>
      <c r="J592" s="7" t="n"/>
    </row>
    <row r="593">
      <c r="A593" s="6" t="n"/>
      <c r="B593" s="7" t="n"/>
      <c r="C593" s="7" t="n"/>
      <c r="D593" s="7" t="n"/>
      <c r="E593" s="7" t="n"/>
      <c r="F593" s="7" t="n"/>
      <c r="G593" s="8" t="n"/>
      <c r="H593" s="9" t="n"/>
      <c r="I593" s="10">
        <f>IF(G593="","",G593*H593)</f>
        <v/>
      </c>
      <c r="J593" s="7" t="n"/>
    </row>
    <row r="594">
      <c r="A594" s="6" t="n"/>
      <c r="B594" s="7" t="n"/>
      <c r="C594" s="7" t="n"/>
      <c r="D594" s="7" t="n"/>
      <c r="E594" s="7" t="n"/>
      <c r="F594" s="7" t="n"/>
      <c r="G594" s="8" t="n"/>
      <c r="H594" s="9" t="n"/>
      <c r="I594" s="10">
        <f>IF(G594="","",G594*H594)</f>
        <v/>
      </c>
      <c r="J594" s="7" t="n"/>
    </row>
    <row r="595">
      <c r="A595" s="6" t="n"/>
      <c r="B595" s="7" t="n"/>
      <c r="C595" s="7" t="n"/>
      <c r="D595" s="7" t="n"/>
      <c r="E595" s="7" t="n"/>
      <c r="F595" s="7" t="n"/>
      <c r="G595" s="8" t="n"/>
      <c r="H595" s="9" t="n"/>
      <c r="I595" s="10">
        <f>IF(G595="","",G595*H595)</f>
        <v/>
      </c>
      <c r="J595" s="7" t="n"/>
    </row>
    <row r="596">
      <c r="A596" s="6" t="n"/>
      <c r="B596" s="7" t="n"/>
      <c r="C596" s="7" t="n"/>
      <c r="D596" s="7" t="n"/>
      <c r="E596" s="7" t="n"/>
      <c r="F596" s="7" t="n"/>
      <c r="G596" s="8" t="n"/>
      <c r="H596" s="9" t="n"/>
      <c r="I596" s="10">
        <f>IF(G596="","",G596*H596)</f>
        <v/>
      </c>
      <c r="J596" s="7" t="n"/>
    </row>
    <row r="597">
      <c r="A597" s="6" t="n"/>
      <c r="B597" s="7" t="n"/>
      <c r="C597" s="7" t="n"/>
      <c r="D597" s="7" t="n"/>
      <c r="E597" s="7" t="n"/>
      <c r="F597" s="7" t="n"/>
      <c r="G597" s="8" t="n"/>
      <c r="H597" s="9" t="n"/>
      <c r="I597" s="10">
        <f>IF(G597="","",G597*H597)</f>
        <v/>
      </c>
      <c r="J597" s="7" t="n"/>
    </row>
    <row r="598">
      <c r="A598" s="6" t="n"/>
      <c r="B598" s="7" t="n"/>
      <c r="C598" s="7" t="n"/>
      <c r="D598" s="7" t="n"/>
      <c r="E598" s="7" t="n"/>
      <c r="F598" s="7" t="n"/>
      <c r="G598" s="8" t="n"/>
      <c r="H598" s="9" t="n"/>
      <c r="I598" s="10">
        <f>IF(G598="","",G598*H598)</f>
        <v/>
      </c>
      <c r="J598" s="7" t="n"/>
    </row>
    <row r="599">
      <c r="A599" s="6" t="n"/>
      <c r="B599" s="7" t="n"/>
      <c r="C599" s="7" t="n"/>
      <c r="D599" s="7" t="n"/>
      <c r="E599" s="7" t="n"/>
      <c r="F599" s="7" t="n"/>
      <c r="G599" s="8" t="n"/>
      <c r="H599" s="9" t="n"/>
      <c r="I599" s="10">
        <f>IF(G599="","",G599*H599)</f>
        <v/>
      </c>
      <c r="J599" s="7" t="n"/>
    </row>
    <row r="600">
      <c r="A600" s="6" t="n"/>
      <c r="B600" s="7" t="n"/>
      <c r="C600" s="7" t="n"/>
      <c r="D600" s="7" t="n"/>
      <c r="E600" s="7" t="n"/>
      <c r="F600" s="7" t="n"/>
      <c r="G600" s="8" t="n"/>
      <c r="H600" s="9" t="n"/>
      <c r="I600" s="10">
        <f>IF(G600="","",G600*H600)</f>
        <v/>
      </c>
      <c r="J600" s="7" t="n"/>
    </row>
    <row r="601">
      <c r="A601" s="6" t="n"/>
      <c r="B601" s="7" t="n"/>
      <c r="C601" s="7" t="n"/>
      <c r="D601" s="7" t="n"/>
      <c r="E601" s="7" t="n"/>
      <c r="F601" s="7" t="n"/>
      <c r="G601" s="8" t="n"/>
      <c r="H601" s="9" t="n"/>
      <c r="I601" s="10">
        <f>IF(G601="","",G601*H601)</f>
        <v/>
      </c>
      <c r="J601" s="7" t="n"/>
    </row>
    <row r="602">
      <c r="A602" s="6" t="n"/>
      <c r="B602" s="7" t="n"/>
      <c r="C602" s="7" t="n"/>
      <c r="D602" s="7" t="n"/>
      <c r="E602" s="7" t="n"/>
      <c r="F602" s="7" t="n"/>
      <c r="G602" s="8" t="n"/>
      <c r="H602" s="9" t="n"/>
      <c r="I602" s="10">
        <f>IF(G602="","",G602*H602)</f>
        <v/>
      </c>
      <c r="J602" s="7" t="n"/>
    </row>
    <row r="603">
      <c r="A603" s="6" t="n"/>
      <c r="B603" s="7" t="n"/>
      <c r="C603" s="7" t="n"/>
      <c r="D603" s="7" t="n"/>
      <c r="E603" s="7" t="n"/>
      <c r="F603" s="7" t="n"/>
      <c r="G603" s="8" t="n"/>
      <c r="H603" s="9" t="n"/>
      <c r="I603" s="10">
        <f>IF(G603="","",G603*H603)</f>
        <v/>
      </c>
      <c r="J603" s="7" t="n"/>
    </row>
    <row r="604">
      <c r="A604" s="6" t="n"/>
      <c r="B604" s="7" t="n"/>
      <c r="C604" s="7" t="n"/>
      <c r="D604" s="7" t="n"/>
      <c r="E604" s="7" t="n"/>
      <c r="F604" s="7" t="n"/>
      <c r="G604" s="8" t="n"/>
      <c r="H604" s="9" t="n"/>
      <c r="I604" s="10">
        <f>IF(G604="","",G604*H604)</f>
        <v/>
      </c>
      <c r="J604" s="7" t="n"/>
    </row>
    <row r="605">
      <c r="A605" s="6" t="n"/>
      <c r="B605" s="7" t="n"/>
      <c r="C605" s="7" t="n"/>
      <c r="D605" s="7" t="n"/>
      <c r="E605" s="7" t="n"/>
      <c r="F605" s="7" t="n"/>
      <c r="G605" s="8" t="n"/>
      <c r="H605" s="9" t="n"/>
      <c r="I605" s="10">
        <f>IF(G605="","",G605*H605)</f>
        <v/>
      </c>
      <c r="J605" s="7" t="n"/>
    </row>
    <row r="606">
      <c r="A606" s="6" t="n"/>
      <c r="B606" s="7" t="n"/>
      <c r="C606" s="7" t="n"/>
      <c r="D606" s="7" t="n"/>
      <c r="E606" s="7" t="n"/>
      <c r="F606" s="7" t="n"/>
      <c r="G606" s="8" t="n"/>
      <c r="H606" s="9" t="n"/>
      <c r="I606" s="10">
        <f>IF(G606="","",G606*H606)</f>
        <v/>
      </c>
      <c r="J606" s="7" t="n"/>
    </row>
    <row r="607">
      <c r="A607" s="6" t="n"/>
      <c r="B607" s="7" t="n"/>
      <c r="C607" s="7" t="n"/>
      <c r="D607" s="7" t="n"/>
      <c r="E607" s="7" t="n"/>
      <c r="F607" s="7" t="n"/>
      <c r="G607" s="8" t="n"/>
      <c r="H607" s="9" t="n"/>
      <c r="I607" s="10">
        <f>IF(G607="","",G607*H607)</f>
        <v/>
      </c>
      <c r="J607" s="7" t="n"/>
    </row>
    <row r="608">
      <c r="A608" s="6" t="n"/>
      <c r="B608" s="7" t="n"/>
      <c r="C608" s="7" t="n"/>
      <c r="D608" s="7" t="n"/>
      <c r="E608" s="7" t="n"/>
      <c r="F608" s="7" t="n"/>
      <c r="G608" s="8" t="n"/>
      <c r="H608" s="9" t="n"/>
      <c r="I608" s="10">
        <f>IF(G608="","",G608*H608)</f>
        <v/>
      </c>
      <c r="J608" s="7" t="n"/>
    </row>
    <row r="609">
      <c r="A609" s="6" t="n"/>
      <c r="B609" s="7" t="n"/>
      <c r="C609" s="7" t="n"/>
      <c r="D609" s="7" t="n"/>
      <c r="E609" s="7" t="n"/>
      <c r="F609" s="7" t="n"/>
      <c r="G609" s="8" t="n"/>
      <c r="H609" s="9" t="n"/>
      <c r="I609" s="10">
        <f>IF(G609="","",G609*H609)</f>
        <v/>
      </c>
      <c r="J609" s="7" t="n"/>
    </row>
    <row r="610">
      <c r="A610" s="6" t="n"/>
      <c r="B610" s="7" t="n"/>
      <c r="C610" s="7" t="n"/>
      <c r="D610" s="7" t="n"/>
      <c r="E610" s="7" t="n"/>
      <c r="F610" s="7" t="n"/>
      <c r="G610" s="8" t="n"/>
      <c r="H610" s="9" t="n"/>
      <c r="I610" s="10">
        <f>IF(G610="","",G610*H610)</f>
        <v/>
      </c>
      <c r="J610" s="7" t="n"/>
    </row>
    <row r="611">
      <c r="A611" s="6" t="n"/>
      <c r="B611" s="7" t="n"/>
      <c r="C611" s="7" t="n"/>
      <c r="D611" s="7" t="n"/>
      <c r="E611" s="7" t="n"/>
      <c r="F611" s="7" t="n"/>
      <c r="G611" s="8" t="n"/>
      <c r="H611" s="9" t="n"/>
      <c r="I611" s="10">
        <f>IF(G611="","",G611*H611)</f>
        <v/>
      </c>
      <c r="J611" s="7" t="n"/>
    </row>
    <row r="612">
      <c r="A612" s="6" t="n"/>
      <c r="B612" s="7" t="n"/>
      <c r="C612" s="7" t="n"/>
      <c r="D612" s="7" t="n"/>
      <c r="E612" s="7" t="n"/>
      <c r="F612" s="7" t="n"/>
      <c r="G612" s="8" t="n"/>
      <c r="H612" s="9" t="n"/>
      <c r="I612" s="10">
        <f>IF(G612="","",G612*H612)</f>
        <v/>
      </c>
      <c r="J612" s="7" t="n"/>
    </row>
    <row r="613">
      <c r="A613" s="6" t="n"/>
      <c r="B613" s="7" t="n"/>
      <c r="C613" s="7" t="n"/>
      <c r="D613" s="7" t="n"/>
      <c r="E613" s="7" t="n"/>
      <c r="F613" s="7" t="n"/>
      <c r="G613" s="8" t="n"/>
      <c r="H613" s="9" t="n"/>
      <c r="I613" s="10">
        <f>IF(G613="","",G613*H613)</f>
        <v/>
      </c>
      <c r="J613" s="7" t="n"/>
    </row>
    <row r="614">
      <c r="A614" s="6" t="n"/>
      <c r="B614" s="7" t="n"/>
      <c r="C614" s="7" t="n"/>
      <c r="D614" s="7" t="n"/>
      <c r="E614" s="7" t="n"/>
      <c r="F614" s="7" t="n"/>
      <c r="G614" s="8" t="n"/>
      <c r="H614" s="9" t="n"/>
      <c r="I614" s="10">
        <f>IF(G614="","",G614*H614)</f>
        <v/>
      </c>
      <c r="J614" s="7" t="n"/>
    </row>
    <row r="615">
      <c r="A615" s="6" t="n"/>
      <c r="B615" s="7" t="n"/>
      <c r="C615" s="7" t="n"/>
      <c r="D615" s="7" t="n"/>
      <c r="E615" s="7" t="n"/>
      <c r="F615" s="7" t="n"/>
      <c r="G615" s="8" t="n"/>
      <c r="H615" s="9" t="n"/>
      <c r="I615" s="10">
        <f>IF(G615="","",G615*H615)</f>
        <v/>
      </c>
      <c r="J615" s="7" t="n"/>
    </row>
    <row r="616">
      <c r="A616" s="6" t="n"/>
      <c r="B616" s="7" t="n"/>
      <c r="C616" s="7" t="n"/>
      <c r="D616" s="7" t="n"/>
      <c r="E616" s="7" t="n"/>
      <c r="F616" s="7" t="n"/>
      <c r="G616" s="8" t="n"/>
      <c r="H616" s="9" t="n"/>
      <c r="I616" s="10">
        <f>IF(G616="","",G616*H616)</f>
        <v/>
      </c>
      <c r="J616" s="7" t="n"/>
    </row>
    <row r="617">
      <c r="A617" s="6" t="n"/>
      <c r="B617" s="7" t="n"/>
      <c r="C617" s="7" t="n"/>
      <c r="D617" s="7" t="n"/>
      <c r="E617" s="7" t="n"/>
      <c r="F617" s="7" t="n"/>
      <c r="G617" s="8" t="n"/>
      <c r="H617" s="9" t="n"/>
      <c r="I617" s="10">
        <f>IF(G617="","",G617*H617)</f>
        <v/>
      </c>
      <c r="J617" s="7" t="n"/>
    </row>
    <row r="618">
      <c r="A618" s="6" t="n"/>
      <c r="B618" s="7" t="n"/>
      <c r="C618" s="7" t="n"/>
      <c r="D618" s="7" t="n"/>
      <c r="E618" s="7" t="n"/>
      <c r="F618" s="7" t="n"/>
      <c r="G618" s="8" t="n"/>
      <c r="H618" s="9" t="n"/>
      <c r="I618" s="10">
        <f>IF(G618="","",G618*H618)</f>
        <v/>
      </c>
      <c r="J618" s="7" t="n"/>
    </row>
    <row r="619">
      <c r="A619" s="6" t="n"/>
      <c r="B619" s="7" t="n"/>
      <c r="C619" s="7" t="n"/>
      <c r="D619" s="7" t="n"/>
      <c r="E619" s="7" t="n"/>
      <c r="F619" s="7" t="n"/>
      <c r="G619" s="8" t="n"/>
      <c r="H619" s="9" t="n"/>
      <c r="I619" s="10">
        <f>IF(G619="","",G619*H619)</f>
        <v/>
      </c>
      <c r="J619" s="7" t="n"/>
    </row>
    <row r="620">
      <c r="A620" s="6" t="n"/>
      <c r="B620" s="7" t="n"/>
      <c r="C620" s="7" t="n"/>
      <c r="D620" s="7" t="n"/>
      <c r="E620" s="7" t="n"/>
      <c r="F620" s="7" t="n"/>
      <c r="G620" s="8" t="n"/>
      <c r="H620" s="9" t="n"/>
      <c r="I620" s="10">
        <f>IF(G620="","",G620*H620)</f>
        <v/>
      </c>
      <c r="J620" s="7" t="n"/>
    </row>
    <row r="621">
      <c r="A621" s="6" t="n"/>
      <c r="B621" s="7" t="n"/>
      <c r="C621" s="7" t="n"/>
      <c r="D621" s="7" t="n"/>
      <c r="E621" s="7" t="n"/>
      <c r="F621" s="7" t="n"/>
      <c r="G621" s="8" t="n"/>
      <c r="H621" s="9" t="n"/>
      <c r="I621" s="10">
        <f>IF(G621="","",G621*H621)</f>
        <v/>
      </c>
      <c r="J621" s="7" t="n"/>
    </row>
    <row r="622">
      <c r="A622" s="6" t="n"/>
      <c r="B622" s="7" t="n"/>
      <c r="C622" s="7" t="n"/>
      <c r="D622" s="7" t="n"/>
      <c r="E622" s="7" t="n"/>
      <c r="F622" s="7" t="n"/>
      <c r="G622" s="8" t="n"/>
      <c r="H622" s="9" t="n"/>
      <c r="I622" s="10">
        <f>IF(G622="","",G622*H622)</f>
        <v/>
      </c>
      <c r="J622" s="7" t="n"/>
    </row>
    <row r="623">
      <c r="A623" s="6" t="n"/>
      <c r="B623" s="7" t="n"/>
      <c r="C623" s="7" t="n"/>
      <c r="D623" s="7" t="n"/>
      <c r="E623" s="7" t="n"/>
      <c r="F623" s="7" t="n"/>
      <c r="G623" s="8" t="n"/>
      <c r="H623" s="9" t="n"/>
      <c r="I623" s="10">
        <f>IF(G623="","",G623*H623)</f>
        <v/>
      </c>
      <c r="J623" s="7" t="n"/>
    </row>
    <row r="624">
      <c r="A624" s="6" t="n"/>
      <c r="B624" s="7" t="n"/>
      <c r="C624" s="7" t="n"/>
      <c r="D624" s="7" t="n"/>
      <c r="E624" s="7" t="n"/>
      <c r="F624" s="7" t="n"/>
      <c r="G624" s="8" t="n"/>
      <c r="H624" s="9" t="n"/>
      <c r="I624" s="10">
        <f>IF(G624="","",G624*H624)</f>
        <v/>
      </c>
      <c r="J624" s="7" t="n"/>
    </row>
    <row r="625">
      <c r="A625" s="6" t="n"/>
      <c r="B625" s="7" t="n"/>
      <c r="C625" s="7" t="n"/>
      <c r="D625" s="7" t="n"/>
      <c r="E625" s="7" t="n"/>
      <c r="F625" s="7" t="n"/>
      <c r="G625" s="8" t="n"/>
      <c r="H625" s="9" t="n"/>
      <c r="I625" s="10">
        <f>IF(G625="","",G625*H625)</f>
        <v/>
      </c>
      <c r="J625" s="7" t="n"/>
    </row>
    <row r="626">
      <c r="A626" s="6" t="n"/>
      <c r="B626" s="7" t="n"/>
      <c r="C626" s="7" t="n"/>
      <c r="D626" s="7" t="n"/>
      <c r="E626" s="7" t="n"/>
      <c r="F626" s="7" t="n"/>
      <c r="G626" s="8" t="n"/>
      <c r="H626" s="9" t="n"/>
      <c r="I626" s="10">
        <f>IF(G626="","",G626*H626)</f>
        <v/>
      </c>
      <c r="J626" s="7" t="n"/>
    </row>
    <row r="627">
      <c r="A627" s="6" t="n"/>
      <c r="B627" s="7" t="n"/>
      <c r="C627" s="7" t="n"/>
      <c r="D627" s="7" t="n"/>
      <c r="E627" s="7" t="n"/>
      <c r="F627" s="7" t="n"/>
      <c r="G627" s="8" t="n"/>
      <c r="H627" s="9" t="n"/>
      <c r="I627" s="10">
        <f>IF(G627="","",G627*H627)</f>
        <v/>
      </c>
      <c r="J627" s="7" t="n"/>
    </row>
    <row r="628">
      <c r="A628" s="6" t="n"/>
      <c r="B628" s="7" t="n"/>
      <c r="C628" s="7" t="n"/>
      <c r="D628" s="7" t="n"/>
      <c r="E628" s="7" t="n"/>
      <c r="F628" s="7" t="n"/>
      <c r="G628" s="8" t="n"/>
      <c r="H628" s="9" t="n"/>
      <c r="I628" s="10">
        <f>IF(G628="","",G628*H628)</f>
        <v/>
      </c>
      <c r="J628" s="7" t="n"/>
    </row>
    <row r="629">
      <c r="A629" s="6" t="n"/>
      <c r="B629" s="7" t="n"/>
      <c r="C629" s="7" t="n"/>
      <c r="D629" s="7" t="n"/>
      <c r="E629" s="7" t="n"/>
      <c r="F629" s="7" t="n"/>
      <c r="G629" s="8" t="n"/>
      <c r="H629" s="9" t="n"/>
      <c r="I629" s="10">
        <f>IF(G629="","",G629*H629)</f>
        <v/>
      </c>
      <c r="J629" s="7" t="n"/>
    </row>
    <row r="630">
      <c r="A630" s="6" t="n"/>
      <c r="B630" s="7" t="n"/>
      <c r="C630" s="7" t="n"/>
      <c r="D630" s="7" t="n"/>
      <c r="E630" s="7" t="n"/>
      <c r="F630" s="7" t="n"/>
      <c r="G630" s="8" t="n"/>
      <c r="H630" s="9" t="n"/>
      <c r="I630" s="10">
        <f>IF(G630="","",G630*H630)</f>
        <v/>
      </c>
      <c r="J630" s="7" t="n"/>
    </row>
    <row r="631">
      <c r="A631" s="6" t="n"/>
      <c r="B631" s="7" t="n"/>
      <c r="C631" s="7" t="n"/>
      <c r="D631" s="7" t="n"/>
      <c r="E631" s="7" t="n"/>
      <c r="F631" s="7" t="n"/>
      <c r="G631" s="8" t="n"/>
      <c r="H631" s="9" t="n"/>
      <c r="I631" s="10">
        <f>IF(G631="","",G631*H631)</f>
        <v/>
      </c>
      <c r="J631" s="7" t="n"/>
    </row>
    <row r="632">
      <c r="A632" s="6" t="n"/>
      <c r="B632" s="7" t="n"/>
      <c r="C632" s="7" t="n"/>
      <c r="D632" s="7" t="n"/>
      <c r="E632" s="7" t="n"/>
      <c r="F632" s="7" t="n"/>
      <c r="G632" s="8" t="n"/>
      <c r="H632" s="9" t="n"/>
      <c r="I632" s="10">
        <f>IF(G632="","",G632*H632)</f>
        <v/>
      </c>
      <c r="J632" s="7" t="n"/>
    </row>
    <row r="633">
      <c r="A633" s="6" t="n"/>
      <c r="B633" s="7" t="n"/>
      <c r="C633" s="7" t="n"/>
      <c r="D633" s="7" t="n"/>
      <c r="E633" s="7" t="n"/>
      <c r="F633" s="7" t="n"/>
      <c r="G633" s="8" t="n"/>
      <c r="H633" s="9" t="n"/>
      <c r="I633" s="10">
        <f>IF(G633="","",G633*H633)</f>
        <v/>
      </c>
      <c r="J633" s="7" t="n"/>
    </row>
    <row r="634">
      <c r="A634" s="6" t="n"/>
      <c r="B634" s="7" t="n"/>
      <c r="C634" s="7" t="n"/>
      <c r="D634" s="7" t="n"/>
      <c r="E634" s="7" t="n"/>
      <c r="F634" s="7" t="n"/>
      <c r="G634" s="8" t="n"/>
      <c r="H634" s="9" t="n"/>
      <c r="I634" s="10">
        <f>IF(G634="","",G634*H634)</f>
        <v/>
      </c>
      <c r="J634" s="7" t="n"/>
    </row>
    <row r="635">
      <c r="A635" s="6" t="n"/>
      <c r="B635" s="7" t="n"/>
      <c r="C635" s="7" t="n"/>
      <c r="D635" s="7" t="n"/>
      <c r="E635" s="7" t="n"/>
      <c r="F635" s="7" t="n"/>
      <c r="G635" s="8" t="n"/>
      <c r="H635" s="9" t="n"/>
      <c r="I635" s="10">
        <f>IF(G635="","",G635*H635)</f>
        <v/>
      </c>
      <c r="J635" s="7" t="n"/>
    </row>
    <row r="636">
      <c r="A636" s="6" t="n"/>
      <c r="B636" s="7" t="n"/>
      <c r="C636" s="7" t="n"/>
      <c r="D636" s="7" t="n"/>
      <c r="E636" s="7" t="n"/>
      <c r="F636" s="7" t="n"/>
      <c r="G636" s="8" t="n"/>
      <c r="H636" s="9" t="n"/>
      <c r="I636" s="10">
        <f>IF(G636="","",G636*H636)</f>
        <v/>
      </c>
      <c r="J636" s="7" t="n"/>
    </row>
    <row r="637">
      <c r="A637" s="6" t="n"/>
      <c r="B637" s="7" t="n"/>
      <c r="C637" s="7" t="n"/>
      <c r="D637" s="7" t="n"/>
      <c r="E637" s="7" t="n"/>
      <c r="F637" s="7" t="n"/>
      <c r="G637" s="8" t="n"/>
      <c r="H637" s="9" t="n"/>
      <c r="I637" s="10">
        <f>IF(G637="","",G637*H637)</f>
        <v/>
      </c>
      <c r="J637" s="7" t="n"/>
    </row>
    <row r="638">
      <c r="A638" s="6" t="n"/>
      <c r="B638" s="7" t="n"/>
      <c r="C638" s="7" t="n"/>
      <c r="D638" s="7" t="n"/>
      <c r="E638" s="7" t="n"/>
      <c r="F638" s="7" t="n"/>
      <c r="G638" s="8" t="n"/>
      <c r="H638" s="9" t="n"/>
      <c r="I638" s="10">
        <f>IF(G638="","",G638*H638)</f>
        <v/>
      </c>
      <c r="J638" s="7" t="n"/>
    </row>
    <row r="639">
      <c r="A639" s="6" t="n"/>
      <c r="B639" s="7" t="n"/>
      <c r="C639" s="7" t="n"/>
      <c r="D639" s="7" t="n"/>
      <c r="E639" s="7" t="n"/>
      <c r="F639" s="7" t="n"/>
      <c r="G639" s="8" t="n"/>
      <c r="H639" s="9" t="n"/>
      <c r="I639" s="10">
        <f>IF(G639="","",G639*H639)</f>
        <v/>
      </c>
      <c r="J639" s="7" t="n"/>
    </row>
    <row r="640">
      <c r="A640" s="6" t="n"/>
      <c r="B640" s="7" t="n"/>
      <c r="C640" s="7" t="n"/>
      <c r="D640" s="7" t="n"/>
      <c r="E640" s="7" t="n"/>
      <c r="F640" s="7" t="n"/>
      <c r="G640" s="8" t="n"/>
      <c r="H640" s="9" t="n"/>
      <c r="I640" s="10">
        <f>IF(G640="","",G640*H640)</f>
        <v/>
      </c>
      <c r="J640" s="7" t="n"/>
    </row>
    <row r="641">
      <c r="A641" s="6" t="n"/>
      <c r="B641" s="7" t="n"/>
      <c r="C641" s="7" t="n"/>
      <c r="D641" s="7" t="n"/>
      <c r="E641" s="7" t="n"/>
      <c r="F641" s="7" t="n"/>
      <c r="G641" s="8" t="n"/>
      <c r="H641" s="9" t="n"/>
      <c r="I641" s="10">
        <f>IF(G641="","",G641*H641)</f>
        <v/>
      </c>
      <c r="J641" s="7" t="n"/>
    </row>
    <row r="642">
      <c r="A642" s="6" t="n"/>
      <c r="B642" s="7" t="n"/>
      <c r="C642" s="7" t="n"/>
      <c r="D642" s="7" t="n"/>
      <c r="E642" s="7" t="n"/>
      <c r="F642" s="7" t="n"/>
      <c r="G642" s="8" t="n"/>
      <c r="H642" s="9" t="n"/>
      <c r="I642" s="10">
        <f>IF(G642="","",G642*H642)</f>
        <v/>
      </c>
      <c r="J642" s="7" t="n"/>
    </row>
    <row r="643">
      <c r="A643" s="6" t="n"/>
      <c r="B643" s="7" t="n"/>
      <c r="C643" s="7" t="n"/>
      <c r="D643" s="7" t="n"/>
      <c r="E643" s="7" t="n"/>
      <c r="F643" s="7" t="n"/>
      <c r="G643" s="8" t="n"/>
      <c r="H643" s="9" t="n"/>
      <c r="I643" s="10">
        <f>IF(G643="","",G643*H643)</f>
        <v/>
      </c>
      <c r="J643" s="7" t="n"/>
    </row>
    <row r="644">
      <c r="A644" s="6" t="n"/>
      <c r="B644" s="7" t="n"/>
      <c r="C644" s="7" t="n"/>
      <c r="D644" s="7" t="n"/>
      <c r="E644" s="7" t="n"/>
      <c r="F644" s="7" t="n"/>
      <c r="G644" s="8" t="n"/>
      <c r="H644" s="9" t="n"/>
      <c r="I644" s="10">
        <f>IF(G644="","",G644*H644)</f>
        <v/>
      </c>
      <c r="J644" s="7" t="n"/>
    </row>
    <row r="645">
      <c r="A645" s="6" t="n"/>
      <c r="B645" s="7" t="n"/>
      <c r="C645" s="7" t="n"/>
      <c r="D645" s="7" t="n"/>
      <c r="E645" s="7" t="n"/>
      <c r="F645" s="7" t="n"/>
      <c r="G645" s="8" t="n"/>
      <c r="H645" s="9" t="n"/>
      <c r="I645" s="10">
        <f>IF(G645="","",G645*H645)</f>
        <v/>
      </c>
      <c r="J645" s="7" t="n"/>
    </row>
    <row r="646">
      <c r="A646" s="6" t="n"/>
      <c r="B646" s="7" t="n"/>
      <c r="C646" s="7" t="n"/>
      <c r="D646" s="7" t="n"/>
      <c r="E646" s="7" t="n"/>
      <c r="F646" s="7" t="n"/>
      <c r="G646" s="8" t="n"/>
      <c r="H646" s="9" t="n"/>
      <c r="I646" s="10">
        <f>IF(G646="","",G646*H646)</f>
        <v/>
      </c>
      <c r="J646" s="7" t="n"/>
    </row>
    <row r="647">
      <c r="A647" s="6" t="n"/>
      <c r="B647" s="7" t="n"/>
      <c r="C647" s="7" t="n"/>
      <c r="D647" s="7" t="n"/>
      <c r="E647" s="7" t="n"/>
      <c r="F647" s="7" t="n"/>
      <c r="G647" s="8" t="n"/>
      <c r="H647" s="9" t="n"/>
      <c r="I647" s="10">
        <f>IF(G647="","",G647*H647)</f>
        <v/>
      </c>
      <c r="J647" s="7" t="n"/>
    </row>
    <row r="648">
      <c r="A648" s="6" t="n"/>
      <c r="B648" s="7" t="n"/>
      <c r="C648" s="7" t="n"/>
      <c r="D648" s="7" t="n"/>
      <c r="E648" s="7" t="n"/>
      <c r="F648" s="7" t="n"/>
      <c r="G648" s="8" t="n"/>
      <c r="H648" s="9" t="n"/>
      <c r="I648" s="10">
        <f>IF(G648="","",G648*H648)</f>
        <v/>
      </c>
      <c r="J648" s="7" t="n"/>
    </row>
    <row r="649">
      <c r="A649" s="6" t="n"/>
      <c r="B649" s="7" t="n"/>
      <c r="C649" s="7" t="n"/>
      <c r="D649" s="7" t="n"/>
      <c r="E649" s="7" t="n"/>
      <c r="F649" s="7" t="n"/>
      <c r="G649" s="8" t="n"/>
      <c r="H649" s="9" t="n"/>
      <c r="I649" s="10">
        <f>IF(G649="","",G649*H649)</f>
        <v/>
      </c>
      <c r="J649" s="7" t="n"/>
    </row>
    <row r="650">
      <c r="A650" s="6" t="n"/>
      <c r="B650" s="7" t="n"/>
      <c r="C650" s="7" t="n"/>
      <c r="D650" s="7" t="n"/>
      <c r="E650" s="7" t="n"/>
      <c r="F650" s="7" t="n"/>
      <c r="G650" s="8" t="n"/>
      <c r="H650" s="9" t="n"/>
      <c r="I650" s="10">
        <f>IF(G650="","",G650*H650)</f>
        <v/>
      </c>
      <c r="J650" s="7" t="n"/>
    </row>
    <row r="651">
      <c r="A651" s="6" t="n"/>
      <c r="B651" s="7" t="n"/>
      <c r="C651" s="7" t="n"/>
      <c r="D651" s="7" t="n"/>
      <c r="E651" s="7" t="n"/>
      <c r="F651" s="7" t="n"/>
      <c r="G651" s="8" t="n"/>
      <c r="H651" s="9" t="n"/>
      <c r="I651" s="10">
        <f>IF(G651="","",G651*H651)</f>
        <v/>
      </c>
      <c r="J651" s="7" t="n"/>
    </row>
    <row r="652">
      <c r="A652" s="6" t="n"/>
      <c r="B652" s="7" t="n"/>
      <c r="C652" s="7" t="n"/>
      <c r="D652" s="7" t="n"/>
      <c r="E652" s="7" t="n"/>
      <c r="F652" s="7" t="n"/>
      <c r="G652" s="8" t="n"/>
      <c r="H652" s="9" t="n"/>
      <c r="I652" s="10">
        <f>IF(G652="","",G652*H652)</f>
        <v/>
      </c>
      <c r="J652" s="7" t="n"/>
    </row>
    <row r="653">
      <c r="A653" s="6" t="n"/>
      <c r="B653" s="7" t="n"/>
      <c r="C653" s="7" t="n"/>
      <c r="D653" s="7" t="n"/>
      <c r="E653" s="7" t="n"/>
      <c r="F653" s="7" t="n"/>
      <c r="G653" s="8" t="n"/>
      <c r="H653" s="9" t="n"/>
      <c r="I653" s="10">
        <f>IF(G653="","",G653*H653)</f>
        <v/>
      </c>
      <c r="J653" s="7" t="n"/>
    </row>
    <row r="654">
      <c r="A654" s="6" t="n"/>
      <c r="B654" s="7" t="n"/>
      <c r="C654" s="7" t="n"/>
      <c r="D654" s="7" t="n"/>
      <c r="E654" s="7" t="n"/>
      <c r="F654" s="7" t="n"/>
      <c r="G654" s="8" t="n"/>
      <c r="H654" s="9" t="n"/>
      <c r="I654" s="10">
        <f>IF(G654="","",G654*H654)</f>
        <v/>
      </c>
      <c r="J654" s="7" t="n"/>
    </row>
    <row r="655">
      <c r="A655" s="6" t="n"/>
      <c r="B655" s="7" t="n"/>
      <c r="C655" s="7" t="n"/>
      <c r="D655" s="7" t="n"/>
      <c r="E655" s="7" t="n"/>
      <c r="F655" s="7" t="n"/>
      <c r="G655" s="8" t="n"/>
      <c r="H655" s="9" t="n"/>
      <c r="I655" s="10">
        <f>IF(G655="","",G655*H655)</f>
        <v/>
      </c>
      <c r="J655" s="7" t="n"/>
    </row>
    <row r="656">
      <c r="A656" s="6" t="n"/>
      <c r="B656" s="7" t="n"/>
      <c r="C656" s="7" t="n"/>
      <c r="D656" s="7" t="n"/>
      <c r="E656" s="7" t="n"/>
      <c r="F656" s="7" t="n"/>
      <c r="G656" s="8" t="n"/>
      <c r="H656" s="9" t="n"/>
      <c r="I656" s="10">
        <f>IF(G656="","",G656*H656)</f>
        <v/>
      </c>
      <c r="J656" s="7" t="n"/>
    </row>
    <row r="657">
      <c r="A657" s="6" t="n"/>
      <c r="B657" s="7" t="n"/>
      <c r="C657" s="7" t="n"/>
      <c r="D657" s="7" t="n"/>
      <c r="E657" s="7" t="n"/>
      <c r="F657" s="7" t="n"/>
      <c r="G657" s="8" t="n"/>
      <c r="H657" s="9" t="n"/>
      <c r="I657" s="10">
        <f>IF(G657="","",G657*H657)</f>
        <v/>
      </c>
      <c r="J657" s="7" t="n"/>
    </row>
    <row r="658">
      <c r="A658" s="6" t="n"/>
      <c r="B658" s="7" t="n"/>
      <c r="C658" s="7" t="n"/>
      <c r="D658" s="7" t="n"/>
      <c r="E658" s="7" t="n"/>
      <c r="F658" s="7" t="n"/>
      <c r="G658" s="8" t="n"/>
      <c r="H658" s="9" t="n"/>
      <c r="I658" s="10">
        <f>IF(G658="","",G658*H658)</f>
        <v/>
      </c>
      <c r="J658" s="7" t="n"/>
    </row>
    <row r="659">
      <c r="A659" s="6" t="n"/>
      <c r="B659" s="7" t="n"/>
      <c r="C659" s="7" t="n"/>
      <c r="D659" s="7" t="n"/>
      <c r="E659" s="7" t="n"/>
      <c r="F659" s="7" t="n"/>
      <c r="G659" s="8" t="n"/>
      <c r="H659" s="9" t="n"/>
      <c r="I659" s="10">
        <f>IF(G659="","",G659*H659)</f>
        <v/>
      </c>
      <c r="J659" s="7" t="n"/>
    </row>
    <row r="660">
      <c r="A660" s="6" t="n"/>
      <c r="B660" s="7" t="n"/>
      <c r="C660" s="7" t="n"/>
      <c r="D660" s="7" t="n"/>
      <c r="E660" s="7" t="n"/>
      <c r="F660" s="7" t="n"/>
      <c r="G660" s="8" t="n"/>
      <c r="H660" s="9" t="n"/>
      <c r="I660" s="10">
        <f>IF(G660="","",G660*H660)</f>
        <v/>
      </c>
      <c r="J660" s="7" t="n"/>
    </row>
    <row r="661">
      <c r="A661" s="6" t="n"/>
      <c r="B661" s="7" t="n"/>
      <c r="C661" s="7" t="n"/>
      <c r="D661" s="7" t="n"/>
      <c r="E661" s="7" t="n"/>
      <c r="F661" s="7" t="n"/>
      <c r="G661" s="8" t="n"/>
      <c r="H661" s="9" t="n"/>
      <c r="I661" s="10">
        <f>IF(G661="","",G661*H661)</f>
        <v/>
      </c>
      <c r="J661" s="7" t="n"/>
    </row>
    <row r="662">
      <c r="A662" s="6" t="n"/>
      <c r="B662" s="7" t="n"/>
      <c r="C662" s="7" t="n"/>
      <c r="D662" s="7" t="n"/>
      <c r="E662" s="7" t="n"/>
      <c r="F662" s="7" t="n"/>
      <c r="G662" s="8" t="n"/>
      <c r="H662" s="9" t="n"/>
      <c r="I662" s="10">
        <f>IF(G662="","",G662*H662)</f>
        <v/>
      </c>
      <c r="J662" s="7" t="n"/>
    </row>
    <row r="663">
      <c r="A663" s="6" t="n"/>
      <c r="B663" s="7" t="n"/>
      <c r="C663" s="7" t="n"/>
      <c r="D663" s="7" t="n"/>
      <c r="E663" s="7" t="n"/>
      <c r="F663" s="7" t="n"/>
      <c r="G663" s="8" t="n"/>
      <c r="H663" s="9" t="n"/>
      <c r="I663" s="10">
        <f>IF(G663="","",G663*H663)</f>
        <v/>
      </c>
      <c r="J663" s="7" t="n"/>
    </row>
    <row r="664">
      <c r="A664" s="6" t="n"/>
      <c r="B664" s="7" t="n"/>
      <c r="C664" s="7" t="n"/>
      <c r="D664" s="7" t="n"/>
      <c r="E664" s="7" t="n"/>
      <c r="F664" s="7" t="n"/>
      <c r="G664" s="8" t="n"/>
      <c r="H664" s="9" t="n"/>
      <c r="I664" s="10">
        <f>IF(G664="","",G664*H664)</f>
        <v/>
      </c>
      <c r="J664" s="7" t="n"/>
    </row>
    <row r="665">
      <c r="A665" s="6" t="n"/>
      <c r="B665" s="7" t="n"/>
      <c r="C665" s="7" t="n"/>
      <c r="D665" s="7" t="n"/>
      <c r="E665" s="7" t="n"/>
      <c r="F665" s="7" t="n"/>
      <c r="G665" s="8" t="n"/>
      <c r="H665" s="9" t="n"/>
      <c r="I665" s="10">
        <f>IF(G665="","",G665*H665)</f>
        <v/>
      </c>
      <c r="J665" s="7" t="n"/>
    </row>
    <row r="666">
      <c r="A666" s="6" t="n"/>
      <c r="B666" s="7" t="n"/>
      <c r="C666" s="7" t="n"/>
      <c r="D666" s="7" t="n"/>
      <c r="E666" s="7" t="n"/>
      <c r="F666" s="7" t="n"/>
      <c r="G666" s="8" t="n"/>
      <c r="H666" s="9" t="n"/>
      <c r="I666" s="10">
        <f>IF(G666="","",G666*H666)</f>
        <v/>
      </c>
      <c r="J666" s="7" t="n"/>
    </row>
    <row r="667">
      <c r="A667" s="6" t="n"/>
      <c r="B667" s="7" t="n"/>
      <c r="C667" s="7" t="n"/>
      <c r="D667" s="7" t="n"/>
      <c r="E667" s="7" t="n"/>
      <c r="F667" s="7" t="n"/>
      <c r="G667" s="8" t="n"/>
      <c r="H667" s="9" t="n"/>
      <c r="I667" s="10">
        <f>IF(G667="","",G667*H667)</f>
        <v/>
      </c>
      <c r="J667" s="7" t="n"/>
    </row>
    <row r="668">
      <c r="A668" s="6" t="n"/>
      <c r="B668" s="7" t="n"/>
      <c r="C668" s="7" t="n"/>
      <c r="D668" s="7" t="n"/>
      <c r="E668" s="7" t="n"/>
      <c r="F668" s="7" t="n"/>
      <c r="G668" s="8" t="n"/>
      <c r="H668" s="9" t="n"/>
      <c r="I668" s="10">
        <f>IF(G668="","",G668*H668)</f>
        <v/>
      </c>
      <c r="J668" s="7" t="n"/>
    </row>
    <row r="669">
      <c r="A669" s="6" t="n"/>
      <c r="B669" s="7" t="n"/>
      <c r="C669" s="7" t="n"/>
      <c r="D669" s="7" t="n"/>
      <c r="E669" s="7" t="n"/>
      <c r="F669" s="7" t="n"/>
      <c r="G669" s="8" t="n"/>
      <c r="H669" s="9" t="n"/>
      <c r="I669" s="10">
        <f>IF(G669="","",G669*H669)</f>
        <v/>
      </c>
      <c r="J669" s="7" t="n"/>
    </row>
    <row r="670">
      <c r="A670" s="6" t="n"/>
      <c r="B670" s="7" t="n"/>
      <c r="C670" s="7" t="n"/>
      <c r="D670" s="7" t="n"/>
      <c r="E670" s="7" t="n"/>
      <c r="F670" s="7" t="n"/>
      <c r="G670" s="8" t="n"/>
      <c r="H670" s="9" t="n"/>
      <c r="I670" s="10">
        <f>IF(G670="","",G670*H670)</f>
        <v/>
      </c>
      <c r="J670" s="7" t="n"/>
    </row>
    <row r="671">
      <c r="A671" s="6" t="n"/>
      <c r="B671" s="7" t="n"/>
      <c r="C671" s="7" t="n"/>
      <c r="D671" s="7" t="n"/>
      <c r="E671" s="7" t="n"/>
      <c r="F671" s="7" t="n"/>
      <c r="G671" s="8" t="n"/>
      <c r="H671" s="9" t="n"/>
      <c r="I671" s="10">
        <f>IF(G671="","",G671*H671)</f>
        <v/>
      </c>
      <c r="J671" s="7" t="n"/>
    </row>
    <row r="672">
      <c r="A672" s="6" t="n"/>
      <c r="B672" s="7" t="n"/>
      <c r="C672" s="7" t="n"/>
      <c r="D672" s="7" t="n"/>
      <c r="E672" s="7" t="n"/>
      <c r="F672" s="7" t="n"/>
      <c r="G672" s="8" t="n"/>
      <c r="H672" s="9" t="n"/>
      <c r="I672" s="10">
        <f>IF(G672="","",G672*H672)</f>
        <v/>
      </c>
      <c r="J672" s="7" t="n"/>
    </row>
    <row r="673">
      <c r="A673" s="6" t="n"/>
      <c r="B673" s="7" t="n"/>
      <c r="C673" s="7" t="n"/>
      <c r="D673" s="7" t="n"/>
      <c r="E673" s="7" t="n"/>
      <c r="F673" s="7" t="n"/>
      <c r="G673" s="8" t="n"/>
      <c r="H673" s="9" t="n"/>
      <c r="I673" s="10">
        <f>IF(G673="","",G673*H673)</f>
        <v/>
      </c>
      <c r="J673" s="7" t="n"/>
    </row>
    <row r="674">
      <c r="A674" s="6" t="n"/>
      <c r="B674" s="7" t="n"/>
      <c r="C674" s="7" t="n"/>
      <c r="D674" s="7" t="n"/>
      <c r="E674" s="7" t="n"/>
      <c r="F674" s="7" t="n"/>
      <c r="G674" s="8" t="n"/>
      <c r="H674" s="9" t="n"/>
      <c r="I674" s="10">
        <f>IF(G674="","",G674*H674)</f>
        <v/>
      </c>
      <c r="J674" s="7" t="n"/>
    </row>
    <row r="675">
      <c r="A675" s="6" t="n"/>
      <c r="B675" s="7" t="n"/>
      <c r="C675" s="7" t="n"/>
      <c r="D675" s="7" t="n"/>
      <c r="E675" s="7" t="n"/>
      <c r="F675" s="7" t="n"/>
      <c r="G675" s="8" t="n"/>
      <c r="H675" s="9" t="n"/>
      <c r="I675" s="10">
        <f>IF(G675="","",G675*H675)</f>
        <v/>
      </c>
      <c r="J675" s="7" t="n"/>
    </row>
    <row r="676">
      <c r="A676" s="6" t="n"/>
      <c r="B676" s="7" t="n"/>
      <c r="C676" s="7" t="n"/>
      <c r="D676" s="7" t="n"/>
      <c r="E676" s="7" t="n"/>
      <c r="F676" s="7" t="n"/>
      <c r="G676" s="8" t="n"/>
      <c r="H676" s="9" t="n"/>
      <c r="I676" s="10">
        <f>IF(G676="","",G676*H676)</f>
        <v/>
      </c>
      <c r="J676" s="7" t="n"/>
    </row>
    <row r="677">
      <c r="A677" s="6" t="n"/>
      <c r="B677" s="7" t="n"/>
      <c r="C677" s="7" t="n"/>
      <c r="D677" s="7" t="n"/>
      <c r="E677" s="7" t="n"/>
      <c r="F677" s="7" t="n"/>
      <c r="G677" s="8" t="n"/>
      <c r="H677" s="9" t="n"/>
      <c r="I677" s="10">
        <f>IF(G677="","",G677*H677)</f>
        <v/>
      </c>
      <c r="J677" s="7" t="n"/>
    </row>
    <row r="678">
      <c r="A678" s="6" t="n"/>
      <c r="B678" s="7" t="n"/>
      <c r="C678" s="7" t="n"/>
      <c r="D678" s="7" t="n"/>
      <c r="E678" s="7" t="n"/>
      <c r="F678" s="7" t="n"/>
      <c r="G678" s="8" t="n"/>
      <c r="H678" s="9" t="n"/>
      <c r="I678" s="10">
        <f>IF(G678="","",G678*H678)</f>
        <v/>
      </c>
      <c r="J678" s="7" t="n"/>
    </row>
    <row r="679">
      <c r="A679" s="6" t="n"/>
      <c r="B679" s="7" t="n"/>
      <c r="C679" s="7" t="n"/>
      <c r="D679" s="7" t="n"/>
      <c r="E679" s="7" t="n"/>
      <c r="F679" s="7" t="n"/>
      <c r="G679" s="8" t="n"/>
      <c r="H679" s="9" t="n"/>
      <c r="I679" s="10">
        <f>IF(G679="","",G679*H679)</f>
        <v/>
      </c>
      <c r="J679" s="7" t="n"/>
    </row>
    <row r="680">
      <c r="A680" s="6" t="n"/>
      <c r="B680" s="7" t="n"/>
      <c r="C680" s="7" t="n"/>
      <c r="D680" s="7" t="n"/>
      <c r="E680" s="7" t="n"/>
      <c r="F680" s="7" t="n"/>
      <c r="G680" s="8" t="n"/>
      <c r="H680" s="9" t="n"/>
      <c r="I680" s="10">
        <f>IF(G680="","",G680*H680)</f>
        <v/>
      </c>
      <c r="J680" s="7" t="n"/>
    </row>
    <row r="681">
      <c r="A681" s="6" t="n"/>
      <c r="B681" s="7" t="n"/>
      <c r="C681" s="7" t="n"/>
      <c r="D681" s="7" t="n"/>
      <c r="E681" s="7" t="n"/>
      <c r="F681" s="7" t="n"/>
      <c r="G681" s="8" t="n"/>
      <c r="H681" s="9" t="n"/>
      <c r="I681" s="10">
        <f>IF(G681="","",G681*H681)</f>
        <v/>
      </c>
      <c r="J681" s="7" t="n"/>
    </row>
    <row r="682">
      <c r="A682" s="6" t="n"/>
      <c r="B682" s="7" t="n"/>
      <c r="C682" s="7" t="n"/>
      <c r="D682" s="7" t="n"/>
      <c r="E682" s="7" t="n"/>
      <c r="F682" s="7" t="n"/>
      <c r="G682" s="8" t="n"/>
      <c r="H682" s="9" t="n"/>
      <c r="I682" s="10">
        <f>IF(G682="","",G682*H682)</f>
        <v/>
      </c>
      <c r="J682" s="7" t="n"/>
    </row>
    <row r="683">
      <c r="A683" s="6" t="n"/>
      <c r="B683" s="7" t="n"/>
      <c r="C683" s="7" t="n"/>
      <c r="D683" s="7" t="n"/>
      <c r="E683" s="7" t="n"/>
      <c r="F683" s="7" t="n"/>
      <c r="G683" s="8" t="n"/>
      <c r="H683" s="9" t="n"/>
      <c r="I683" s="10">
        <f>IF(G683="","",G683*H683)</f>
        <v/>
      </c>
      <c r="J683" s="7" t="n"/>
    </row>
    <row r="684">
      <c r="A684" s="6" t="n"/>
      <c r="B684" s="7" t="n"/>
      <c r="C684" s="7" t="n"/>
      <c r="D684" s="7" t="n"/>
      <c r="E684" s="7" t="n"/>
      <c r="F684" s="7" t="n"/>
      <c r="G684" s="8" t="n"/>
      <c r="H684" s="9" t="n"/>
      <c r="I684" s="10">
        <f>IF(G684="","",G684*H684)</f>
        <v/>
      </c>
      <c r="J684" s="7" t="n"/>
    </row>
    <row r="685">
      <c r="A685" s="6" t="n"/>
      <c r="B685" s="7" t="n"/>
      <c r="C685" s="7" t="n"/>
      <c r="D685" s="7" t="n"/>
      <c r="E685" s="7" t="n"/>
      <c r="F685" s="7" t="n"/>
      <c r="G685" s="8" t="n"/>
      <c r="H685" s="9" t="n"/>
      <c r="I685" s="10">
        <f>IF(G685="","",G685*H685)</f>
        <v/>
      </c>
      <c r="J685" s="7" t="n"/>
    </row>
    <row r="686">
      <c r="A686" s="6" t="n"/>
      <c r="B686" s="7" t="n"/>
      <c r="C686" s="7" t="n"/>
      <c r="D686" s="7" t="n"/>
      <c r="E686" s="7" t="n"/>
      <c r="F686" s="7" t="n"/>
      <c r="G686" s="8" t="n"/>
      <c r="H686" s="9" t="n"/>
      <c r="I686" s="10">
        <f>IF(G686="","",G686*H686)</f>
        <v/>
      </c>
      <c r="J686" s="7" t="n"/>
    </row>
    <row r="687">
      <c r="A687" s="6" t="n"/>
      <c r="B687" s="7" t="n"/>
      <c r="C687" s="7" t="n"/>
      <c r="D687" s="7" t="n"/>
      <c r="E687" s="7" t="n"/>
      <c r="F687" s="7" t="n"/>
      <c r="G687" s="8" t="n"/>
      <c r="H687" s="9" t="n"/>
      <c r="I687" s="10">
        <f>IF(G687="","",G687*H687)</f>
        <v/>
      </c>
      <c r="J687" s="7" t="n"/>
    </row>
    <row r="688">
      <c r="A688" s="6" t="n"/>
      <c r="B688" s="7" t="n"/>
      <c r="C688" s="7" t="n"/>
      <c r="D688" s="7" t="n"/>
      <c r="E688" s="7" t="n"/>
      <c r="F688" s="7" t="n"/>
      <c r="G688" s="8" t="n"/>
      <c r="H688" s="9" t="n"/>
      <c r="I688" s="10">
        <f>IF(G688="","",G688*H688)</f>
        <v/>
      </c>
      <c r="J688" s="7" t="n"/>
    </row>
    <row r="689">
      <c r="A689" s="6" t="n"/>
      <c r="B689" s="7" t="n"/>
      <c r="C689" s="7" t="n"/>
      <c r="D689" s="7" t="n"/>
      <c r="E689" s="7" t="n"/>
      <c r="F689" s="7" t="n"/>
      <c r="G689" s="8" t="n"/>
      <c r="H689" s="9" t="n"/>
      <c r="I689" s="10">
        <f>IF(G689="","",G689*H689)</f>
        <v/>
      </c>
      <c r="J689" s="7" t="n"/>
    </row>
    <row r="690">
      <c r="A690" s="6" t="n"/>
      <c r="B690" s="7" t="n"/>
      <c r="C690" s="7" t="n"/>
      <c r="D690" s="7" t="n"/>
      <c r="E690" s="7" t="n"/>
      <c r="F690" s="7" t="n"/>
      <c r="G690" s="8" t="n"/>
      <c r="H690" s="9" t="n"/>
      <c r="I690" s="10">
        <f>IF(G690="","",G690*H690)</f>
        <v/>
      </c>
      <c r="J690" s="7" t="n"/>
    </row>
    <row r="691">
      <c r="A691" s="6" t="n"/>
      <c r="B691" s="7" t="n"/>
      <c r="C691" s="7" t="n"/>
      <c r="D691" s="7" t="n"/>
      <c r="E691" s="7" t="n"/>
      <c r="F691" s="7" t="n"/>
      <c r="G691" s="8" t="n"/>
      <c r="H691" s="9" t="n"/>
      <c r="I691" s="10">
        <f>IF(G691="","",G691*H691)</f>
        <v/>
      </c>
      <c r="J691" s="7" t="n"/>
    </row>
    <row r="692">
      <c r="A692" s="6" t="n"/>
      <c r="B692" s="7" t="n"/>
      <c r="C692" s="7" t="n"/>
      <c r="D692" s="7" t="n"/>
      <c r="E692" s="7" t="n"/>
      <c r="F692" s="7" t="n"/>
      <c r="G692" s="8" t="n"/>
      <c r="H692" s="9" t="n"/>
      <c r="I692" s="10">
        <f>IF(G692="","",G692*H692)</f>
        <v/>
      </c>
      <c r="J692" s="7" t="n"/>
    </row>
    <row r="693">
      <c r="A693" s="6" t="n"/>
      <c r="B693" s="7" t="n"/>
      <c r="C693" s="7" t="n"/>
      <c r="D693" s="7" t="n"/>
      <c r="E693" s="7" t="n"/>
      <c r="F693" s="7" t="n"/>
      <c r="G693" s="8" t="n"/>
      <c r="H693" s="9" t="n"/>
      <c r="I693" s="10">
        <f>IF(G693="","",G693*H693)</f>
        <v/>
      </c>
      <c r="J693" s="7" t="n"/>
    </row>
    <row r="694">
      <c r="A694" s="6" t="n"/>
      <c r="B694" s="7" t="n"/>
      <c r="C694" s="7" t="n"/>
      <c r="D694" s="7" t="n"/>
      <c r="E694" s="7" t="n"/>
      <c r="F694" s="7" t="n"/>
      <c r="G694" s="8" t="n"/>
      <c r="H694" s="9" t="n"/>
      <c r="I694" s="10">
        <f>IF(G694="","",G694*H694)</f>
        <v/>
      </c>
      <c r="J694" s="7" t="n"/>
    </row>
    <row r="695">
      <c r="A695" s="6" t="n"/>
      <c r="B695" s="7" t="n"/>
      <c r="C695" s="7" t="n"/>
      <c r="D695" s="7" t="n"/>
      <c r="E695" s="7" t="n"/>
      <c r="F695" s="7" t="n"/>
      <c r="G695" s="8" t="n"/>
      <c r="H695" s="9" t="n"/>
      <c r="I695" s="10">
        <f>IF(G695="","",G695*H695)</f>
        <v/>
      </c>
      <c r="J695" s="7" t="n"/>
    </row>
    <row r="696">
      <c r="A696" s="6" t="n"/>
      <c r="B696" s="7" t="n"/>
      <c r="C696" s="7" t="n"/>
      <c r="D696" s="7" t="n"/>
      <c r="E696" s="7" t="n"/>
      <c r="F696" s="7" t="n"/>
      <c r="G696" s="8" t="n"/>
      <c r="H696" s="9" t="n"/>
      <c r="I696" s="10">
        <f>IF(G696="","",G696*H696)</f>
        <v/>
      </c>
      <c r="J696" s="7" t="n"/>
    </row>
    <row r="697">
      <c r="A697" s="6" t="n"/>
      <c r="B697" s="7" t="n"/>
      <c r="C697" s="7" t="n"/>
      <c r="D697" s="7" t="n"/>
      <c r="E697" s="7" t="n"/>
      <c r="F697" s="7" t="n"/>
      <c r="G697" s="8" t="n"/>
      <c r="H697" s="9" t="n"/>
      <c r="I697" s="10">
        <f>IF(G697="","",G697*H697)</f>
        <v/>
      </c>
      <c r="J697" s="7" t="n"/>
    </row>
    <row r="698">
      <c r="A698" s="6" t="n"/>
      <c r="B698" s="7" t="n"/>
      <c r="C698" s="7" t="n"/>
      <c r="D698" s="7" t="n"/>
      <c r="E698" s="7" t="n"/>
      <c r="F698" s="7" t="n"/>
      <c r="G698" s="8" t="n"/>
      <c r="H698" s="9" t="n"/>
      <c r="I698" s="10">
        <f>IF(G698="","",G698*H698)</f>
        <v/>
      </c>
      <c r="J698" s="7" t="n"/>
    </row>
    <row r="699">
      <c r="A699" s="6" t="n"/>
      <c r="B699" s="7" t="n"/>
      <c r="C699" s="7" t="n"/>
      <c r="D699" s="7" t="n"/>
      <c r="E699" s="7" t="n"/>
      <c r="F699" s="7" t="n"/>
      <c r="G699" s="8" t="n"/>
      <c r="H699" s="9" t="n"/>
      <c r="I699" s="10">
        <f>IF(G699="","",G699*H699)</f>
        <v/>
      </c>
      <c r="J699" s="7" t="n"/>
    </row>
    <row r="700">
      <c r="A700" s="6" t="n"/>
      <c r="B700" s="7" t="n"/>
      <c r="C700" s="7" t="n"/>
      <c r="D700" s="7" t="n"/>
      <c r="E700" s="7" t="n"/>
      <c r="F700" s="7" t="n"/>
      <c r="G700" s="8" t="n"/>
      <c r="H700" s="9" t="n"/>
      <c r="I700" s="10">
        <f>IF(G700="","",G700*H700)</f>
        <v/>
      </c>
      <c r="J700" s="7" t="n"/>
    </row>
    <row r="701">
      <c r="A701" s="6" t="n"/>
      <c r="B701" s="7" t="n"/>
      <c r="C701" s="7" t="n"/>
      <c r="D701" s="7" t="n"/>
      <c r="E701" s="7" t="n"/>
      <c r="F701" s="7" t="n"/>
      <c r="G701" s="8" t="n"/>
      <c r="H701" s="9" t="n"/>
      <c r="I701" s="10">
        <f>IF(G701="","",G701*H701)</f>
        <v/>
      </c>
      <c r="J701" s="7" t="n"/>
    </row>
    <row r="702">
      <c r="A702" s="6" t="n"/>
      <c r="B702" s="7" t="n"/>
      <c r="C702" s="7" t="n"/>
      <c r="D702" s="7" t="n"/>
      <c r="E702" s="7" t="n"/>
      <c r="F702" s="7" t="n"/>
      <c r="G702" s="8" t="n"/>
      <c r="H702" s="9" t="n"/>
      <c r="I702" s="10">
        <f>IF(G702="","",G702*H702)</f>
        <v/>
      </c>
      <c r="J702" s="7" t="n"/>
    </row>
    <row r="703">
      <c r="A703" s="6" t="n"/>
      <c r="B703" s="7" t="n"/>
      <c r="C703" s="7" t="n"/>
      <c r="D703" s="7" t="n"/>
      <c r="E703" s="7" t="n"/>
      <c r="F703" s="7" t="n"/>
      <c r="G703" s="8" t="n"/>
      <c r="H703" s="9" t="n"/>
      <c r="I703" s="10">
        <f>IF(G703="","",G703*H703)</f>
        <v/>
      </c>
      <c r="J703" s="7" t="n"/>
    </row>
    <row r="704">
      <c r="A704" s="6" t="n"/>
      <c r="B704" s="7" t="n"/>
      <c r="C704" s="7" t="n"/>
      <c r="D704" s="7" t="n"/>
      <c r="E704" s="7" t="n"/>
      <c r="F704" s="7" t="n"/>
      <c r="G704" s="8" t="n"/>
      <c r="H704" s="9" t="n"/>
      <c r="I704" s="10">
        <f>IF(G704="","",G704*H704)</f>
        <v/>
      </c>
      <c r="J704" s="7" t="n"/>
    </row>
    <row r="705">
      <c r="A705" s="6" t="n"/>
      <c r="B705" s="7" t="n"/>
      <c r="C705" s="7" t="n"/>
      <c r="D705" s="7" t="n"/>
      <c r="E705" s="7" t="n"/>
      <c r="F705" s="7" t="n"/>
      <c r="G705" s="8" t="n"/>
      <c r="H705" s="9" t="n"/>
      <c r="I705" s="10">
        <f>IF(G705="","",G705*H705)</f>
        <v/>
      </c>
      <c r="J705" s="7" t="n"/>
    </row>
    <row r="706">
      <c r="A706" s="6" t="n"/>
      <c r="B706" s="7" t="n"/>
      <c r="C706" s="7" t="n"/>
      <c r="D706" s="7" t="n"/>
      <c r="E706" s="7" t="n"/>
      <c r="F706" s="7" t="n"/>
      <c r="G706" s="8" t="n"/>
      <c r="H706" s="9" t="n"/>
      <c r="I706" s="10">
        <f>IF(G706="","",G706*H706)</f>
        <v/>
      </c>
      <c r="J706" s="7" t="n"/>
    </row>
    <row r="707">
      <c r="A707" s="6" t="n"/>
      <c r="B707" s="7" t="n"/>
      <c r="C707" s="7" t="n"/>
      <c r="D707" s="7" t="n"/>
      <c r="E707" s="7" t="n"/>
      <c r="F707" s="7" t="n"/>
      <c r="G707" s="8" t="n"/>
      <c r="H707" s="9" t="n"/>
      <c r="I707" s="10">
        <f>IF(G707="","",G707*H707)</f>
        <v/>
      </c>
      <c r="J707" s="7" t="n"/>
    </row>
    <row r="708">
      <c r="A708" s="6" t="n"/>
      <c r="B708" s="7" t="n"/>
      <c r="C708" s="7" t="n"/>
      <c r="D708" s="7" t="n"/>
      <c r="E708" s="7" t="n"/>
      <c r="F708" s="7" t="n"/>
      <c r="G708" s="8" t="n"/>
      <c r="H708" s="9" t="n"/>
      <c r="I708" s="10">
        <f>IF(G708="","",G708*H708)</f>
        <v/>
      </c>
      <c r="J708" s="7" t="n"/>
    </row>
    <row r="709">
      <c r="A709" s="6" t="n"/>
      <c r="B709" s="7" t="n"/>
      <c r="C709" s="7" t="n"/>
      <c r="D709" s="7" t="n"/>
      <c r="E709" s="7" t="n"/>
      <c r="F709" s="7" t="n"/>
      <c r="G709" s="8" t="n"/>
      <c r="H709" s="9" t="n"/>
      <c r="I709" s="10">
        <f>IF(G709="","",G709*H709)</f>
        <v/>
      </c>
      <c r="J709" s="7" t="n"/>
    </row>
    <row r="710">
      <c r="A710" s="6" t="n"/>
      <c r="B710" s="7" t="n"/>
      <c r="C710" s="7" t="n"/>
      <c r="D710" s="7" t="n"/>
      <c r="E710" s="7" t="n"/>
      <c r="F710" s="7" t="n"/>
      <c r="G710" s="8" t="n"/>
      <c r="H710" s="9" t="n"/>
      <c r="I710" s="10">
        <f>IF(G710="","",G710*H710)</f>
        <v/>
      </c>
      <c r="J710" s="7" t="n"/>
    </row>
    <row r="711">
      <c r="A711" s="6" t="n"/>
      <c r="B711" s="7" t="n"/>
      <c r="C711" s="7" t="n"/>
      <c r="D711" s="7" t="n"/>
      <c r="E711" s="7" t="n"/>
      <c r="F711" s="7" t="n"/>
      <c r="G711" s="8" t="n"/>
      <c r="H711" s="9" t="n"/>
      <c r="I711" s="10">
        <f>IF(G711="","",G711*H711)</f>
        <v/>
      </c>
      <c r="J711" s="7" t="n"/>
    </row>
    <row r="712">
      <c r="A712" s="6" t="n"/>
      <c r="B712" s="7" t="n"/>
      <c r="C712" s="7" t="n"/>
      <c r="D712" s="7" t="n"/>
      <c r="E712" s="7" t="n"/>
      <c r="F712" s="7" t="n"/>
      <c r="G712" s="8" t="n"/>
      <c r="H712" s="9" t="n"/>
      <c r="I712" s="10">
        <f>IF(G712="","",G712*H712)</f>
        <v/>
      </c>
      <c r="J712" s="7" t="n"/>
    </row>
    <row r="713">
      <c r="A713" s="6" t="n"/>
      <c r="B713" s="7" t="n"/>
      <c r="C713" s="7" t="n"/>
      <c r="D713" s="7" t="n"/>
      <c r="E713" s="7" t="n"/>
      <c r="F713" s="7" t="n"/>
      <c r="G713" s="8" t="n"/>
      <c r="H713" s="9" t="n"/>
      <c r="I713" s="10">
        <f>IF(G713="","",G713*H713)</f>
        <v/>
      </c>
      <c r="J713" s="7" t="n"/>
    </row>
    <row r="714">
      <c r="A714" s="6" t="n"/>
      <c r="B714" s="7" t="n"/>
      <c r="C714" s="7" t="n"/>
      <c r="D714" s="7" t="n"/>
      <c r="E714" s="7" t="n"/>
      <c r="F714" s="7" t="n"/>
      <c r="G714" s="8" t="n"/>
      <c r="H714" s="9" t="n"/>
      <c r="I714" s="10">
        <f>IF(G714="","",G714*H714)</f>
        <v/>
      </c>
      <c r="J714" s="7" t="n"/>
    </row>
    <row r="715">
      <c r="A715" s="6" t="n"/>
      <c r="B715" s="7" t="n"/>
      <c r="C715" s="7" t="n"/>
      <c r="D715" s="7" t="n"/>
      <c r="E715" s="7" t="n"/>
      <c r="F715" s="7" t="n"/>
      <c r="G715" s="8" t="n"/>
      <c r="H715" s="9" t="n"/>
      <c r="I715" s="10">
        <f>IF(G715="","",G715*H715)</f>
        <v/>
      </c>
      <c r="J715" s="7" t="n"/>
    </row>
    <row r="716">
      <c r="A716" s="6" t="n"/>
      <c r="B716" s="7" t="n"/>
      <c r="C716" s="7" t="n"/>
      <c r="D716" s="7" t="n"/>
      <c r="E716" s="7" t="n"/>
      <c r="F716" s="7" t="n"/>
      <c r="G716" s="8" t="n"/>
      <c r="H716" s="9" t="n"/>
      <c r="I716" s="10">
        <f>IF(G716="","",G716*H716)</f>
        <v/>
      </c>
      <c r="J716" s="7" t="n"/>
    </row>
    <row r="717">
      <c r="A717" s="6" t="n"/>
      <c r="B717" s="7" t="n"/>
      <c r="C717" s="7" t="n"/>
      <c r="D717" s="7" t="n"/>
      <c r="E717" s="7" t="n"/>
      <c r="F717" s="7" t="n"/>
      <c r="G717" s="8" t="n"/>
      <c r="H717" s="9" t="n"/>
      <c r="I717" s="10">
        <f>IF(G717="","",G717*H717)</f>
        <v/>
      </c>
      <c r="J717" s="7" t="n"/>
    </row>
    <row r="718">
      <c r="A718" s="6" t="n"/>
      <c r="B718" s="7" t="n"/>
      <c r="C718" s="7" t="n"/>
      <c r="D718" s="7" t="n"/>
      <c r="E718" s="7" t="n"/>
      <c r="F718" s="7" t="n"/>
      <c r="G718" s="8" t="n"/>
      <c r="H718" s="9" t="n"/>
      <c r="I718" s="10">
        <f>IF(G718="","",G718*H718)</f>
        <v/>
      </c>
      <c r="J718" s="7" t="n"/>
    </row>
    <row r="719">
      <c r="A719" s="6" t="n"/>
      <c r="B719" s="7" t="n"/>
      <c r="C719" s="7" t="n"/>
      <c r="D719" s="7" t="n"/>
      <c r="E719" s="7" t="n"/>
      <c r="F719" s="7" t="n"/>
      <c r="G719" s="8" t="n"/>
      <c r="H719" s="9" t="n"/>
      <c r="I719" s="10">
        <f>IF(G719="","",G719*H719)</f>
        <v/>
      </c>
      <c r="J719" s="7" t="n"/>
    </row>
    <row r="720">
      <c r="A720" s="6" t="n"/>
      <c r="B720" s="7" t="n"/>
      <c r="C720" s="7" t="n"/>
      <c r="D720" s="7" t="n"/>
      <c r="E720" s="7" t="n"/>
      <c r="F720" s="7" t="n"/>
      <c r="G720" s="8" t="n"/>
      <c r="H720" s="9" t="n"/>
      <c r="I720" s="10">
        <f>IF(G720="","",G720*H720)</f>
        <v/>
      </c>
      <c r="J720" s="7" t="n"/>
    </row>
    <row r="721">
      <c r="A721" s="6" t="n"/>
      <c r="B721" s="7" t="n"/>
      <c r="C721" s="7" t="n"/>
      <c r="D721" s="7" t="n"/>
      <c r="E721" s="7" t="n"/>
      <c r="F721" s="7" t="n"/>
      <c r="G721" s="8" t="n"/>
      <c r="H721" s="9" t="n"/>
      <c r="I721" s="10">
        <f>IF(G721="","",G721*H721)</f>
        <v/>
      </c>
      <c r="J721" s="7" t="n"/>
    </row>
    <row r="722">
      <c r="A722" s="6" t="n"/>
      <c r="B722" s="7" t="n"/>
      <c r="C722" s="7" t="n"/>
      <c r="D722" s="7" t="n"/>
      <c r="E722" s="7" t="n"/>
      <c r="F722" s="7" t="n"/>
      <c r="G722" s="8" t="n"/>
      <c r="H722" s="9" t="n"/>
      <c r="I722" s="10">
        <f>IF(G722="","",G722*H722)</f>
        <v/>
      </c>
      <c r="J722" s="7" t="n"/>
    </row>
    <row r="723">
      <c r="A723" s="6" t="n"/>
      <c r="B723" s="7" t="n"/>
      <c r="C723" s="7" t="n"/>
      <c r="D723" s="7" t="n"/>
      <c r="E723" s="7" t="n"/>
      <c r="F723" s="7" t="n"/>
      <c r="G723" s="8" t="n"/>
      <c r="H723" s="9" t="n"/>
      <c r="I723" s="10">
        <f>IF(G723="","",G723*H723)</f>
        <v/>
      </c>
      <c r="J723" s="7" t="n"/>
    </row>
    <row r="724">
      <c r="A724" s="6" t="n"/>
      <c r="B724" s="7" t="n"/>
      <c r="C724" s="7" t="n"/>
      <c r="D724" s="7" t="n"/>
      <c r="E724" s="7" t="n"/>
      <c r="F724" s="7" t="n"/>
      <c r="G724" s="8" t="n"/>
      <c r="H724" s="9" t="n"/>
      <c r="I724" s="10">
        <f>IF(G724="","",G724*H724)</f>
        <v/>
      </c>
      <c r="J724" s="7" t="n"/>
    </row>
    <row r="725">
      <c r="A725" s="6" t="n"/>
      <c r="B725" s="7" t="n"/>
      <c r="C725" s="7" t="n"/>
      <c r="D725" s="7" t="n"/>
      <c r="E725" s="7" t="n"/>
      <c r="F725" s="7" t="n"/>
      <c r="G725" s="8" t="n"/>
      <c r="H725" s="9" t="n"/>
      <c r="I725" s="10">
        <f>IF(G725="","",G725*H725)</f>
        <v/>
      </c>
      <c r="J725" s="7" t="n"/>
    </row>
    <row r="726">
      <c r="A726" s="6" t="n"/>
      <c r="B726" s="7" t="n"/>
      <c r="C726" s="7" t="n"/>
      <c r="D726" s="7" t="n"/>
      <c r="E726" s="7" t="n"/>
      <c r="F726" s="7" t="n"/>
      <c r="G726" s="8" t="n"/>
      <c r="H726" s="9" t="n"/>
      <c r="I726" s="10">
        <f>IF(G726="","",G726*H726)</f>
        <v/>
      </c>
      <c r="J726" s="7" t="n"/>
    </row>
    <row r="727">
      <c r="A727" s="6" t="n"/>
      <c r="B727" s="7" t="n"/>
      <c r="C727" s="7" t="n"/>
      <c r="D727" s="7" t="n"/>
      <c r="E727" s="7" t="n"/>
      <c r="F727" s="7" t="n"/>
      <c r="G727" s="8" t="n"/>
      <c r="H727" s="9" t="n"/>
      <c r="I727" s="10">
        <f>IF(G727="","",G727*H727)</f>
        <v/>
      </c>
      <c r="J727" s="7" t="n"/>
    </row>
    <row r="728">
      <c r="A728" s="6" t="n"/>
      <c r="B728" s="7" t="n"/>
      <c r="C728" s="7" t="n"/>
      <c r="D728" s="7" t="n"/>
      <c r="E728" s="7" t="n"/>
      <c r="F728" s="7" t="n"/>
      <c r="G728" s="8" t="n"/>
      <c r="H728" s="9" t="n"/>
      <c r="I728" s="10">
        <f>IF(G728="","",G728*H728)</f>
        <v/>
      </c>
      <c r="J728" s="7" t="n"/>
    </row>
    <row r="729">
      <c r="A729" s="6" t="n"/>
      <c r="B729" s="7" t="n"/>
      <c r="C729" s="7" t="n"/>
      <c r="D729" s="7" t="n"/>
      <c r="E729" s="7" t="n"/>
      <c r="F729" s="7" t="n"/>
      <c r="G729" s="8" t="n"/>
      <c r="H729" s="9" t="n"/>
      <c r="I729" s="10">
        <f>IF(G729="","",G729*H729)</f>
        <v/>
      </c>
      <c r="J729" s="7" t="n"/>
    </row>
    <row r="730">
      <c r="A730" s="6" t="n"/>
      <c r="B730" s="7" t="n"/>
      <c r="C730" s="7" t="n"/>
      <c r="D730" s="7" t="n"/>
      <c r="E730" s="7" t="n"/>
      <c r="F730" s="7" t="n"/>
      <c r="G730" s="8" t="n"/>
      <c r="H730" s="9" t="n"/>
      <c r="I730" s="10">
        <f>IF(G730="","",G730*H730)</f>
        <v/>
      </c>
      <c r="J730" s="7" t="n"/>
    </row>
    <row r="731">
      <c r="A731" s="6" t="n"/>
      <c r="B731" s="7" t="n"/>
      <c r="C731" s="7" t="n"/>
      <c r="D731" s="7" t="n"/>
      <c r="E731" s="7" t="n"/>
      <c r="F731" s="7" t="n"/>
      <c r="G731" s="8" t="n"/>
      <c r="H731" s="9" t="n"/>
      <c r="I731" s="10">
        <f>IF(G731="","",G731*H731)</f>
        <v/>
      </c>
      <c r="J731" s="7" t="n"/>
    </row>
    <row r="732">
      <c r="A732" s="6" t="n"/>
      <c r="B732" s="7" t="n"/>
      <c r="C732" s="7" t="n"/>
      <c r="D732" s="7" t="n"/>
      <c r="E732" s="7" t="n"/>
      <c r="F732" s="7" t="n"/>
      <c r="G732" s="8" t="n"/>
      <c r="H732" s="9" t="n"/>
      <c r="I732" s="10">
        <f>IF(G732="","",G732*H732)</f>
        <v/>
      </c>
      <c r="J732" s="7" t="n"/>
    </row>
    <row r="733">
      <c r="A733" s="6" t="n"/>
      <c r="B733" s="7" t="n"/>
      <c r="C733" s="7" t="n"/>
      <c r="D733" s="7" t="n"/>
      <c r="E733" s="7" t="n"/>
      <c r="F733" s="7" t="n"/>
      <c r="G733" s="8" t="n"/>
      <c r="H733" s="9" t="n"/>
      <c r="I733" s="10">
        <f>IF(G733="","",G733*H733)</f>
        <v/>
      </c>
      <c r="J733" s="7" t="n"/>
    </row>
    <row r="734">
      <c r="A734" s="6" t="n"/>
      <c r="B734" s="7" t="n"/>
      <c r="C734" s="7" t="n"/>
      <c r="D734" s="7" t="n"/>
      <c r="E734" s="7" t="n"/>
      <c r="F734" s="7" t="n"/>
      <c r="G734" s="8" t="n"/>
      <c r="H734" s="9" t="n"/>
      <c r="I734" s="10">
        <f>IF(G734="","",G734*H734)</f>
        <v/>
      </c>
      <c r="J734" s="7" t="n"/>
    </row>
    <row r="735">
      <c r="A735" s="6" t="n"/>
      <c r="B735" s="7" t="n"/>
      <c r="C735" s="7" t="n"/>
      <c r="D735" s="7" t="n"/>
      <c r="E735" s="7" t="n"/>
      <c r="F735" s="7" t="n"/>
      <c r="G735" s="8" t="n"/>
      <c r="H735" s="9" t="n"/>
      <c r="I735" s="10">
        <f>IF(G735="","",G735*H735)</f>
        <v/>
      </c>
      <c r="J735" s="7" t="n"/>
    </row>
    <row r="736">
      <c r="A736" s="6" t="n"/>
      <c r="B736" s="7" t="n"/>
      <c r="C736" s="7" t="n"/>
      <c r="D736" s="7" t="n"/>
      <c r="E736" s="7" t="n"/>
      <c r="F736" s="7" t="n"/>
      <c r="G736" s="8" t="n"/>
      <c r="H736" s="9" t="n"/>
      <c r="I736" s="10">
        <f>IF(G736="","",G736*H736)</f>
        <v/>
      </c>
      <c r="J736" s="7" t="n"/>
    </row>
    <row r="737">
      <c r="A737" s="6" t="n"/>
      <c r="B737" s="7" t="n"/>
      <c r="C737" s="7" t="n"/>
      <c r="D737" s="7" t="n"/>
      <c r="E737" s="7" t="n"/>
      <c r="F737" s="7" t="n"/>
      <c r="G737" s="8" t="n"/>
      <c r="H737" s="9" t="n"/>
      <c r="I737" s="10">
        <f>IF(G737="","",G737*H737)</f>
        <v/>
      </c>
      <c r="J737" s="7" t="n"/>
    </row>
    <row r="738">
      <c r="A738" s="6" t="n"/>
      <c r="B738" s="7" t="n"/>
      <c r="C738" s="7" t="n"/>
      <c r="D738" s="7" t="n"/>
      <c r="E738" s="7" t="n"/>
      <c r="F738" s="7" t="n"/>
      <c r="G738" s="8" t="n"/>
      <c r="H738" s="9" t="n"/>
      <c r="I738" s="10">
        <f>IF(G738="","",G738*H738)</f>
        <v/>
      </c>
      <c r="J738" s="7" t="n"/>
    </row>
    <row r="739">
      <c r="A739" s="6" t="n"/>
      <c r="B739" s="7" t="n"/>
      <c r="C739" s="7" t="n"/>
      <c r="D739" s="7" t="n"/>
      <c r="E739" s="7" t="n"/>
      <c r="F739" s="7" t="n"/>
      <c r="G739" s="8" t="n"/>
      <c r="H739" s="9" t="n"/>
      <c r="I739" s="10">
        <f>IF(G739="","",G739*H739)</f>
        <v/>
      </c>
      <c r="J739" s="7" t="n"/>
    </row>
    <row r="740">
      <c r="A740" s="6" t="n"/>
      <c r="B740" s="7" t="n"/>
      <c r="C740" s="7" t="n"/>
      <c r="D740" s="7" t="n"/>
      <c r="E740" s="7" t="n"/>
      <c r="F740" s="7" t="n"/>
      <c r="G740" s="8" t="n"/>
      <c r="H740" s="9" t="n"/>
      <c r="I740" s="10">
        <f>IF(G740="","",G740*H740)</f>
        <v/>
      </c>
      <c r="J740" s="7" t="n"/>
    </row>
    <row r="741">
      <c r="A741" s="6" t="n"/>
      <c r="B741" s="7" t="n"/>
      <c r="C741" s="7" t="n"/>
      <c r="D741" s="7" t="n"/>
      <c r="E741" s="7" t="n"/>
      <c r="F741" s="7" t="n"/>
      <c r="G741" s="8" t="n"/>
      <c r="H741" s="9" t="n"/>
      <c r="I741" s="10">
        <f>IF(G741="","",G741*H741)</f>
        <v/>
      </c>
      <c r="J741" s="7" t="n"/>
    </row>
    <row r="742">
      <c r="A742" s="6" t="n"/>
      <c r="B742" s="7" t="n"/>
      <c r="C742" s="7" t="n"/>
      <c r="D742" s="7" t="n"/>
      <c r="E742" s="7" t="n"/>
      <c r="F742" s="7" t="n"/>
      <c r="G742" s="8" t="n"/>
      <c r="H742" s="9" t="n"/>
      <c r="I742" s="10">
        <f>IF(G742="","",G742*H742)</f>
        <v/>
      </c>
      <c r="J742" s="7" t="n"/>
    </row>
    <row r="743">
      <c r="A743" s="6" t="n"/>
      <c r="B743" s="7" t="n"/>
      <c r="C743" s="7" t="n"/>
      <c r="D743" s="7" t="n"/>
      <c r="E743" s="7" t="n"/>
      <c r="F743" s="7" t="n"/>
      <c r="G743" s="8" t="n"/>
      <c r="H743" s="9" t="n"/>
      <c r="I743" s="10">
        <f>IF(G743="","",G743*H743)</f>
        <v/>
      </c>
      <c r="J743" s="7" t="n"/>
    </row>
    <row r="744">
      <c r="A744" s="6" t="n"/>
      <c r="B744" s="7" t="n"/>
      <c r="C744" s="7" t="n"/>
      <c r="D744" s="7" t="n"/>
      <c r="E744" s="7" t="n"/>
      <c r="F744" s="7" t="n"/>
      <c r="G744" s="8" t="n"/>
      <c r="H744" s="9" t="n"/>
      <c r="I744" s="10">
        <f>IF(G744="","",G744*H744)</f>
        <v/>
      </c>
      <c r="J744" s="7" t="n"/>
    </row>
    <row r="745">
      <c r="A745" s="6" t="n"/>
      <c r="B745" s="7" t="n"/>
      <c r="C745" s="7" t="n"/>
      <c r="D745" s="7" t="n"/>
      <c r="E745" s="7" t="n"/>
      <c r="F745" s="7" t="n"/>
      <c r="G745" s="8" t="n"/>
      <c r="H745" s="9" t="n"/>
      <c r="I745" s="10">
        <f>IF(G745="","",G745*H745)</f>
        <v/>
      </c>
      <c r="J745" s="7" t="n"/>
    </row>
    <row r="746">
      <c r="A746" s="6" t="n"/>
      <c r="B746" s="7" t="n"/>
      <c r="C746" s="7" t="n"/>
      <c r="D746" s="7" t="n"/>
      <c r="E746" s="7" t="n"/>
      <c r="F746" s="7" t="n"/>
      <c r="G746" s="8" t="n"/>
      <c r="H746" s="9" t="n"/>
      <c r="I746" s="10">
        <f>IF(G746="","",G746*H746)</f>
        <v/>
      </c>
      <c r="J746" s="7" t="n"/>
    </row>
    <row r="747">
      <c r="A747" s="6" t="n"/>
      <c r="B747" s="7" t="n"/>
      <c r="C747" s="7" t="n"/>
      <c r="D747" s="7" t="n"/>
      <c r="E747" s="7" t="n"/>
      <c r="F747" s="7" t="n"/>
      <c r="G747" s="8" t="n"/>
      <c r="H747" s="9" t="n"/>
      <c r="I747" s="10">
        <f>IF(G747="","",G747*H747)</f>
        <v/>
      </c>
      <c r="J747" s="7" t="n"/>
    </row>
    <row r="748">
      <c r="A748" s="6" t="n"/>
      <c r="B748" s="7" t="n"/>
      <c r="C748" s="7" t="n"/>
      <c r="D748" s="7" t="n"/>
      <c r="E748" s="7" t="n"/>
      <c r="F748" s="7" t="n"/>
      <c r="G748" s="8" t="n"/>
      <c r="H748" s="9" t="n"/>
      <c r="I748" s="10">
        <f>IF(G748="","",G748*H748)</f>
        <v/>
      </c>
      <c r="J748" s="7" t="n"/>
    </row>
    <row r="749">
      <c r="A749" s="6" t="n"/>
      <c r="B749" s="7" t="n"/>
      <c r="C749" s="7" t="n"/>
      <c r="D749" s="7" t="n"/>
      <c r="E749" s="7" t="n"/>
      <c r="F749" s="7" t="n"/>
      <c r="G749" s="8" t="n"/>
      <c r="H749" s="9" t="n"/>
      <c r="I749" s="10">
        <f>IF(G749="","",G749*H749)</f>
        <v/>
      </c>
      <c r="J749" s="7" t="n"/>
    </row>
    <row r="750">
      <c r="A750" s="6" t="n"/>
      <c r="B750" s="7" t="n"/>
      <c r="C750" s="7" t="n"/>
      <c r="D750" s="7" t="n"/>
      <c r="E750" s="7" t="n"/>
      <c r="F750" s="7" t="n"/>
      <c r="G750" s="8" t="n"/>
      <c r="H750" s="9" t="n"/>
      <c r="I750" s="10">
        <f>IF(G750="","",G750*H750)</f>
        <v/>
      </c>
      <c r="J750" s="7" t="n"/>
    </row>
    <row r="751">
      <c r="A751" s="6" t="n"/>
      <c r="B751" s="7" t="n"/>
      <c r="C751" s="7" t="n"/>
      <c r="D751" s="7" t="n"/>
      <c r="E751" s="7" t="n"/>
      <c r="F751" s="7" t="n"/>
      <c r="G751" s="8" t="n"/>
      <c r="H751" s="9" t="n"/>
      <c r="I751" s="10">
        <f>IF(G751="","",G751*H751)</f>
        <v/>
      </c>
      <c r="J751" s="7" t="n"/>
    </row>
    <row r="752">
      <c r="A752" s="6" t="n"/>
      <c r="B752" s="7" t="n"/>
      <c r="C752" s="7" t="n"/>
      <c r="D752" s="7" t="n"/>
      <c r="E752" s="7" t="n"/>
      <c r="F752" s="7" t="n"/>
      <c r="G752" s="8" t="n"/>
      <c r="H752" s="9" t="n"/>
      <c r="I752" s="10">
        <f>IF(G752="","",G752*H752)</f>
        <v/>
      </c>
      <c r="J752" s="7" t="n"/>
    </row>
    <row r="753">
      <c r="A753" s="6" t="n"/>
      <c r="B753" s="7" t="n"/>
      <c r="C753" s="7" t="n"/>
      <c r="D753" s="7" t="n"/>
      <c r="E753" s="7" t="n"/>
      <c r="F753" s="7" t="n"/>
      <c r="G753" s="8" t="n"/>
      <c r="H753" s="9" t="n"/>
      <c r="I753" s="10">
        <f>IF(G753="","",G753*H753)</f>
        <v/>
      </c>
      <c r="J753" s="7" t="n"/>
    </row>
    <row r="754">
      <c r="A754" s="6" t="n"/>
      <c r="B754" s="7" t="n"/>
      <c r="C754" s="7" t="n"/>
      <c r="D754" s="7" t="n"/>
      <c r="E754" s="7" t="n"/>
      <c r="F754" s="7" t="n"/>
      <c r="G754" s="8" t="n"/>
      <c r="H754" s="9" t="n"/>
      <c r="I754" s="10">
        <f>IF(G754="","",G754*H754)</f>
        <v/>
      </c>
      <c r="J754" s="7" t="n"/>
    </row>
    <row r="755">
      <c r="A755" s="6" t="n"/>
      <c r="B755" s="7" t="n"/>
      <c r="C755" s="7" t="n"/>
      <c r="D755" s="7" t="n"/>
      <c r="E755" s="7" t="n"/>
      <c r="F755" s="7" t="n"/>
      <c r="G755" s="8" t="n"/>
      <c r="H755" s="9" t="n"/>
      <c r="I755" s="10">
        <f>IF(G755="","",G755*H755)</f>
        <v/>
      </c>
      <c r="J755" s="7" t="n"/>
    </row>
    <row r="756">
      <c r="A756" s="6" t="n"/>
      <c r="B756" s="7" t="n"/>
      <c r="C756" s="7" t="n"/>
      <c r="D756" s="7" t="n"/>
      <c r="E756" s="7" t="n"/>
      <c r="F756" s="7" t="n"/>
      <c r="G756" s="8" t="n"/>
      <c r="H756" s="9" t="n"/>
      <c r="I756" s="10">
        <f>IF(G756="","",G756*H756)</f>
        <v/>
      </c>
      <c r="J756" s="7" t="n"/>
    </row>
    <row r="757">
      <c r="A757" s="6" t="n"/>
      <c r="B757" s="7" t="n"/>
      <c r="C757" s="7" t="n"/>
      <c r="D757" s="7" t="n"/>
      <c r="E757" s="7" t="n"/>
      <c r="F757" s="7" t="n"/>
      <c r="G757" s="8" t="n"/>
      <c r="H757" s="9" t="n"/>
      <c r="I757" s="10">
        <f>IF(G757="","",G757*H757)</f>
        <v/>
      </c>
      <c r="J757" s="7" t="n"/>
    </row>
    <row r="758">
      <c r="A758" s="6" t="n"/>
      <c r="B758" s="7" t="n"/>
      <c r="C758" s="7" t="n"/>
      <c r="D758" s="7" t="n"/>
      <c r="E758" s="7" t="n"/>
      <c r="F758" s="7" t="n"/>
      <c r="G758" s="8" t="n"/>
      <c r="H758" s="9" t="n"/>
      <c r="I758" s="10">
        <f>IF(G758="","",G758*H758)</f>
        <v/>
      </c>
      <c r="J758" s="7" t="n"/>
    </row>
    <row r="759">
      <c r="A759" s="6" t="n"/>
      <c r="B759" s="7" t="n"/>
      <c r="C759" s="7" t="n"/>
      <c r="D759" s="7" t="n"/>
      <c r="E759" s="7" t="n"/>
      <c r="F759" s="7" t="n"/>
      <c r="G759" s="8" t="n"/>
      <c r="H759" s="9" t="n"/>
      <c r="I759" s="10">
        <f>IF(G759="","",G759*H759)</f>
        <v/>
      </c>
      <c r="J759" s="7" t="n"/>
    </row>
    <row r="760">
      <c r="A760" s="6" t="n"/>
      <c r="B760" s="7" t="n"/>
      <c r="C760" s="7" t="n"/>
      <c r="D760" s="7" t="n"/>
      <c r="E760" s="7" t="n"/>
      <c r="F760" s="7" t="n"/>
      <c r="G760" s="8" t="n"/>
      <c r="H760" s="9" t="n"/>
      <c r="I760" s="10">
        <f>IF(G760="","",G760*H760)</f>
        <v/>
      </c>
      <c r="J760" s="7" t="n"/>
    </row>
    <row r="761">
      <c r="A761" s="6" t="n"/>
      <c r="B761" s="7" t="n"/>
      <c r="C761" s="7" t="n"/>
      <c r="D761" s="7" t="n"/>
      <c r="E761" s="7" t="n"/>
      <c r="F761" s="7" t="n"/>
      <c r="G761" s="8" t="n"/>
      <c r="H761" s="9" t="n"/>
      <c r="I761" s="10">
        <f>IF(G761="","",G761*H761)</f>
        <v/>
      </c>
      <c r="J761" s="7" t="n"/>
    </row>
    <row r="762">
      <c r="A762" s="6" t="n"/>
      <c r="B762" s="7" t="n"/>
      <c r="C762" s="7" t="n"/>
      <c r="D762" s="7" t="n"/>
      <c r="E762" s="7" t="n"/>
      <c r="F762" s="7" t="n"/>
      <c r="G762" s="8" t="n"/>
      <c r="H762" s="9" t="n"/>
      <c r="I762" s="10">
        <f>IF(G762="","",G762*H762)</f>
        <v/>
      </c>
      <c r="J762" s="7" t="n"/>
    </row>
    <row r="763">
      <c r="A763" s="6" t="n"/>
      <c r="B763" s="7" t="n"/>
      <c r="C763" s="7" t="n"/>
      <c r="D763" s="7" t="n"/>
      <c r="E763" s="7" t="n"/>
      <c r="F763" s="7" t="n"/>
      <c r="G763" s="8" t="n"/>
      <c r="H763" s="9" t="n"/>
      <c r="I763" s="10">
        <f>IF(G763="","",G763*H763)</f>
        <v/>
      </c>
      <c r="J763" s="7" t="n"/>
    </row>
    <row r="764">
      <c r="A764" s="6" t="n"/>
      <c r="B764" s="7" t="n"/>
      <c r="C764" s="7" t="n"/>
      <c r="D764" s="7" t="n"/>
      <c r="E764" s="7" t="n"/>
      <c r="F764" s="7" t="n"/>
      <c r="G764" s="8" t="n"/>
      <c r="H764" s="9" t="n"/>
      <c r="I764" s="10">
        <f>IF(G764="","",G764*H764)</f>
        <v/>
      </c>
      <c r="J764" s="7" t="n"/>
    </row>
    <row r="765">
      <c r="A765" s="6" t="n"/>
      <c r="B765" s="7" t="n"/>
      <c r="C765" s="7" t="n"/>
      <c r="D765" s="7" t="n"/>
      <c r="E765" s="7" t="n"/>
      <c r="F765" s="7" t="n"/>
      <c r="G765" s="8" t="n"/>
      <c r="H765" s="9" t="n"/>
      <c r="I765" s="10">
        <f>IF(G765="","",G765*H765)</f>
        <v/>
      </c>
      <c r="J765" s="7" t="n"/>
    </row>
    <row r="766">
      <c r="A766" s="6" t="n"/>
      <c r="B766" s="7" t="n"/>
      <c r="C766" s="7" t="n"/>
      <c r="D766" s="7" t="n"/>
      <c r="E766" s="7" t="n"/>
      <c r="F766" s="7" t="n"/>
      <c r="G766" s="8" t="n"/>
      <c r="H766" s="9" t="n"/>
      <c r="I766" s="10">
        <f>IF(G766="","",G766*H766)</f>
        <v/>
      </c>
      <c r="J766" s="7" t="n"/>
    </row>
    <row r="767">
      <c r="A767" s="6" t="n"/>
      <c r="B767" s="7" t="n"/>
      <c r="C767" s="7" t="n"/>
      <c r="D767" s="7" t="n"/>
      <c r="E767" s="7" t="n"/>
      <c r="F767" s="7" t="n"/>
      <c r="G767" s="8" t="n"/>
      <c r="H767" s="9" t="n"/>
      <c r="I767" s="10">
        <f>IF(G767="","",G767*H767)</f>
        <v/>
      </c>
      <c r="J767" s="7" t="n"/>
    </row>
    <row r="768">
      <c r="A768" s="6" t="n"/>
      <c r="B768" s="7" t="n"/>
      <c r="C768" s="7" t="n"/>
      <c r="D768" s="7" t="n"/>
      <c r="E768" s="7" t="n"/>
      <c r="F768" s="7" t="n"/>
      <c r="G768" s="8" t="n"/>
      <c r="H768" s="9" t="n"/>
      <c r="I768" s="10">
        <f>IF(G768="","",G768*H768)</f>
        <v/>
      </c>
      <c r="J768" s="7" t="n"/>
    </row>
    <row r="769">
      <c r="A769" s="6" t="n"/>
      <c r="B769" s="7" t="n"/>
      <c r="C769" s="7" t="n"/>
      <c r="D769" s="7" t="n"/>
      <c r="E769" s="7" t="n"/>
      <c r="F769" s="7" t="n"/>
      <c r="G769" s="8" t="n"/>
      <c r="H769" s="9" t="n"/>
      <c r="I769" s="10">
        <f>IF(G769="","",G769*H769)</f>
        <v/>
      </c>
      <c r="J769" s="7" t="n"/>
    </row>
    <row r="770">
      <c r="A770" s="6" t="n"/>
      <c r="B770" s="7" t="n"/>
      <c r="C770" s="7" t="n"/>
      <c r="D770" s="7" t="n"/>
      <c r="E770" s="7" t="n"/>
      <c r="F770" s="7" t="n"/>
      <c r="G770" s="8" t="n"/>
      <c r="H770" s="9" t="n"/>
      <c r="I770" s="10">
        <f>IF(G770="","",G770*H770)</f>
        <v/>
      </c>
      <c r="J770" s="7" t="n"/>
    </row>
    <row r="771">
      <c r="A771" s="6" t="n"/>
      <c r="B771" s="7" t="n"/>
      <c r="C771" s="7" t="n"/>
      <c r="D771" s="7" t="n"/>
      <c r="E771" s="7" t="n"/>
      <c r="F771" s="7" t="n"/>
      <c r="G771" s="8" t="n"/>
      <c r="H771" s="9" t="n"/>
      <c r="I771" s="10">
        <f>IF(G771="","",G771*H771)</f>
        <v/>
      </c>
      <c r="J771" s="7" t="n"/>
    </row>
    <row r="772">
      <c r="A772" s="6" t="n"/>
      <c r="B772" s="7" t="n"/>
      <c r="C772" s="7" t="n"/>
      <c r="D772" s="7" t="n"/>
      <c r="E772" s="7" t="n"/>
      <c r="F772" s="7" t="n"/>
      <c r="G772" s="8" t="n"/>
      <c r="H772" s="9" t="n"/>
      <c r="I772" s="10">
        <f>IF(G772="","",G772*H772)</f>
        <v/>
      </c>
      <c r="J772" s="7" t="n"/>
    </row>
    <row r="773">
      <c r="A773" s="6" t="n"/>
      <c r="B773" s="7" t="n"/>
      <c r="C773" s="7" t="n"/>
      <c r="D773" s="7" t="n"/>
      <c r="E773" s="7" t="n"/>
      <c r="F773" s="7" t="n"/>
      <c r="G773" s="8" t="n"/>
      <c r="H773" s="9" t="n"/>
      <c r="I773" s="10">
        <f>IF(G773="","",G773*H773)</f>
        <v/>
      </c>
      <c r="J773" s="7" t="n"/>
    </row>
    <row r="774">
      <c r="A774" s="6" t="n"/>
      <c r="B774" s="7" t="n"/>
      <c r="C774" s="7" t="n"/>
      <c r="D774" s="7" t="n"/>
      <c r="E774" s="7" t="n"/>
      <c r="F774" s="7" t="n"/>
      <c r="G774" s="8" t="n"/>
      <c r="H774" s="9" t="n"/>
      <c r="I774" s="10">
        <f>IF(G774="","",G774*H774)</f>
        <v/>
      </c>
      <c r="J774" s="7" t="n"/>
    </row>
    <row r="775">
      <c r="A775" s="6" t="n"/>
      <c r="B775" s="7" t="n"/>
      <c r="C775" s="7" t="n"/>
      <c r="D775" s="7" t="n"/>
      <c r="E775" s="7" t="n"/>
      <c r="F775" s="7" t="n"/>
      <c r="G775" s="8" t="n"/>
      <c r="H775" s="9" t="n"/>
      <c r="I775" s="10">
        <f>IF(G775="","",G775*H775)</f>
        <v/>
      </c>
      <c r="J775" s="7" t="n"/>
    </row>
    <row r="776">
      <c r="A776" s="6" t="n"/>
      <c r="B776" s="7" t="n"/>
      <c r="C776" s="7" t="n"/>
      <c r="D776" s="7" t="n"/>
      <c r="E776" s="7" t="n"/>
      <c r="F776" s="7" t="n"/>
      <c r="G776" s="8" t="n"/>
      <c r="H776" s="9" t="n"/>
      <c r="I776" s="10">
        <f>IF(G776="","",G776*H776)</f>
        <v/>
      </c>
      <c r="J776" s="7" t="n"/>
    </row>
    <row r="777">
      <c r="A777" s="6" t="n"/>
      <c r="B777" s="7" t="n"/>
      <c r="C777" s="7" t="n"/>
      <c r="D777" s="7" t="n"/>
      <c r="E777" s="7" t="n"/>
      <c r="F777" s="7" t="n"/>
      <c r="G777" s="8" t="n"/>
      <c r="H777" s="9" t="n"/>
      <c r="I777" s="10">
        <f>IF(G777="","",G777*H777)</f>
        <v/>
      </c>
      <c r="J777" s="7" t="n"/>
    </row>
    <row r="778">
      <c r="A778" s="6" t="n"/>
      <c r="B778" s="7" t="n"/>
      <c r="C778" s="7" t="n"/>
      <c r="D778" s="7" t="n"/>
      <c r="E778" s="7" t="n"/>
      <c r="F778" s="7" t="n"/>
      <c r="G778" s="8" t="n"/>
      <c r="H778" s="9" t="n"/>
      <c r="I778" s="10">
        <f>IF(G778="","",G778*H778)</f>
        <v/>
      </c>
      <c r="J778" s="7" t="n"/>
    </row>
    <row r="779">
      <c r="A779" s="6" t="n"/>
      <c r="B779" s="7" t="n"/>
      <c r="C779" s="7" t="n"/>
      <c r="D779" s="7" t="n"/>
      <c r="E779" s="7" t="n"/>
      <c r="F779" s="7" t="n"/>
      <c r="G779" s="8" t="n"/>
      <c r="H779" s="9" t="n"/>
      <c r="I779" s="10">
        <f>IF(G779="","",G779*H779)</f>
        <v/>
      </c>
      <c r="J779" s="7" t="n"/>
    </row>
    <row r="780">
      <c r="A780" s="6" t="n"/>
      <c r="B780" s="7" t="n"/>
      <c r="C780" s="7" t="n"/>
      <c r="D780" s="7" t="n"/>
      <c r="E780" s="7" t="n"/>
      <c r="F780" s="7" t="n"/>
      <c r="G780" s="8" t="n"/>
      <c r="H780" s="9" t="n"/>
      <c r="I780" s="10">
        <f>IF(G780="","",G780*H780)</f>
        <v/>
      </c>
      <c r="J780" s="7" t="n"/>
    </row>
    <row r="781">
      <c r="A781" s="6" t="n"/>
      <c r="B781" s="7" t="n"/>
      <c r="C781" s="7" t="n"/>
      <c r="D781" s="7" t="n"/>
      <c r="E781" s="7" t="n"/>
      <c r="F781" s="7" t="n"/>
      <c r="G781" s="8" t="n"/>
      <c r="H781" s="9" t="n"/>
      <c r="I781" s="10">
        <f>IF(G781="","",G781*H781)</f>
        <v/>
      </c>
      <c r="J781" s="7" t="n"/>
    </row>
    <row r="782">
      <c r="A782" s="6" t="n"/>
      <c r="B782" s="7" t="n"/>
      <c r="C782" s="7" t="n"/>
      <c r="D782" s="7" t="n"/>
      <c r="E782" s="7" t="n"/>
      <c r="F782" s="7" t="n"/>
      <c r="G782" s="8" t="n"/>
      <c r="H782" s="9" t="n"/>
      <c r="I782" s="10">
        <f>IF(G782="","",G782*H782)</f>
        <v/>
      </c>
      <c r="J782" s="7" t="n"/>
    </row>
    <row r="783">
      <c r="A783" s="6" t="n"/>
      <c r="B783" s="7" t="n"/>
      <c r="C783" s="7" t="n"/>
      <c r="D783" s="7" t="n"/>
      <c r="E783" s="7" t="n"/>
      <c r="F783" s="7" t="n"/>
      <c r="G783" s="8" t="n"/>
      <c r="H783" s="9" t="n"/>
      <c r="I783" s="10">
        <f>IF(G783="","",G783*H783)</f>
        <v/>
      </c>
      <c r="J783" s="7" t="n"/>
    </row>
    <row r="784">
      <c r="A784" s="6" t="n"/>
      <c r="B784" s="7" t="n"/>
      <c r="C784" s="7" t="n"/>
      <c r="D784" s="7" t="n"/>
      <c r="E784" s="7" t="n"/>
      <c r="F784" s="7" t="n"/>
      <c r="G784" s="8" t="n"/>
      <c r="H784" s="9" t="n"/>
      <c r="I784" s="10">
        <f>IF(G784="","",G784*H784)</f>
        <v/>
      </c>
      <c r="J784" s="7" t="n"/>
    </row>
    <row r="785">
      <c r="A785" s="6" t="n"/>
      <c r="B785" s="7" t="n"/>
      <c r="C785" s="7" t="n"/>
      <c r="D785" s="7" t="n"/>
      <c r="E785" s="7" t="n"/>
      <c r="F785" s="7" t="n"/>
      <c r="G785" s="8" t="n"/>
      <c r="H785" s="9" t="n"/>
      <c r="I785" s="10">
        <f>IF(G785="","",G785*H785)</f>
        <v/>
      </c>
      <c r="J785" s="7" t="n"/>
    </row>
    <row r="786">
      <c r="A786" s="6" t="n"/>
      <c r="B786" s="7" t="n"/>
      <c r="C786" s="7" t="n"/>
      <c r="D786" s="7" t="n"/>
      <c r="E786" s="7" t="n"/>
      <c r="F786" s="7" t="n"/>
      <c r="G786" s="8" t="n"/>
      <c r="H786" s="9" t="n"/>
      <c r="I786" s="10">
        <f>IF(G786="","",G786*H786)</f>
        <v/>
      </c>
      <c r="J786" s="7" t="n"/>
    </row>
    <row r="787">
      <c r="A787" s="6" t="n"/>
      <c r="B787" s="7" t="n"/>
      <c r="C787" s="7" t="n"/>
      <c r="D787" s="7" t="n"/>
      <c r="E787" s="7" t="n"/>
      <c r="F787" s="7" t="n"/>
      <c r="G787" s="8" t="n"/>
      <c r="H787" s="9" t="n"/>
      <c r="I787" s="10">
        <f>IF(G787="","",G787*H787)</f>
        <v/>
      </c>
      <c r="J787" s="7" t="n"/>
    </row>
    <row r="788">
      <c r="A788" s="6" t="n"/>
      <c r="B788" s="7" t="n"/>
      <c r="C788" s="7" t="n"/>
      <c r="D788" s="7" t="n"/>
      <c r="E788" s="7" t="n"/>
      <c r="F788" s="7" t="n"/>
      <c r="G788" s="8" t="n"/>
      <c r="H788" s="9" t="n"/>
      <c r="I788" s="10">
        <f>IF(G788="","",G788*H788)</f>
        <v/>
      </c>
      <c r="J788" s="7" t="n"/>
    </row>
    <row r="789">
      <c r="A789" s="6" t="n"/>
      <c r="B789" s="7" t="n"/>
      <c r="C789" s="7" t="n"/>
      <c r="D789" s="7" t="n"/>
      <c r="E789" s="7" t="n"/>
      <c r="F789" s="7" t="n"/>
      <c r="G789" s="8" t="n"/>
      <c r="H789" s="9" t="n"/>
      <c r="I789" s="10">
        <f>IF(G789="","",G789*H789)</f>
        <v/>
      </c>
      <c r="J789" s="7" t="n"/>
    </row>
    <row r="790">
      <c r="A790" s="6" t="n"/>
      <c r="B790" s="7" t="n"/>
      <c r="C790" s="7" t="n"/>
      <c r="D790" s="7" t="n"/>
      <c r="E790" s="7" t="n"/>
      <c r="F790" s="7" t="n"/>
      <c r="G790" s="8" t="n"/>
      <c r="H790" s="9" t="n"/>
      <c r="I790" s="10">
        <f>IF(G790="","",G790*H790)</f>
        <v/>
      </c>
      <c r="J790" s="7" t="n"/>
    </row>
    <row r="791">
      <c r="A791" s="6" t="n"/>
      <c r="B791" s="7" t="n"/>
      <c r="C791" s="7" t="n"/>
      <c r="D791" s="7" t="n"/>
      <c r="E791" s="7" t="n"/>
      <c r="F791" s="7" t="n"/>
      <c r="G791" s="8" t="n"/>
      <c r="H791" s="9" t="n"/>
      <c r="I791" s="10">
        <f>IF(G791="","",G791*H791)</f>
        <v/>
      </c>
      <c r="J791" s="7" t="n"/>
    </row>
    <row r="792">
      <c r="A792" s="6" t="n"/>
      <c r="B792" s="7" t="n"/>
      <c r="C792" s="7" t="n"/>
      <c r="D792" s="7" t="n"/>
      <c r="E792" s="7" t="n"/>
      <c r="F792" s="7" t="n"/>
      <c r="G792" s="8" t="n"/>
      <c r="H792" s="9" t="n"/>
      <c r="I792" s="10">
        <f>IF(G792="","",G792*H792)</f>
        <v/>
      </c>
      <c r="J792" s="7" t="n"/>
    </row>
    <row r="793">
      <c r="A793" s="6" t="n"/>
      <c r="B793" s="7" t="n"/>
      <c r="C793" s="7" t="n"/>
      <c r="D793" s="7" t="n"/>
      <c r="E793" s="7" t="n"/>
      <c r="F793" s="7" t="n"/>
      <c r="G793" s="8" t="n"/>
      <c r="H793" s="9" t="n"/>
      <c r="I793" s="10">
        <f>IF(G793="","",G793*H793)</f>
        <v/>
      </c>
      <c r="J793" s="7" t="n"/>
    </row>
    <row r="794">
      <c r="A794" s="6" t="n"/>
      <c r="B794" s="7" t="n"/>
      <c r="C794" s="7" t="n"/>
      <c r="D794" s="7" t="n"/>
      <c r="E794" s="7" t="n"/>
      <c r="F794" s="7" t="n"/>
      <c r="G794" s="8" t="n"/>
      <c r="H794" s="9" t="n"/>
      <c r="I794" s="10">
        <f>IF(G794="","",G794*H794)</f>
        <v/>
      </c>
      <c r="J794" s="7" t="n"/>
    </row>
    <row r="795">
      <c r="A795" s="6" t="n"/>
      <c r="B795" s="7" t="n"/>
      <c r="C795" s="7" t="n"/>
      <c r="D795" s="7" t="n"/>
      <c r="E795" s="7" t="n"/>
      <c r="F795" s="7" t="n"/>
      <c r="G795" s="8" t="n"/>
      <c r="H795" s="9" t="n"/>
      <c r="I795" s="10">
        <f>IF(G795="","",G795*H795)</f>
        <v/>
      </c>
      <c r="J795" s="7" t="n"/>
    </row>
    <row r="796">
      <c r="A796" s="6" t="n"/>
      <c r="B796" s="7" t="n"/>
      <c r="C796" s="7" t="n"/>
      <c r="D796" s="7" t="n"/>
      <c r="E796" s="7" t="n"/>
      <c r="F796" s="7" t="n"/>
      <c r="G796" s="8" t="n"/>
      <c r="H796" s="9" t="n"/>
      <c r="I796" s="10">
        <f>IF(G796="","",G796*H796)</f>
        <v/>
      </c>
      <c r="J796" s="7" t="n"/>
    </row>
    <row r="797">
      <c r="A797" s="6" t="n"/>
      <c r="B797" s="7" t="n"/>
      <c r="C797" s="7" t="n"/>
      <c r="D797" s="7" t="n"/>
      <c r="E797" s="7" t="n"/>
      <c r="F797" s="7" t="n"/>
      <c r="G797" s="8" t="n"/>
      <c r="H797" s="9" t="n"/>
      <c r="I797" s="10">
        <f>IF(G797="","",G797*H797)</f>
        <v/>
      </c>
      <c r="J797" s="7" t="n"/>
    </row>
    <row r="798">
      <c r="A798" s="6" t="n"/>
      <c r="B798" s="7" t="n"/>
      <c r="C798" s="7" t="n"/>
      <c r="D798" s="7" t="n"/>
      <c r="E798" s="7" t="n"/>
      <c r="F798" s="7" t="n"/>
      <c r="G798" s="8" t="n"/>
      <c r="H798" s="9" t="n"/>
      <c r="I798" s="10">
        <f>IF(G798="","",G798*H798)</f>
        <v/>
      </c>
      <c r="J798" s="7" t="n"/>
    </row>
    <row r="799">
      <c r="A799" s="6" t="n"/>
      <c r="B799" s="7" t="n"/>
      <c r="C799" s="7" t="n"/>
      <c r="D799" s="7" t="n"/>
      <c r="E799" s="7" t="n"/>
      <c r="F799" s="7" t="n"/>
      <c r="G799" s="8" t="n"/>
      <c r="H799" s="9" t="n"/>
      <c r="I799" s="10">
        <f>IF(G799="","",G799*H799)</f>
        <v/>
      </c>
      <c r="J799" s="7" t="n"/>
    </row>
    <row r="800">
      <c r="A800" s="6" t="n"/>
      <c r="B800" s="7" t="n"/>
      <c r="C800" s="7" t="n"/>
      <c r="D800" s="7" t="n"/>
      <c r="E800" s="7" t="n"/>
      <c r="F800" s="7" t="n"/>
      <c r="G800" s="8" t="n"/>
      <c r="H800" s="9" t="n"/>
      <c r="I800" s="10">
        <f>IF(G800="","",G800*H800)</f>
        <v/>
      </c>
      <c r="J800" s="7" t="n"/>
    </row>
    <row r="801">
      <c r="A801" s="6" t="n"/>
      <c r="B801" s="7" t="n"/>
      <c r="C801" s="7" t="n"/>
      <c r="D801" s="7" t="n"/>
      <c r="E801" s="7" t="n"/>
      <c r="F801" s="7" t="n"/>
      <c r="G801" s="8" t="n"/>
      <c r="H801" s="9" t="n"/>
      <c r="I801" s="10">
        <f>IF(G801="","",G801*H801)</f>
        <v/>
      </c>
      <c r="J801" s="7" t="n"/>
    </row>
    <row r="802">
      <c r="A802" s="6" t="n"/>
      <c r="B802" s="7" t="n"/>
      <c r="C802" s="7" t="n"/>
      <c r="D802" s="7" t="n"/>
      <c r="E802" s="7" t="n"/>
      <c r="F802" s="7" t="n"/>
      <c r="G802" s="8" t="n"/>
      <c r="H802" s="9" t="n"/>
      <c r="I802" s="10">
        <f>IF(G802="","",G802*H802)</f>
        <v/>
      </c>
      <c r="J802" s="7" t="n"/>
    </row>
    <row r="803">
      <c r="A803" s="6" t="n"/>
      <c r="B803" s="7" t="n"/>
      <c r="C803" s="7" t="n"/>
      <c r="D803" s="7" t="n"/>
      <c r="E803" s="7" t="n"/>
      <c r="F803" s="7" t="n"/>
      <c r="G803" s="8" t="n"/>
      <c r="H803" s="9" t="n"/>
      <c r="I803" s="10">
        <f>IF(G803="","",G803*H803)</f>
        <v/>
      </c>
      <c r="J803" s="7" t="n"/>
    </row>
    <row r="804">
      <c r="A804" s="6" t="n"/>
      <c r="B804" s="7" t="n"/>
      <c r="C804" s="7" t="n"/>
      <c r="D804" s="7" t="n"/>
      <c r="E804" s="7" t="n"/>
      <c r="F804" s="7" t="n"/>
      <c r="G804" s="8" t="n"/>
      <c r="H804" s="9" t="n"/>
      <c r="I804" s="10">
        <f>IF(G804="","",G804*H804)</f>
        <v/>
      </c>
      <c r="J804" s="7" t="n"/>
    </row>
    <row r="805">
      <c r="A805" s="6" t="n"/>
      <c r="B805" s="7" t="n"/>
      <c r="C805" s="7" t="n"/>
      <c r="D805" s="7" t="n"/>
      <c r="E805" s="7" t="n"/>
      <c r="F805" s="7" t="n"/>
      <c r="G805" s="8" t="n"/>
      <c r="H805" s="9" t="n"/>
      <c r="I805" s="10">
        <f>IF(G805="","",G805*H805)</f>
        <v/>
      </c>
      <c r="J805" s="7" t="n"/>
    </row>
    <row r="806">
      <c r="A806" s="6" t="n"/>
      <c r="B806" s="7" t="n"/>
      <c r="C806" s="7" t="n"/>
      <c r="D806" s="7" t="n"/>
      <c r="E806" s="7" t="n"/>
      <c r="F806" s="7" t="n"/>
      <c r="G806" s="8" t="n"/>
      <c r="H806" s="9" t="n"/>
      <c r="I806" s="10">
        <f>IF(G806="","",G806*H806)</f>
        <v/>
      </c>
      <c r="J806" s="7" t="n"/>
    </row>
    <row r="807">
      <c r="A807" s="6" t="n"/>
      <c r="B807" s="7" t="n"/>
      <c r="C807" s="7" t="n"/>
      <c r="D807" s="7" t="n"/>
      <c r="E807" s="7" t="n"/>
      <c r="F807" s="7" t="n"/>
      <c r="G807" s="8" t="n"/>
      <c r="H807" s="9" t="n"/>
      <c r="I807" s="10">
        <f>IF(G807="","",G807*H807)</f>
        <v/>
      </c>
      <c r="J807" s="7" t="n"/>
    </row>
    <row r="808">
      <c r="A808" s="6" t="n"/>
      <c r="B808" s="7" t="n"/>
      <c r="C808" s="7" t="n"/>
      <c r="D808" s="7" t="n"/>
      <c r="E808" s="7" t="n"/>
      <c r="F808" s="7" t="n"/>
      <c r="G808" s="8" t="n"/>
      <c r="H808" s="9" t="n"/>
      <c r="I808" s="10">
        <f>IF(G808="","",G808*H808)</f>
        <v/>
      </c>
      <c r="J808" s="7" t="n"/>
    </row>
    <row r="809">
      <c r="A809" s="6" t="n"/>
      <c r="B809" s="7" t="n"/>
      <c r="C809" s="7" t="n"/>
      <c r="D809" s="7" t="n"/>
      <c r="E809" s="7" t="n"/>
      <c r="F809" s="7" t="n"/>
      <c r="G809" s="8" t="n"/>
      <c r="H809" s="9" t="n"/>
      <c r="I809" s="10">
        <f>IF(G809="","",G809*H809)</f>
        <v/>
      </c>
      <c r="J809" s="7" t="n"/>
    </row>
    <row r="810">
      <c r="A810" s="6" t="n"/>
      <c r="B810" s="7" t="n"/>
      <c r="C810" s="7" t="n"/>
      <c r="D810" s="7" t="n"/>
      <c r="E810" s="7" t="n"/>
      <c r="F810" s="7" t="n"/>
      <c r="G810" s="8" t="n"/>
      <c r="H810" s="9" t="n"/>
      <c r="I810" s="10">
        <f>IF(G810="","",G810*H810)</f>
        <v/>
      </c>
      <c r="J810" s="7" t="n"/>
    </row>
    <row r="811">
      <c r="A811" s="6" t="n"/>
      <c r="B811" s="7" t="n"/>
      <c r="C811" s="7" t="n"/>
      <c r="D811" s="7" t="n"/>
      <c r="E811" s="7" t="n"/>
      <c r="F811" s="7" t="n"/>
      <c r="G811" s="8" t="n"/>
      <c r="H811" s="9" t="n"/>
      <c r="I811" s="10">
        <f>IF(G811="","",G811*H811)</f>
        <v/>
      </c>
      <c r="J811" s="7" t="n"/>
    </row>
    <row r="812">
      <c r="A812" s="6" t="n"/>
      <c r="B812" s="7" t="n"/>
      <c r="C812" s="7" t="n"/>
      <c r="D812" s="7" t="n"/>
      <c r="E812" s="7" t="n"/>
      <c r="F812" s="7" t="n"/>
      <c r="G812" s="8" t="n"/>
      <c r="H812" s="9" t="n"/>
      <c r="I812" s="10">
        <f>IF(G812="","",G812*H812)</f>
        <v/>
      </c>
      <c r="J812" s="7" t="n"/>
    </row>
    <row r="813">
      <c r="A813" s="6" t="n"/>
      <c r="B813" s="7" t="n"/>
      <c r="C813" s="7" t="n"/>
      <c r="D813" s="7" t="n"/>
      <c r="E813" s="7" t="n"/>
      <c r="F813" s="7" t="n"/>
      <c r="G813" s="8" t="n"/>
      <c r="H813" s="9" t="n"/>
      <c r="I813" s="10">
        <f>IF(G813="","",G813*H813)</f>
        <v/>
      </c>
      <c r="J813" s="7" t="n"/>
    </row>
    <row r="814">
      <c r="A814" s="6" t="n"/>
      <c r="B814" s="7" t="n"/>
      <c r="C814" s="7" t="n"/>
      <c r="D814" s="7" t="n"/>
      <c r="E814" s="7" t="n"/>
      <c r="F814" s="7" t="n"/>
      <c r="G814" s="8" t="n"/>
      <c r="H814" s="9" t="n"/>
      <c r="I814" s="10">
        <f>IF(G814="","",G814*H814)</f>
        <v/>
      </c>
      <c r="J814" s="7" t="n"/>
    </row>
    <row r="815">
      <c r="A815" s="6" t="n"/>
      <c r="B815" s="7" t="n"/>
      <c r="C815" s="7" t="n"/>
      <c r="D815" s="7" t="n"/>
      <c r="E815" s="7" t="n"/>
      <c r="F815" s="7" t="n"/>
      <c r="G815" s="8" t="n"/>
      <c r="H815" s="9" t="n"/>
      <c r="I815" s="10">
        <f>IF(G815="","",G815*H815)</f>
        <v/>
      </c>
      <c r="J815" s="7" t="n"/>
    </row>
    <row r="816">
      <c r="A816" s="6" t="n"/>
      <c r="B816" s="7" t="n"/>
      <c r="C816" s="7" t="n"/>
      <c r="D816" s="7" t="n"/>
      <c r="E816" s="7" t="n"/>
      <c r="F816" s="7" t="n"/>
      <c r="G816" s="8" t="n"/>
      <c r="H816" s="9" t="n"/>
      <c r="I816" s="10">
        <f>IF(G816="","",G816*H816)</f>
        <v/>
      </c>
      <c r="J816" s="7" t="n"/>
    </row>
    <row r="817">
      <c r="A817" s="6" t="n"/>
      <c r="B817" s="7" t="n"/>
      <c r="C817" s="7" t="n"/>
      <c r="D817" s="7" t="n"/>
      <c r="E817" s="7" t="n"/>
      <c r="F817" s="7" t="n"/>
      <c r="G817" s="8" t="n"/>
      <c r="H817" s="9" t="n"/>
      <c r="I817" s="10">
        <f>IF(G817="","",G817*H817)</f>
        <v/>
      </c>
      <c r="J817" s="7" t="n"/>
    </row>
    <row r="818">
      <c r="A818" s="6" t="n"/>
      <c r="B818" s="7" t="n"/>
      <c r="C818" s="7" t="n"/>
      <c r="D818" s="7" t="n"/>
      <c r="E818" s="7" t="n"/>
      <c r="F818" s="7" t="n"/>
      <c r="G818" s="8" t="n"/>
      <c r="H818" s="9" t="n"/>
      <c r="I818" s="10">
        <f>IF(G818="","",G818*H818)</f>
        <v/>
      </c>
      <c r="J818" s="7" t="n"/>
    </row>
    <row r="819">
      <c r="A819" s="6" t="n"/>
      <c r="B819" s="7" t="n"/>
      <c r="C819" s="7" t="n"/>
      <c r="D819" s="7" t="n"/>
      <c r="E819" s="7" t="n"/>
      <c r="F819" s="7" t="n"/>
      <c r="G819" s="8" t="n"/>
      <c r="H819" s="9" t="n"/>
      <c r="I819" s="10">
        <f>IF(G819="","",G819*H819)</f>
        <v/>
      </c>
      <c r="J819" s="7" t="n"/>
    </row>
    <row r="820">
      <c r="A820" s="6" t="n"/>
      <c r="B820" s="7" t="n"/>
      <c r="C820" s="7" t="n"/>
      <c r="D820" s="7" t="n"/>
      <c r="E820" s="7" t="n"/>
      <c r="F820" s="7" t="n"/>
      <c r="G820" s="8" t="n"/>
      <c r="H820" s="9" t="n"/>
      <c r="I820" s="10">
        <f>IF(G820="","",G820*H820)</f>
        <v/>
      </c>
      <c r="J820" s="7" t="n"/>
    </row>
    <row r="821">
      <c r="A821" s="6" t="n"/>
      <c r="B821" s="7" t="n"/>
      <c r="C821" s="7" t="n"/>
      <c r="D821" s="7" t="n"/>
      <c r="E821" s="7" t="n"/>
      <c r="F821" s="7" t="n"/>
      <c r="G821" s="8" t="n"/>
      <c r="H821" s="9" t="n"/>
      <c r="I821" s="10">
        <f>IF(G821="","",G821*H821)</f>
        <v/>
      </c>
      <c r="J821" s="7" t="n"/>
    </row>
    <row r="822">
      <c r="A822" s="6" t="n"/>
      <c r="B822" s="7" t="n"/>
      <c r="C822" s="7" t="n"/>
      <c r="D822" s="7" t="n"/>
      <c r="E822" s="7" t="n"/>
      <c r="F822" s="7" t="n"/>
      <c r="G822" s="8" t="n"/>
      <c r="H822" s="9" t="n"/>
      <c r="I822" s="10">
        <f>IF(G822="","",G822*H822)</f>
        <v/>
      </c>
      <c r="J822" s="7" t="n"/>
    </row>
    <row r="823">
      <c r="A823" s="6" t="n"/>
      <c r="B823" s="7" t="n"/>
      <c r="C823" s="7" t="n"/>
      <c r="D823" s="7" t="n"/>
      <c r="E823" s="7" t="n"/>
      <c r="F823" s="7" t="n"/>
      <c r="G823" s="8" t="n"/>
      <c r="H823" s="9" t="n"/>
      <c r="I823" s="10">
        <f>IF(G823="","",G823*H823)</f>
        <v/>
      </c>
      <c r="J823" s="7" t="n"/>
    </row>
    <row r="824">
      <c r="A824" s="6" t="n"/>
      <c r="B824" s="7" t="n"/>
      <c r="C824" s="7" t="n"/>
      <c r="D824" s="7" t="n"/>
      <c r="E824" s="7" t="n"/>
      <c r="F824" s="7" t="n"/>
      <c r="G824" s="8" t="n"/>
      <c r="H824" s="9" t="n"/>
      <c r="I824" s="10">
        <f>IF(G824="","",G824*H824)</f>
        <v/>
      </c>
      <c r="J824" s="7" t="n"/>
    </row>
    <row r="825">
      <c r="A825" s="6" t="n"/>
      <c r="B825" s="7" t="n"/>
      <c r="C825" s="7" t="n"/>
      <c r="D825" s="7" t="n"/>
      <c r="E825" s="7" t="n"/>
      <c r="F825" s="7" t="n"/>
      <c r="G825" s="8" t="n"/>
      <c r="H825" s="9" t="n"/>
      <c r="I825" s="10">
        <f>IF(G825="","",G825*H825)</f>
        <v/>
      </c>
      <c r="J825" s="7" t="n"/>
    </row>
    <row r="826">
      <c r="A826" s="6" t="n"/>
      <c r="B826" s="7" t="n"/>
      <c r="C826" s="7" t="n"/>
      <c r="D826" s="7" t="n"/>
      <c r="E826" s="7" t="n"/>
      <c r="F826" s="7" t="n"/>
      <c r="G826" s="8" t="n"/>
      <c r="H826" s="9" t="n"/>
      <c r="I826" s="10">
        <f>IF(G826="","",G826*H826)</f>
        <v/>
      </c>
      <c r="J826" s="7" t="n"/>
    </row>
    <row r="827">
      <c r="A827" s="6" t="n"/>
      <c r="B827" s="7" t="n"/>
      <c r="C827" s="7" t="n"/>
      <c r="D827" s="7" t="n"/>
      <c r="E827" s="7" t="n"/>
      <c r="F827" s="7" t="n"/>
      <c r="G827" s="8" t="n"/>
      <c r="H827" s="9" t="n"/>
      <c r="I827" s="10">
        <f>IF(G827="","",G827*H827)</f>
        <v/>
      </c>
      <c r="J827" s="7" t="n"/>
    </row>
    <row r="828">
      <c r="A828" s="6" t="n"/>
      <c r="B828" s="7" t="n"/>
      <c r="C828" s="7" t="n"/>
      <c r="D828" s="7" t="n"/>
      <c r="E828" s="7" t="n"/>
      <c r="F828" s="7" t="n"/>
      <c r="G828" s="8" t="n"/>
      <c r="H828" s="9" t="n"/>
      <c r="I828" s="10">
        <f>IF(G828="","",G828*H828)</f>
        <v/>
      </c>
      <c r="J828" s="7" t="n"/>
    </row>
    <row r="829">
      <c r="A829" s="6" t="n"/>
      <c r="B829" s="7" t="n"/>
      <c r="C829" s="7" t="n"/>
      <c r="D829" s="7" t="n"/>
      <c r="E829" s="7" t="n"/>
      <c r="F829" s="7" t="n"/>
      <c r="G829" s="8" t="n"/>
      <c r="H829" s="9" t="n"/>
      <c r="I829" s="10">
        <f>IF(G829="","",G829*H829)</f>
        <v/>
      </c>
      <c r="J829" s="7" t="n"/>
    </row>
    <row r="830">
      <c r="A830" s="6" t="n"/>
      <c r="B830" s="7" t="n"/>
      <c r="C830" s="7" t="n"/>
      <c r="D830" s="7" t="n"/>
      <c r="E830" s="7" t="n"/>
      <c r="F830" s="7" t="n"/>
      <c r="G830" s="8" t="n"/>
      <c r="H830" s="9" t="n"/>
      <c r="I830" s="10">
        <f>IF(G830="","",G830*H830)</f>
        <v/>
      </c>
      <c r="J830" s="7" t="n"/>
    </row>
    <row r="831">
      <c r="A831" s="6" t="n"/>
      <c r="B831" s="7" t="n"/>
      <c r="C831" s="7" t="n"/>
      <c r="D831" s="7" t="n"/>
      <c r="E831" s="7" t="n"/>
      <c r="F831" s="7" t="n"/>
      <c r="G831" s="8" t="n"/>
      <c r="H831" s="9" t="n"/>
      <c r="I831" s="10">
        <f>IF(G831="","",G831*H831)</f>
        <v/>
      </c>
      <c r="J831" s="7" t="n"/>
    </row>
    <row r="832">
      <c r="A832" s="6" t="n"/>
      <c r="B832" s="7" t="n"/>
      <c r="C832" s="7" t="n"/>
      <c r="D832" s="7" t="n"/>
      <c r="E832" s="7" t="n"/>
      <c r="F832" s="7" t="n"/>
      <c r="G832" s="8" t="n"/>
      <c r="H832" s="9" t="n"/>
      <c r="I832" s="10">
        <f>IF(G832="","",G832*H832)</f>
        <v/>
      </c>
      <c r="J832" s="7" t="n"/>
    </row>
    <row r="833">
      <c r="A833" s="6" t="n"/>
      <c r="B833" s="7" t="n"/>
      <c r="C833" s="7" t="n"/>
      <c r="D833" s="7" t="n"/>
      <c r="E833" s="7" t="n"/>
      <c r="F833" s="7" t="n"/>
      <c r="G833" s="8" t="n"/>
      <c r="H833" s="9" t="n"/>
      <c r="I833" s="10">
        <f>IF(G833="","",G833*H833)</f>
        <v/>
      </c>
      <c r="J833" s="7" t="n"/>
    </row>
    <row r="834">
      <c r="A834" s="6" t="n"/>
      <c r="B834" s="7" t="n"/>
      <c r="C834" s="7" t="n"/>
      <c r="D834" s="7" t="n"/>
      <c r="E834" s="7" t="n"/>
      <c r="F834" s="7" t="n"/>
      <c r="G834" s="8" t="n"/>
      <c r="H834" s="9" t="n"/>
      <c r="I834" s="10">
        <f>IF(G834="","",G834*H834)</f>
        <v/>
      </c>
      <c r="J834" s="7" t="n"/>
    </row>
    <row r="835">
      <c r="A835" s="6" t="n"/>
      <c r="B835" s="7" t="n"/>
      <c r="C835" s="7" t="n"/>
      <c r="D835" s="7" t="n"/>
      <c r="E835" s="7" t="n"/>
      <c r="F835" s="7" t="n"/>
      <c r="G835" s="8" t="n"/>
      <c r="H835" s="9" t="n"/>
      <c r="I835" s="10">
        <f>IF(G835="","",G835*H835)</f>
        <v/>
      </c>
      <c r="J835" s="7" t="n"/>
    </row>
    <row r="836">
      <c r="A836" s="6" t="n"/>
      <c r="B836" s="7" t="n"/>
      <c r="C836" s="7" t="n"/>
      <c r="D836" s="7" t="n"/>
      <c r="E836" s="7" t="n"/>
      <c r="F836" s="7" t="n"/>
      <c r="G836" s="8" t="n"/>
      <c r="H836" s="9" t="n"/>
      <c r="I836" s="10">
        <f>IF(G836="","",G836*H836)</f>
        <v/>
      </c>
      <c r="J836" s="7" t="n"/>
    </row>
    <row r="837">
      <c r="A837" s="6" t="n"/>
      <c r="B837" s="7" t="n"/>
      <c r="C837" s="7" t="n"/>
      <c r="D837" s="7" t="n"/>
      <c r="E837" s="7" t="n"/>
      <c r="F837" s="7" t="n"/>
      <c r="G837" s="8" t="n"/>
      <c r="H837" s="9" t="n"/>
      <c r="I837" s="10">
        <f>IF(G837="","",G837*H837)</f>
        <v/>
      </c>
      <c r="J837" s="7" t="n"/>
    </row>
    <row r="838">
      <c r="A838" s="6" t="n"/>
      <c r="B838" s="7" t="n"/>
      <c r="C838" s="7" t="n"/>
      <c r="D838" s="7" t="n"/>
      <c r="E838" s="7" t="n"/>
      <c r="F838" s="7" t="n"/>
      <c r="G838" s="8" t="n"/>
      <c r="H838" s="9" t="n"/>
      <c r="I838" s="10">
        <f>IF(G838="","",G838*H838)</f>
        <v/>
      </c>
      <c r="J838" s="7" t="n"/>
    </row>
    <row r="839">
      <c r="A839" s="6" t="n"/>
      <c r="B839" s="7" t="n"/>
      <c r="C839" s="7" t="n"/>
      <c r="D839" s="7" t="n"/>
      <c r="E839" s="7" t="n"/>
      <c r="F839" s="7" t="n"/>
      <c r="G839" s="8" t="n"/>
      <c r="H839" s="9" t="n"/>
      <c r="I839" s="10">
        <f>IF(G839="","",G839*H839)</f>
        <v/>
      </c>
      <c r="J839" s="7" t="n"/>
    </row>
    <row r="840">
      <c r="A840" s="6" t="n"/>
      <c r="B840" s="7" t="n"/>
      <c r="C840" s="7" t="n"/>
      <c r="D840" s="7" t="n"/>
      <c r="E840" s="7" t="n"/>
      <c r="F840" s="7" t="n"/>
      <c r="G840" s="8" t="n"/>
      <c r="H840" s="9" t="n"/>
      <c r="I840" s="10">
        <f>IF(G840="","",G840*H840)</f>
        <v/>
      </c>
      <c r="J840" s="7" t="n"/>
    </row>
    <row r="841">
      <c r="A841" s="6" t="n"/>
      <c r="B841" s="7" t="n"/>
      <c r="C841" s="7" t="n"/>
      <c r="D841" s="7" t="n"/>
      <c r="E841" s="7" t="n"/>
      <c r="F841" s="7" t="n"/>
      <c r="G841" s="8" t="n"/>
      <c r="H841" s="9" t="n"/>
      <c r="I841" s="10">
        <f>IF(G841="","",G841*H841)</f>
        <v/>
      </c>
      <c r="J841" s="7" t="n"/>
    </row>
    <row r="842">
      <c r="A842" s="6" t="n"/>
      <c r="B842" s="7" t="n"/>
      <c r="C842" s="7" t="n"/>
      <c r="D842" s="7" t="n"/>
      <c r="E842" s="7" t="n"/>
      <c r="F842" s="7" t="n"/>
      <c r="G842" s="8" t="n"/>
      <c r="H842" s="9" t="n"/>
      <c r="I842" s="10">
        <f>IF(G842="","",G842*H842)</f>
        <v/>
      </c>
      <c r="J842" s="7" t="n"/>
    </row>
    <row r="843">
      <c r="A843" s="6" t="n"/>
      <c r="B843" s="7" t="n"/>
      <c r="C843" s="7" t="n"/>
      <c r="D843" s="7" t="n"/>
      <c r="E843" s="7" t="n"/>
      <c r="F843" s="7" t="n"/>
      <c r="G843" s="8" t="n"/>
      <c r="H843" s="9" t="n"/>
      <c r="I843" s="10">
        <f>IF(G843="","",G843*H843)</f>
        <v/>
      </c>
      <c r="J843" s="7" t="n"/>
    </row>
    <row r="844">
      <c r="A844" s="6" t="n"/>
      <c r="B844" s="7" t="n"/>
      <c r="C844" s="7" t="n"/>
      <c r="D844" s="7" t="n"/>
      <c r="E844" s="7" t="n"/>
      <c r="F844" s="7" t="n"/>
      <c r="G844" s="8" t="n"/>
      <c r="H844" s="9" t="n"/>
      <c r="I844" s="10">
        <f>IF(G844="","",G844*H844)</f>
        <v/>
      </c>
      <c r="J844" s="7" t="n"/>
    </row>
    <row r="845">
      <c r="A845" s="6" t="n"/>
      <c r="B845" s="7" t="n"/>
      <c r="C845" s="7" t="n"/>
      <c r="D845" s="7" t="n"/>
      <c r="E845" s="7" t="n"/>
      <c r="F845" s="7" t="n"/>
      <c r="G845" s="8" t="n"/>
      <c r="H845" s="9" t="n"/>
      <c r="I845" s="10">
        <f>IF(G845="","",G845*H845)</f>
        <v/>
      </c>
      <c r="J845" s="7" t="n"/>
    </row>
    <row r="846">
      <c r="A846" s="6" t="n"/>
      <c r="B846" s="7" t="n"/>
      <c r="C846" s="7" t="n"/>
      <c r="D846" s="7" t="n"/>
      <c r="E846" s="7" t="n"/>
      <c r="F846" s="7" t="n"/>
      <c r="G846" s="8" t="n"/>
      <c r="H846" s="9" t="n"/>
      <c r="I846" s="10">
        <f>IF(G846="","",G846*H846)</f>
        <v/>
      </c>
      <c r="J846" s="7" t="n"/>
    </row>
    <row r="847">
      <c r="A847" s="6" t="n"/>
      <c r="B847" s="7" t="n"/>
      <c r="C847" s="7" t="n"/>
      <c r="D847" s="7" t="n"/>
      <c r="E847" s="7" t="n"/>
      <c r="F847" s="7" t="n"/>
      <c r="G847" s="8" t="n"/>
      <c r="H847" s="9" t="n"/>
      <c r="I847" s="10">
        <f>IF(G847="","",G847*H847)</f>
        <v/>
      </c>
      <c r="J847" s="7" t="n"/>
    </row>
    <row r="848">
      <c r="A848" s="6" t="n"/>
      <c r="B848" s="7" t="n"/>
      <c r="C848" s="7" t="n"/>
      <c r="D848" s="7" t="n"/>
      <c r="E848" s="7" t="n"/>
      <c r="F848" s="7" t="n"/>
      <c r="G848" s="8" t="n"/>
      <c r="H848" s="9" t="n"/>
      <c r="I848" s="10">
        <f>IF(G848="","",G848*H848)</f>
        <v/>
      </c>
      <c r="J848" s="7" t="n"/>
    </row>
    <row r="849">
      <c r="A849" s="6" t="n"/>
      <c r="B849" s="7" t="n"/>
      <c r="C849" s="7" t="n"/>
      <c r="D849" s="7" t="n"/>
      <c r="E849" s="7" t="n"/>
      <c r="F849" s="7" t="n"/>
      <c r="G849" s="8" t="n"/>
      <c r="H849" s="9" t="n"/>
      <c r="I849" s="10">
        <f>IF(G849="","",G849*H849)</f>
        <v/>
      </c>
      <c r="J849" s="7" t="n"/>
    </row>
    <row r="850">
      <c r="A850" s="6" t="n"/>
      <c r="B850" s="7" t="n"/>
      <c r="C850" s="7" t="n"/>
      <c r="D850" s="7" t="n"/>
      <c r="E850" s="7" t="n"/>
      <c r="F850" s="7" t="n"/>
      <c r="G850" s="8" t="n"/>
      <c r="H850" s="9" t="n"/>
      <c r="I850" s="10">
        <f>IF(G850="","",G850*H850)</f>
        <v/>
      </c>
      <c r="J850" s="7" t="n"/>
    </row>
    <row r="851">
      <c r="A851" s="6" t="n"/>
      <c r="B851" s="7" t="n"/>
      <c r="C851" s="7" t="n"/>
      <c r="D851" s="7" t="n"/>
      <c r="E851" s="7" t="n"/>
      <c r="F851" s="7" t="n"/>
      <c r="G851" s="8" t="n"/>
      <c r="H851" s="9" t="n"/>
      <c r="I851" s="10">
        <f>IF(G851="","",G851*H851)</f>
        <v/>
      </c>
      <c r="J851" s="7" t="n"/>
    </row>
    <row r="852">
      <c r="A852" s="6" t="n"/>
      <c r="B852" s="7" t="n"/>
      <c r="C852" s="7" t="n"/>
      <c r="D852" s="7" t="n"/>
      <c r="E852" s="7" t="n"/>
      <c r="F852" s="7" t="n"/>
      <c r="G852" s="8" t="n"/>
      <c r="H852" s="9" t="n"/>
      <c r="I852" s="10">
        <f>IF(G852="","",G852*H852)</f>
        <v/>
      </c>
      <c r="J852" s="7" t="n"/>
    </row>
    <row r="853">
      <c r="A853" s="6" t="n"/>
      <c r="B853" s="7" t="n"/>
      <c r="C853" s="7" t="n"/>
      <c r="D853" s="7" t="n"/>
      <c r="E853" s="7" t="n"/>
      <c r="F853" s="7" t="n"/>
      <c r="G853" s="8" t="n"/>
      <c r="H853" s="9" t="n"/>
      <c r="I853" s="10">
        <f>IF(G853="","",G853*H853)</f>
        <v/>
      </c>
      <c r="J853" s="7" t="n"/>
    </row>
    <row r="854">
      <c r="A854" s="6" t="n"/>
      <c r="B854" s="7" t="n"/>
      <c r="C854" s="7" t="n"/>
      <c r="D854" s="7" t="n"/>
      <c r="E854" s="7" t="n"/>
      <c r="F854" s="7" t="n"/>
      <c r="G854" s="8" t="n"/>
      <c r="H854" s="9" t="n"/>
      <c r="I854" s="10">
        <f>IF(G854="","",G854*H854)</f>
        <v/>
      </c>
      <c r="J854" s="7" t="n"/>
    </row>
    <row r="855">
      <c r="A855" s="6" t="n"/>
      <c r="B855" s="7" t="n"/>
      <c r="C855" s="7" t="n"/>
      <c r="D855" s="7" t="n"/>
      <c r="E855" s="7" t="n"/>
      <c r="F855" s="7" t="n"/>
      <c r="G855" s="8" t="n"/>
      <c r="H855" s="9" t="n"/>
      <c r="I855" s="10">
        <f>IF(G855="","",G855*H855)</f>
        <v/>
      </c>
      <c r="J855" s="7" t="n"/>
    </row>
    <row r="856">
      <c r="A856" s="6" t="n"/>
      <c r="B856" s="7" t="n"/>
      <c r="C856" s="7" t="n"/>
      <c r="D856" s="7" t="n"/>
      <c r="E856" s="7" t="n"/>
      <c r="F856" s="7" t="n"/>
      <c r="G856" s="8" t="n"/>
      <c r="H856" s="9" t="n"/>
      <c r="I856" s="10">
        <f>IF(G856="","",G856*H856)</f>
        <v/>
      </c>
      <c r="J856" s="7" t="n"/>
    </row>
    <row r="857">
      <c r="A857" s="6" t="n"/>
      <c r="B857" s="7" t="n"/>
      <c r="C857" s="7" t="n"/>
      <c r="D857" s="7" t="n"/>
      <c r="E857" s="7" t="n"/>
      <c r="F857" s="7" t="n"/>
      <c r="G857" s="8" t="n"/>
      <c r="H857" s="9" t="n"/>
      <c r="I857" s="10">
        <f>IF(G857="","",G857*H857)</f>
        <v/>
      </c>
      <c r="J857" s="7" t="n"/>
    </row>
    <row r="858">
      <c r="A858" s="6" t="n"/>
      <c r="B858" s="7" t="n"/>
      <c r="C858" s="7" t="n"/>
      <c r="D858" s="7" t="n"/>
      <c r="E858" s="7" t="n"/>
      <c r="F858" s="7" t="n"/>
      <c r="G858" s="8" t="n"/>
      <c r="H858" s="9" t="n"/>
      <c r="I858" s="10">
        <f>IF(G858="","",G858*H858)</f>
        <v/>
      </c>
      <c r="J858" s="7" t="n"/>
    </row>
    <row r="859">
      <c r="A859" s="6" t="n"/>
      <c r="B859" s="7" t="n"/>
      <c r="C859" s="7" t="n"/>
      <c r="D859" s="7" t="n"/>
      <c r="E859" s="7" t="n"/>
      <c r="F859" s="7" t="n"/>
      <c r="G859" s="8" t="n"/>
      <c r="H859" s="9" t="n"/>
      <c r="I859" s="10">
        <f>IF(G859="","",G859*H859)</f>
        <v/>
      </c>
      <c r="J859" s="7" t="n"/>
    </row>
    <row r="860">
      <c r="A860" s="6" t="n"/>
      <c r="B860" s="7" t="n"/>
      <c r="C860" s="7" t="n"/>
      <c r="D860" s="7" t="n"/>
      <c r="E860" s="7" t="n"/>
      <c r="F860" s="7" t="n"/>
      <c r="G860" s="8" t="n"/>
      <c r="H860" s="9" t="n"/>
      <c r="I860" s="10">
        <f>IF(G860="","",G860*H860)</f>
        <v/>
      </c>
      <c r="J860" s="7" t="n"/>
    </row>
    <row r="861">
      <c r="A861" s="6" t="n"/>
      <c r="B861" s="7" t="n"/>
      <c r="C861" s="7" t="n"/>
      <c r="D861" s="7" t="n"/>
      <c r="E861" s="7" t="n"/>
      <c r="F861" s="7" t="n"/>
      <c r="G861" s="8" t="n"/>
      <c r="H861" s="9" t="n"/>
      <c r="I861" s="10">
        <f>IF(G861="","",G861*H861)</f>
        <v/>
      </c>
      <c r="J861" s="7" t="n"/>
    </row>
    <row r="862">
      <c r="A862" s="6" t="n"/>
      <c r="B862" s="7" t="n"/>
      <c r="C862" s="7" t="n"/>
      <c r="D862" s="7" t="n"/>
      <c r="E862" s="7" t="n"/>
      <c r="F862" s="7" t="n"/>
      <c r="G862" s="8" t="n"/>
      <c r="H862" s="9" t="n"/>
      <c r="I862" s="10">
        <f>IF(G862="","",G862*H862)</f>
        <v/>
      </c>
      <c r="J862" s="7" t="n"/>
    </row>
    <row r="863">
      <c r="A863" s="6" t="n"/>
      <c r="B863" s="7" t="n"/>
      <c r="C863" s="7" t="n"/>
      <c r="D863" s="7" t="n"/>
      <c r="E863" s="7" t="n"/>
      <c r="F863" s="7" t="n"/>
      <c r="G863" s="8" t="n"/>
      <c r="H863" s="9" t="n"/>
      <c r="I863" s="10">
        <f>IF(G863="","",G863*H863)</f>
        <v/>
      </c>
      <c r="J863" s="7" t="n"/>
    </row>
    <row r="864">
      <c r="A864" s="6" t="n"/>
      <c r="B864" s="7" t="n"/>
      <c r="C864" s="7" t="n"/>
      <c r="D864" s="7" t="n"/>
      <c r="E864" s="7" t="n"/>
      <c r="F864" s="7" t="n"/>
      <c r="G864" s="8" t="n"/>
      <c r="H864" s="9" t="n"/>
      <c r="I864" s="10">
        <f>IF(G864="","",G864*H864)</f>
        <v/>
      </c>
      <c r="J864" s="7" t="n"/>
    </row>
    <row r="865">
      <c r="A865" s="6" t="n"/>
      <c r="B865" s="7" t="n"/>
      <c r="C865" s="7" t="n"/>
      <c r="D865" s="7" t="n"/>
      <c r="E865" s="7" t="n"/>
      <c r="F865" s="7" t="n"/>
      <c r="G865" s="8" t="n"/>
      <c r="H865" s="9" t="n"/>
      <c r="I865" s="10">
        <f>IF(G865="","",G865*H865)</f>
        <v/>
      </c>
      <c r="J865" s="7" t="n"/>
    </row>
    <row r="866">
      <c r="A866" s="6" t="n"/>
      <c r="B866" s="7" t="n"/>
      <c r="C866" s="7" t="n"/>
      <c r="D866" s="7" t="n"/>
      <c r="E866" s="7" t="n"/>
      <c r="F866" s="7" t="n"/>
      <c r="G866" s="8" t="n"/>
      <c r="H866" s="9" t="n"/>
      <c r="I866" s="10">
        <f>IF(G866="","",G866*H866)</f>
        <v/>
      </c>
      <c r="J866" s="7" t="n"/>
    </row>
    <row r="867">
      <c r="A867" s="6" t="n"/>
      <c r="B867" s="7" t="n"/>
      <c r="C867" s="7" t="n"/>
      <c r="D867" s="7" t="n"/>
      <c r="E867" s="7" t="n"/>
      <c r="F867" s="7" t="n"/>
      <c r="G867" s="8" t="n"/>
      <c r="H867" s="9" t="n"/>
      <c r="I867" s="10">
        <f>IF(G867="","",G867*H867)</f>
        <v/>
      </c>
      <c r="J867" s="7" t="n"/>
    </row>
    <row r="868">
      <c r="A868" s="6" t="n"/>
      <c r="B868" s="7" t="n"/>
      <c r="C868" s="7" t="n"/>
      <c r="D868" s="7" t="n"/>
      <c r="E868" s="7" t="n"/>
      <c r="F868" s="7" t="n"/>
      <c r="G868" s="8" t="n"/>
      <c r="H868" s="9" t="n"/>
      <c r="I868" s="10">
        <f>IF(G868="","",G868*H868)</f>
        <v/>
      </c>
      <c r="J868" s="7" t="n"/>
    </row>
    <row r="869">
      <c r="A869" s="6" t="n"/>
      <c r="B869" s="7" t="n"/>
      <c r="C869" s="7" t="n"/>
      <c r="D869" s="7" t="n"/>
      <c r="E869" s="7" t="n"/>
      <c r="F869" s="7" t="n"/>
      <c r="G869" s="8" t="n"/>
      <c r="H869" s="9" t="n"/>
      <c r="I869" s="10">
        <f>IF(G869="","",G869*H869)</f>
        <v/>
      </c>
      <c r="J869" s="7" t="n"/>
    </row>
    <row r="870">
      <c r="A870" s="6" t="n"/>
      <c r="B870" s="7" t="n"/>
      <c r="C870" s="7" t="n"/>
      <c r="D870" s="7" t="n"/>
      <c r="E870" s="7" t="n"/>
      <c r="F870" s="7" t="n"/>
      <c r="G870" s="8" t="n"/>
      <c r="H870" s="9" t="n"/>
      <c r="I870" s="10">
        <f>IF(G870="","",G870*H870)</f>
        <v/>
      </c>
      <c r="J870" s="7" t="n"/>
    </row>
    <row r="871">
      <c r="A871" s="6" t="n"/>
      <c r="B871" s="7" t="n"/>
      <c r="C871" s="7" t="n"/>
      <c r="D871" s="7" t="n"/>
      <c r="E871" s="7" t="n"/>
      <c r="F871" s="7" t="n"/>
      <c r="G871" s="8" t="n"/>
      <c r="H871" s="9" t="n"/>
      <c r="I871" s="10">
        <f>IF(G871="","",G871*H871)</f>
        <v/>
      </c>
      <c r="J871" s="7" t="n"/>
    </row>
    <row r="872">
      <c r="A872" s="6" t="n"/>
      <c r="B872" s="7" t="n"/>
      <c r="C872" s="7" t="n"/>
      <c r="D872" s="7" t="n"/>
      <c r="E872" s="7" t="n"/>
      <c r="F872" s="7" t="n"/>
      <c r="G872" s="8" t="n"/>
      <c r="H872" s="9" t="n"/>
      <c r="I872" s="10">
        <f>IF(G872="","",G872*H872)</f>
        <v/>
      </c>
      <c r="J872" s="7" t="n"/>
    </row>
    <row r="873">
      <c r="A873" s="6" t="n"/>
      <c r="B873" s="7" t="n"/>
      <c r="C873" s="7" t="n"/>
      <c r="D873" s="7" t="n"/>
      <c r="E873" s="7" t="n"/>
      <c r="F873" s="7" t="n"/>
      <c r="G873" s="8" t="n"/>
      <c r="H873" s="9" t="n"/>
      <c r="I873" s="10">
        <f>IF(G873="","",G873*H873)</f>
        <v/>
      </c>
      <c r="J873" s="7" t="n"/>
    </row>
    <row r="874">
      <c r="A874" s="6" t="n"/>
      <c r="B874" s="7" t="n"/>
      <c r="C874" s="7" t="n"/>
      <c r="D874" s="7" t="n"/>
      <c r="E874" s="7" t="n"/>
      <c r="F874" s="7" t="n"/>
      <c r="G874" s="8" t="n"/>
      <c r="H874" s="9" t="n"/>
      <c r="I874" s="10">
        <f>IF(G874="","",G874*H874)</f>
        <v/>
      </c>
      <c r="J874" s="7" t="n"/>
    </row>
    <row r="875">
      <c r="A875" s="6" t="n"/>
      <c r="B875" s="7" t="n"/>
      <c r="C875" s="7" t="n"/>
      <c r="D875" s="7" t="n"/>
      <c r="E875" s="7" t="n"/>
      <c r="F875" s="7" t="n"/>
      <c r="G875" s="8" t="n"/>
      <c r="H875" s="9" t="n"/>
      <c r="I875" s="10">
        <f>IF(G875="","",G875*H875)</f>
        <v/>
      </c>
      <c r="J875" s="7" t="n"/>
    </row>
    <row r="876">
      <c r="A876" s="6" t="n"/>
      <c r="B876" s="7" t="n"/>
      <c r="C876" s="7" t="n"/>
      <c r="D876" s="7" t="n"/>
      <c r="E876" s="7" t="n"/>
      <c r="F876" s="7" t="n"/>
      <c r="G876" s="8" t="n"/>
      <c r="H876" s="9" t="n"/>
      <c r="I876" s="10">
        <f>IF(G876="","",G876*H876)</f>
        <v/>
      </c>
      <c r="J876" s="7" t="n"/>
    </row>
    <row r="877">
      <c r="A877" s="6" t="n"/>
      <c r="B877" s="7" t="n"/>
      <c r="C877" s="7" t="n"/>
      <c r="D877" s="7" t="n"/>
      <c r="E877" s="7" t="n"/>
      <c r="F877" s="7" t="n"/>
      <c r="G877" s="8" t="n"/>
      <c r="H877" s="9" t="n"/>
      <c r="I877" s="10">
        <f>IF(G877="","",G877*H877)</f>
        <v/>
      </c>
      <c r="J877" s="7" t="n"/>
    </row>
    <row r="878">
      <c r="A878" s="6" t="n"/>
      <c r="B878" s="7" t="n"/>
      <c r="C878" s="7" t="n"/>
      <c r="D878" s="7" t="n"/>
      <c r="E878" s="7" t="n"/>
      <c r="F878" s="7" t="n"/>
      <c r="G878" s="8" t="n"/>
      <c r="H878" s="9" t="n"/>
      <c r="I878" s="10">
        <f>IF(G878="","",G878*H878)</f>
        <v/>
      </c>
      <c r="J878" s="7" t="n"/>
    </row>
    <row r="879">
      <c r="A879" s="6" t="n"/>
      <c r="B879" s="7" t="n"/>
      <c r="C879" s="7" t="n"/>
      <c r="D879" s="7" t="n"/>
      <c r="E879" s="7" t="n"/>
      <c r="F879" s="7" t="n"/>
      <c r="G879" s="8" t="n"/>
      <c r="H879" s="9" t="n"/>
      <c r="I879" s="10">
        <f>IF(G879="","",G879*H879)</f>
        <v/>
      </c>
      <c r="J879" s="7" t="n"/>
    </row>
    <row r="880">
      <c r="A880" s="6" t="n"/>
      <c r="B880" s="7" t="n"/>
      <c r="C880" s="7" t="n"/>
      <c r="D880" s="7" t="n"/>
      <c r="E880" s="7" t="n"/>
      <c r="F880" s="7" t="n"/>
      <c r="G880" s="8" t="n"/>
      <c r="H880" s="9" t="n"/>
      <c r="I880" s="10">
        <f>IF(G880="","",G880*H880)</f>
        <v/>
      </c>
      <c r="J880" s="7" t="n"/>
    </row>
    <row r="881">
      <c r="A881" s="6" t="n"/>
      <c r="B881" s="7" t="n"/>
      <c r="C881" s="7" t="n"/>
      <c r="D881" s="7" t="n"/>
      <c r="E881" s="7" t="n"/>
      <c r="F881" s="7" t="n"/>
      <c r="G881" s="8" t="n"/>
      <c r="H881" s="9" t="n"/>
      <c r="I881" s="10">
        <f>IF(G881="","",G881*H881)</f>
        <v/>
      </c>
      <c r="J881" s="7" t="n"/>
    </row>
    <row r="882">
      <c r="A882" s="6" t="n"/>
      <c r="B882" s="7" t="n"/>
      <c r="C882" s="7" t="n"/>
      <c r="D882" s="7" t="n"/>
      <c r="E882" s="7" t="n"/>
      <c r="F882" s="7" t="n"/>
      <c r="G882" s="8" t="n"/>
      <c r="H882" s="9" t="n"/>
      <c r="I882" s="10">
        <f>IF(G882="","",G882*H882)</f>
        <v/>
      </c>
      <c r="J882" s="7" t="n"/>
    </row>
    <row r="883">
      <c r="A883" s="6" t="n"/>
      <c r="B883" s="7" t="n"/>
      <c r="C883" s="7" t="n"/>
      <c r="D883" s="7" t="n"/>
      <c r="E883" s="7" t="n"/>
      <c r="F883" s="7" t="n"/>
      <c r="G883" s="8" t="n"/>
      <c r="H883" s="9" t="n"/>
      <c r="I883" s="10">
        <f>IF(G883="","",G883*H883)</f>
        <v/>
      </c>
      <c r="J883" s="7" t="n"/>
    </row>
    <row r="884">
      <c r="A884" s="6" t="n"/>
      <c r="B884" s="7" t="n"/>
      <c r="C884" s="7" t="n"/>
      <c r="D884" s="7" t="n"/>
      <c r="E884" s="7" t="n"/>
      <c r="F884" s="7" t="n"/>
      <c r="G884" s="8" t="n"/>
      <c r="H884" s="9" t="n"/>
      <c r="I884" s="10">
        <f>IF(G884="","",G884*H884)</f>
        <v/>
      </c>
      <c r="J884" s="7" t="n"/>
    </row>
    <row r="885">
      <c r="A885" s="6" t="n"/>
      <c r="B885" s="7" t="n"/>
      <c r="C885" s="7" t="n"/>
      <c r="D885" s="7" t="n"/>
      <c r="E885" s="7" t="n"/>
      <c r="F885" s="7" t="n"/>
      <c r="G885" s="8" t="n"/>
      <c r="H885" s="9" t="n"/>
      <c r="I885" s="10">
        <f>IF(G885="","",G885*H885)</f>
        <v/>
      </c>
      <c r="J885" s="7" t="n"/>
    </row>
    <row r="886">
      <c r="A886" s="6" t="n"/>
      <c r="B886" s="7" t="n"/>
      <c r="C886" s="7" t="n"/>
      <c r="D886" s="7" t="n"/>
      <c r="E886" s="7" t="n"/>
      <c r="F886" s="7" t="n"/>
      <c r="G886" s="8" t="n"/>
      <c r="H886" s="9" t="n"/>
      <c r="I886" s="10">
        <f>IF(G886="","",G886*H886)</f>
        <v/>
      </c>
      <c r="J886" s="7" t="n"/>
    </row>
    <row r="887">
      <c r="A887" s="6" t="n"/>
      <c r="B887" s="7" t="n"/>
      <c r="C887" s="7" t="n"/>
      <c r="D887" s="7" t="n"/>
      <c r="E887" s="7" t="n"/>
      <c r="F887" s="7" t="n"/>
      <c r="G887" s="8" t="n"/>
      <c r="H887" s="9" t="n"/>
      <c r="I887" s="10">
        <f>IF(G887="","",G887*H887)</f>
        <v/>
      </c>
      <c r="J887" s="7" t="n"/>
    </row>
    <row r="888">
      <c r="A888" s="6" t="n"/>
      <c r="B888" s="7" t="n"/>
      <c r="C888" s="7" t="n"/>
      <c r="D888" s="7" t="n"/>
      <c r="E888" s="7" t="n"/>
      <c r="F888" s="7" t="n"/>
      <c r="G888" s="8" t="n"/>
      <c r="H888" s="9" t="n"/>
      <c r="I888" s="10">
        <f>IF(G888="","",G888*H888)</f>
        <v/>
      </c>
      <c r="J888" s="7" t="n"/>
    </row>
    <row r="889">
      <c r="A889" s="6" t="n"/>
      <c r="B889" s="7" t="n"/>
      <c r="C889" s="7" t="n"/>
      <c r="D889" s="7" t="n"/>
      <c r="E889" s="7" t="n"/>
      <c r="F889" s="7" t="n"/>
      <c r="G889" s="8" t="n"/>
      <c r="H889" s="9" t="n"/>
      <c r="I889" s="10">
        <f>IF(G889="","",G889*H889)</f>
        <v/>
      </c>
      <c r="J889" s="7" t="n"/>
    </row>
    <row r="890">
      <c r="A890" s="6" t="n"/>
      <c r="B890" s="7" t="n"/>
      <c r="C890" s="7" t="n"/>
      <c r="D890" s="7" t="n"/>
      <c r="E890" s="7" t="n"/>
      <c r="F890" s="7" t="n"/>
      <c r="G890" s="8" t="n"/>
      <c r="H890" s="9" t="n"/>
      <c r="I890" s="10">
        <f>IF(G890="","",G890*H890)</f>
        <v/>
      </c>
      <c r="J890" s="7" t="n"/>
    </row>
    <row r="891">
      <c r="A891" s="6" t="n"/>
      <c r="B891" s="7" t="n"/>
      <c r="C891" s="7" t="n"/>
      <c r="D891" s="7" t="n"/>
      <c r="E891" s="7" t="n"/>
      <c r="F891" s="7" t="n"/>
      <c r="G891" s="8" t="n"/>
      <c r="H891" s="9" t="n"/>
      <c r="I891" s="10">
        <f>IF(G891="","",G891*H891)</f>
        <v/>
      </c>
      <c r="J891" s="7" t="n"/>
    </row>
    <row r="892">
      <c r="A892" s="6" t="n"/>
      <c r="B892" s="7" t="n"/>
      <c r="C892" s="7" t="n"/>
      <c r="D892" s="7" t="n"/>
      <c r="E892" s="7" t="n"/>
      <c r="F892" s="7" t="n"/>
      <c r="G892" s="8" t="n"/>
      <c r="H892" s="9" t="n"/>
      <c r="I892" s="10">
        <f>IF(G892="","",G892*H892)</f>
        <v/>
      </c>
      <c r="J892" s="7" t="n"/>
    </row>
    <row r="893">
      <c r="A893" s="6" t="n"/>
      <c r="B893" s="7" t="n"/>
      <c r="C893" s="7" t="n"/>
      <c r="D893" s="7" t="n"/>
      <c r="E893" s="7" t="n"/>
      <c r="F893" s="7" t="n"/>
      <c r="G893" s="8" t="n"/>
      <c r="H893" s="9" t="n"/>
      <c r="I893" s="10">
        <f>IF(G893="","",G893*H893)</f>
        <v/>
      </c>
      <c r="J893" s="7" t="n"/>
    </row>
    <row r="894">
      <c r="A894" s="6" t="n"/>
      <c r="B894" s="7" t="n"/>
      <c r="C894" s="7" t="n"/>
      <c r="D894" s="7" t="n"/>
      <c r="E894" s="7" t="n"/>
      <c r="F894" s="7" t="n"/>
      <c r="G894" s="8" t="n"/>
      <c r="H894" s="9" t="n"/>
      <c r="I894" s="10">
        <f>IF(G894="","",G894*H894)</f>
        <v/>
      </c>
      <c r="J894" s="7" t="n"/>
    </row>
    <row r="895">
      <c r="A895" s="6" t="n"/>
      <c r="B895" s="7" t="n"/>
      <c r="C895" s="7" t="n"/>
      <c r="D895" s="7" t="n"/>
      <c r="E895" s="7" t="n"/>
      <c r="F895" s="7" t="n"/>
      <c r="G895" s="8" t="n"/>
      <c r="H895" s="9" t="n"/>
      <c r="I895" s="10">
        <f>IF(G895="","",G895*H895)</f>
        <v/>
      </c>
      <c r="J895" s="7" t="n"/>
    </row>
    <row r="896">
      <c r="A896" s="6" t="n"/>
      <c r="B896" s="7" t="n"/>
      <c r="C896" s="7" t="n"/>
      <c r="D896" s="7" t="n"/>
      <c r="E896" s="7" t="n"/>
      <c r="F896" s="7" t="n"/>
      <c r="G896" s="8" t="n"/>
      <c r="H896" s="9" t="n"/>
      <c r="I896" s="10">
        <f>IF(G896="","",G896*H896)</f>
        <v/>
      </c>
      <c r="J896" s="7" t="n"/>
    </row>
    <row r="897">
      <c r="A897" s="6" t="n"/>
      <c r="B897" s="7" t="n"/>
      <c r="C897" s="7" t="n"/>
      <c r="D897" s="7" t="n"/>
      <c r="E897" s="7" t="n"/>
      <c r="F897" s="7" t="n"/>
      <c r="G897" s="8" t="n"/>
      <c r="H897" s="9" t="n"/>
      <c r="I897" s="10">
        <f>IF(G897="","",G897*H897)</f>
        <v/>
      </c>
      <c r="J897" s="7" t="n"/>
    </row>
    <row r="898">
      <c r="A898" s="6" t="n"/>
      <c r="B898" s="7" t="n"/>
      <c r="C898" s="7" t="n"/>
      <c r="D898" s="7" t="n"/>
      <c r="E898" s="7" t="n"/>
      <c r="F898" s="7" t="n"/>
      <c r="G898" s="8" t="n"/>
      <c r="H898" s="9" t="n"/>
      <c r="I898" s="10">
        <f>IF(G898="","",G898*H898)</f>
        <v/>
      </c>
      <c r="J898" s="7" t="n"/>
    </row>
    <row r="899">
      <c r="A899" s="6" t="n"/>
      <c r="B899" s="7" t="n"/>
      <c r="C899" s="7" t="n"/>
      <c r="D899" s="7" t="n"/>
      <c r="E899" s="7" t="n"/>
      <c r="F899" s="7" t="n"/>
      <c r="G899" s="8" t="n"/>
      <c r="H899" s="9" t="n"/>
      <c r="I899" s="10">
        <f>IF(G899="","",G899*H899)</f>
        <v/>
      </c>
      <c r="J899" s="7" t="n"/>
    </row>
    <row r="900">
      <c r="A900" s="6" t="n"/>
      <c r="B900" s="7" t="n"/>
      <c r="C900" s="7" t="n"/>
      <c r="D900" s="7" t="n"/>
      <c r="E900" s="7" t="n"/>
      <c r="F900" s="7" t="n"/>
      <c r="G900" s="8" t="n"/>
      <c r="H900" s="9" t="n"/>
      <c r="I900" s="10">
        <f>IF(G900="","",G900*H900)</f>
        <v/>
      </c>
      <c r="J900" s="7" t="n"/>
    </row>
    <row r="901">
      <c r="A901" s="6" t="n"/>
      <c r="B901" s="7" t="n"/>
      <c r="C901" s="7" t="n"/>
      <c r="D901" s="7" t="n"/>
      <c r="E901" s="7" t="n"/>
      <c r="F901" s="7" t="n"/>
      <c r="G901" s="8" t="n"/>
      <c r="H901" s="9" t="n"/>
      <c r="I901" s="10">
        <f>IF(G901="","",G901*H901)</f>
        <v/>
      </c>
      <c r="J901" s="7" t="n"/>
    </row>
    <row r="902">
      <c r="A902" s="6" t="n"/>
      <c r="B902" s="7" t="n"/>
      <c r="C902" s="7" t="n"/>
      <c r="D902" s="7" t="n"/>
      <c r="E902" s="7" t="n"/>
      <c r="F902" s="7" t="n"/>
      <c r="G902" s="8" t="n"/>
      <c r="H902" s="9" t="n"/>
      <c r="I902" s="10">
        <f>IF(G902="","",G902*H902)</f>
        <v/>
      </c>
      <c r="J902" s="7" t="n"/>
    </row>
    <row r="903">
      <c r="A903" s="6" t="n"/>
      <c r="B903" s="7" t="n"/>
      <c r="C903" s="7" t="n"/>
      <c r="D903" s="7" t="n"/>
      <c r="E903" s="7" t="n"/>
      <c r="F903" s="7" t="n"/>
      <c r="G903" s="8" t="n"/>
      <c r="H903" s="9" t="n"/>
      <c r="I903" s="10">
        <f>IF(G903="","",G903*H903)</f>
        <v/>
      </c>
      <c r="J903" s="7" t="n"/>
    </row>
    <row r="904">
      <c r="A904" s="6" t="n"/>
      <c r="B904" s="7" t="n"/>
      <c r="C904" s="7" t="n"/>
      <c r="D904" s="7" t="n"/>
      <c r="E904" s="7" t="n"/>
      <c r="F904" s="7" t="n"/>
      <c r="G904" s="8" t="n"/>
      <c r="H904" s="9" t="n"/>
      <c r="I904" s="10">
        <f>IF(G904="","",G904*H904)</f>
        <v/>
      </c>
      <c r="J904" s="7" t="n"/>
    </row>
    <row r="905">
      <c r="A905" s="6" t="n"/>
      <c r="B905" s="7" t="n"/>
      <c r="C905" s="7" t="n"/>
      <c r="D905" s="7" t="n"/>
      <c r="E905" s="7" t="n"/>
      <c r="F905" s="7" t="n"/>
      <c r="G905" s="8" t="n"/>
      <c r="H905" s="9" t="n"/>
      <c r="I905" s="10">
        <f>IF(G905="","",G905*H905)</f>
        <v/>
      </c>
      <c r="J905" s="7" t="n"/>
    </row>
    <row r="906">
      <c r="A906" s="6" t="n"/>
      <c r="B906" s="7" t="n"/>
      <c r="C906" s="7" t="n"/>
      <c r="D906" s="7" t="n"/>
      <c r="E906" s="7" t="n"/>
      <c r="F906" s="7" t="n"/>
      <c r="G906" s="8" t="n"/>
      <c r="H906" s="9" t="n"/>
      <c r="I906" s="10">
        <f>IF(G906="","",G906*H906)</f>
        <v/>
      </c>
      <c r="J906" s="7" t="n"/>
    </row>
    <row r="907">
      <c r="A907" s="6" t="n"/>
      <c r="B907" s="7" t="n"/>
      <c r="C907" s="7" t="n"/>
      <c r="D907" s="7" t="n"/>
      <c r="E907" s="7" t="n"/>
      <c r="F907" s="7" t="n"/>
      <c r="G907" s="8" t="n"/>
      <c r="H907" s="9" t="n"/>
      <c r="I907" s="10">
        <f>IF(G907="","",G907*H907)</f>
        <v/>
      </c>
      <c r="J907" s="7" t="n"/>
    </row>
    <row r="908">
      <c r="A908" s="6" t="n"/>
      <c r="B908" s="7" t="n"/>
      <c r="C908" s="7" t="n"/>
      <c r="D908" s="7" t="n"/>
      <c r="E908" s="7" t="n"/>
      <c r="F908" s="7" t="n"/>
      <c r="G908" s="8" t="n"/>
      <c r="H908" s="9" t="n"/>
      <c r="I908" s="10">
        <f>IF(G908="","",G908*H908)</f>
        <v/>
      </c>
      <c r="J908" s="7" t="n"/>
    </row>
    <row r="909">
      <c r="A909" s="6" t="n"/>
      <c r="B909" s="7" t="n"/>
      <c r="C909" s="7" t="n"/>
      <c r="D909" s="7" t="n"/>
      <c r="E909" s="7" t="n"/>
      <c r="F909" s="7" t="n"/>
      <c r="G909" s="8" t="n"/>
      <c r="H909" s="9" t="n"/>
      <c r="I909" s="10">
        <f>IF(G909="","",G909*H909)</f>
        <v/>
      </c>
      <c r="J909" s="7" t="n"/>
    </row>
    <row r="910">
      <c r="A910" s="6" t="n"/>
      <c r="B910" s="7" t="n"/>
      <c r="C910" s="7" t="n"/>
      <c r="D910" s="7" t="n"/>
      <c r="E910" s="7" t="n"/>
      <c r="F910" s="7" t="n"/>
      <c r="G910" s="8" t="n"/>
      <c r="H910" s="9" t="n"/>
      <c r="I910" s="10">
        <f>IF(G910="","",G910*H910)</f>
        <v/>
      </c>
      <c r="J910" s="7" t="n"/>
    </row>
    <row r="911">
      <c r="A911" s="6" t="n"/>
      <c r="B911" s="7" t="n"/>
      <c r="C911" s="7" t="n"/>
      <c r="D911" s="7" t="n"/>
      <c r="E911" s="7" t="n"/>
      <c r="F911" s="7" t="n"/>
      <c r="G911" s="8" t="n"/>
      <c r="H911" s="9" t="n"/>
      <c r="I911" s="10">
        <f>IF(G911="","",G911*H911)</f>
        <v/>
      </c>
      <c r="J911" s="7" t="n"/>
    </row>
    <row r="912">
      <c r="A912" s="6" t="n"/>
      <c r="B912" s="7" t="n"/>
      <c r="C912" s="7" t="n"/>
      <c r="D912" s="7" t="n"/>
      <c r="E912" s="7" t="n"/>
      <c r="F912" s="7" t="n"/>
      <c r="G912" s="8" t="n"/>
      <c r="H912" s="9" t="n"/>
      <c r="I912" s="10">
        <f>IF(G912="","",G912*H912)</f>
        <v/>
      </c>
      <c r="J912" s="7" t="n"/>
    </row>
    <row r="913">
      <c r="A913" s="6" t="n"/>
      <c r="B913" s="7" t="n"/>
      <c r="C913" s="7" t="n"/>
      <c r="D913" s="7" t="n"/>
      <c r="E913" s="7" t="n"/>
      <c r="F913" s="7" t="n"/>
      <c r="G913" s="8" t="n"/>
      <c r="H913" s="9" t="n"/>
      <c r="I913" s="10">
        <f>IF(G913="","",G913*H913)</f>
        <v/>
      </c>
      <c r="J913" s="7" t="n"/>
    </row>
    <row r="914">
      <c r="A914" s="6" t="n"/>
      <c r="B914" s="7" t="n"/>
      <c r="C914" s="7" t="n"/>
      <c r="D914" s="7" t="n"/>
      <c r="E914" s="7" t="n"/>
      <c r="F914" s="7" t="n"/>
      <c r="G914" s="8" t="n"/>
      <c r="H914" s="9" t="n"/>
      <c r="I914" s="10">
        <f>IF(G914="","",G914*H914)</f>
        <v/>
      </c>
      <c r="J914" s="7" t="n"/>
    </row>
    <row r="915">
      <c r="A915" s="6" t="n"/>
      <c r="B915" s="7" t="n"/>
      <c r="C915" s="7" t="n"/>
      <c r="D915" s="7" t="n"/>
      <c r="E915" s="7" t="n"/>
      <c r="F915" s="7" t="n"/>
      <c r="G915" s="8" t="n"/>
      <c r="H915" s="9" t="n"/>
      <c r="I915" s="10">
        <f>IF(G915="","",G915*H915)</f>
        <v/>
      </c>
      <c r="J915" s="7" t="n"/>
    </row>
    <row r="916">
      <c r="A916" s="6" t="n"/>
      <c r="B916" s="7" t="n"/>
      <c r="C916" s="7" t="n"/>
      <c r="D916" s="7" t="n"/>
      <c r="E916" s="7" t="n"/>
      <c r="F916" s="7" t="n"/>
      <c r="G916" s="8" t="n"/>
      <c r="H916" s="9" t="n"/>
      <c r="I916" s="10">
        <f>IF(G916="","",G916*H916)</f>
        <v/>
      </c>
      <c r="J916" s="7" t="n"/>
    </row>
    <row r="917">
      <c r="A917" s="6" t="n"/>
      <c r="B917" s="7" t="n"/>
      <c r="C917" s="7" t="n"/>
      <c r="D917" s="7" t="n"/>
      <c r="E917" s="7" t="n"/>
      <c r="F917" s="7" t="n"/>
      <c r="G917" s="8" t="n"/>
      <c r="H917" s="9" t="n"/>
      <c r="I917" s="10">
        <f>IF(G917="","",G917*H917)</f>
        <v/>
      </c>
      <c r="J917" s="7" t="n"/>
    </row>
    <row r="918">
      <c r="A918" s="6" t="n"/>
      <c r="B918" s="7" t="n"/>
      <c r="C918" s="7" t="n"/>
      <c r="D918" s="7" t="n"/>
      <c r="E918" s="7" t="n"/>
      <c r="F918" s="7" t="n"/>
      <c r="G918" s="8" t="n"/>
      <c r="H918" s="9" t="n"/>
      <c r="I918" s="10">
        <f>IF(G918="","",G918*H918)</f>
        <v/>
      </c>
      <c r="J918" s="7" t="n"/>
    </row>
    <row r="919">
      <c r="A919" s="6" t="n"/>
      <c r="B919" s="7" t="n"/>
      <c r="C919" s="7" t="n"/>
      <c r="D919" s="7" t="n"/>
      <c r="E919" s="7" t="n"/>
      <c r="F919" s="7" t="n"/>
      <c r="G919" s="8" t="n"/>
      <c r="H919" s="9" t="n"/>
      <c r="I919" s="10">
        <f>IF(G919="","",G919*H919)</f>
        <v/>
      </c>
      <c r="J919" s="7" t="n"/>
    </row>
    <row r="920">
      <c r="A920" s="6" t="n"/>
      <c r="B920" s="7" t="n"/>
      <c r="C920" s="7" t="n"/>
      <c r="D920" s="7" t="n"/>
      <c r="E920" s="7" t="n"/>
      <c r="F920" s="7" t="n"/>
      <c r="G920" s="8" t="n"/>
      <c r="H920" s="9" t="n"/>
      <c r="I920" s="10">
        <f>IF(G920="","",G920*H920)</f>
        <v/>
      </c>
      <c r="J920" s="7" t="n"/>
    </row>
    <row r="921">
      <c r="A921" s="6" t="n"/>
      <c r="B921" s="7" t="n"/>
      <c r="C921" s="7" t="n"/>
      <c r="D921" s="7" t="n"/>
      <c r="E921" s="7" t="n"/>
      <c r="F921" s="7" t="n"/>
      <c r="G921" s="8" t="n"/>
      <c r="H921" s="9" t="n"/>
      <c r="I921" s="10">
        <f>IF(G921="","",G921*H921)</f>
        <v/>
      </c>
      <c r="J921" s="7" t="n"/>
    </row>
    <row r="922">
      <c r="A922" s="6" t="n"/>
      <c r="B922" s="7" t="n"/>
      <c r="C922" s="7" t="n"/>
      <c r="D922" s="7" t="n"/>
      <c r="E922" s="7" t="n"/>
      <c r="F922" s="7" t="n"/>
      <c r="G922" s="8" t="n"/>
      <c r="H922" s="9" t="n"/>
      <c r="I922" s="10">
        <f>IF(G922="","",G922*H922)</f>
        <v/>
      </c>
      <c r="J922" s="7" t="n"/>
    </row>
    <row r="923">
      <c r="A923" s="6" t="n"/>
      <c r="B923" s="7" t="n"/>
      <c r="C923" s="7" t="n"/>
      <c r="D923" s="7" t="n"/>
      <c r="E923" s="7" t="n"/>
      <c r="F923" s="7" t="n"/>
      <c r="G923" s="8" t="n"/>
      <c r="H923" s="9" t="n"/>
      <c r="I923" s="10">
        <f>IF(G923="","",G923*H923)</f>
        <v/>
      </c>
      <c r="J923" s="7" t="n"/>
    </row>
    <row r="924">
      <c r="A924" s="6" t="n"/>
      <c r="B924" s="7" t="n"/>
      <c r="C924" s="7" t="n"/>
      <c r="D924" s="7" t="n"/>
      <c r="E924" s="7" t="n"/>
      <c r="F924" s="7" t="n"/>
      <c r="G924" s="8" t="n"/>
      <c r="H924" s="9" t="n"/>
      <c r="I924" s="10">
        <f>IF(G924="","",G924*H924)</f>
        <v/>
      </c>
      <c r="J924" s="7" t="n"/>
    </row>
    <row r="925">
      <c r="A925" s="6" t="n"/>
      <c r="B925" s="7" t="n"/>
      <c r="C925" s="7" t="n"/>
      <c r="D925" s="7" t="n"/>
      <c r="E925" s="7" t="n"/>
      <c r="F925" s="7" t="n"/>
      <c r="G925" s="8" t="n"/>
      <c r="H925" s="9" t="n"/>
      <c r="I925" s="10">
        <f>IF(G925="","",G925*H925)</f>
        <v/>
      </c>
      <c r="J925" s="7" t="n"/>
    </row>
    <row r="926">
      <c r="A926" s="6" t="n"/>
      <c r="B926" s="7" t="n"/>
      <c r="C926" s="7" t="n"/>
      <c r="D926" s="7" t="n"/>
      <c r="E926" s="7" t="n"/>
      <c r="F926" s="7" t="n"/>
      <c r="G926" s="8" t="n"/>
      <c r="H926" s="9" t="n"/>
      <c r="I926" s="10">
        <f>IF(G926="","",G926*H926)</f>
        <v/>
      </c>
      <c r="J926" s="7" t="n"/>
    </row>
    <row r="927">
      <c r="A927" s="6" t="n"/>
      <c r="B927" s="7" t="n"/>
      <c r="C927" s="7" t="n"/>
      <c r="D927" s="7" t="n"/>
      <c r="E927" s="7" t="n"/>
      <c r="F927" s="7" t="n"/>
      <c r="G927" s="8" t="n"/>
      <c r="H927" s="9" t="n"/>
      <c r="I927" s="10">
        <f>IF(G927="","",G927*H927)</f>
        <v/>
      </c>
      <c r="J927" s="7" t="n"/>
    </row>
    <row r="928">
      <c r="A928" s="6" t="n"/>
      <c r="B928" s="7" t="n"/>
      <c r="C928" s="7" t="n"/>
      <c r="D928" s="7" t="n"/>
      <c r="E928" s="7" t="n"/>
      <c r="F928" s="7" t="n"/>
      <c r="G928" s="8" t="n"/>
      <c r="H928" s="9" t="n"/>
      <c r="I928" s="10">
        <f>IF(G928="","",G928*H928)</f>
        <v/>
      </c>
      <c r="J928" s="7" t="n"/>
    </row>
    <row r="929">
      <c r="A929" s="6" t="n"/>
      <c r="B929" s="7" t="n"/>
      <c r="C929" s="7" t="n"/>
      <c r="D929" s="7" t="n"/>
      <c r="E929" s="7" t="n"/>
      <c r="F929" s="7" t="n"/>
      <c r="G929" s="8" t="n"/>
      <c r="H929" s="9" t="n"/>
      <c r="I929" s="10">
        <f>IF(G929="","",G929*H929)</f>
        <v/>
      </c>
      <c r="J929" s="7" t="n"/>
    </row>
    <row r="930">
      <c r="A930" s="6" t="n"/>
      <c r="B930" s="7" t="n"/>
      <c r="C930" s="7" t="n"/>
      <c r="D930" s="7" t="n"/>
      <c r="E930" s="7" t="n"/>
      <c r="F930" s="7" t="n"/>
      <c r="G930" s="8" t="n"/>
      <c r="H930" s="9" t="n"/>
      <c r="I930" s="10">
        <f>IF(G930="","",G930*H930)</f>
        <v/>
      </c>
      <c r="J930" s="7" t="n"/>
    </row>
    <row r="931">
      <c r="A931" s="6" t="n"/>
      <c r="B931" s="7" t="n"/>
      <c r="C931" s="7" t="n"/>
      <c r="D931" s="7" t="n"/>
      <c r="E931" s="7" t="n"/>
      <c r="F931" s="7" t="n"/>
      <c r="G931" s="8" t="n"/>
      <c r="H931" s="9" t="n"/>
      <c r="I931" s="10">
        <f>IF(G931="","",G931*H931)</f>
        <v/>
      </c>
      <c r="J931" s="7" t="n"/>
    </row>
    <row r="932">
      <c r="A932" s="6" t="n"/>
      <c r="B932" s="7" t="n"/>
      <c r="C932" s="7" t="n"/>
      <c r="D932" s="7" t="n"/>
      <c r="E932" s="7" t="n"/>
      <c r="F932" s="7" t="n"/>
      <c r="G932" s="8" t="n"/>
      <c r="H932" s="9" t="n"/>
      <c r="I932" s="10">
        <f>IF(G932="","",G932*H932)</f>
        <v/>
      </c>
      <c r="J932" s="7" t="n"/>
    </row>
    <row r="933">
      <c r="A933" s="6" t="n"/>
      <c r="B933" s="7" t="n"/>
      <c r="C933" s="7" t="n"/>
      <c r="D933" s="7" t="n"/>
      <c r="E933" s="7" t="n"/>
      <c r="F933" s="7" t="n"/>
      <c r="G933" s="8" t="n"/>
      <c r="H933" s="9" t="n"/>
      <c r="I933" s="10">
        <f>IF(G933="","",G933*H933)</f>
        <v/>
      </c>
      <c r="J933" s="7" t="n"/>
    </row>
    <row r="934">
      <c r="A934" s="6" t="n"/>
      <c r="B934" s="7" t="n"/>
      <c r="C934" s="7" t="n"/>
      <c r="D934" s="7" t="n"/>
      <c r="E934" s="7" t="n"/>
      <c r="F934" s="7" t="n"/>
      <c r="G934" s="8" t="n"/>
      <c r="H934" s="9" t="n"/>
      <c r="I934" s="10">
        <f>IF(G934="","",G934*H934)</f>
        <v/>
      </c>
      <c r="J934" s="7" t="n"/>
    </row>
    <row r="935">
      <c r="A935" s="6" t="n"/>
      <c r="B935" s="7" t="n"/>
      <c r="C935" s="7" t="n"/>
      <c r="D935" s="7" t="n"/>
      <c r="E935" s="7" t="n"/>
      <c r="F935" s="7" t="n"/>
      <c r="G935" s="8" t="n"/>
      <c r="H935" s="9" t="n"/>
      <c r="I935" s="10">
        <f>IF(G935="","",G935*H935)</f>
        <v/>
      </c>
      <c r="J935" s="7" t="n"/>
    </row>
    <row r="936">
      <c r="A936" s="6" t="n"/>
      <c r="B936" s="7" t="n"/>
      <c r="C936" s="7" t="n"/>
      <c r="D936" s="7" t="n"/>
      <c r="E936" s="7" t="n"/>
      <c r="F936" s="7" t="n"/>
      <c r="G936" s="8" t="n"/>
      <c r="H936" s="9" t="n"/>
      <c r="I936" s="10">
        <f>IF(G936="","",G936*H936)</f>
        <v/>
      </c>
      <c r="J936" s="7" t="n"/>
    </row>
    <row r="937">
      <c r="A937" s="6" t="n"/>
      <c r="B937" s="7" t="n"/>
      <c r="C937" s="7" t="n"/>
      <c r="D937" s="7" t="n"/>
      <c r="E937" s="7" t="n"/>
      <c r="F937" s="7" t="n"/>
      <c r="G937" s="8" t="n"/>
      <c r="H937" s="9" t="n"/>
      <c r="I937" s="10">
        <f>IF(G937="","",G937*H937)</f>
        <v/>
      </c>
      <c r="J937" s="7" t="n"/>
    </row>
    <row r="938">
      <c r="A938" s="6" t="n"/>
      <c r="B938" s="7" t="n"/>
      <c r="C938" s="7" t="n"/>
      <c r="D938" s="7" t="n"/>
      <c r="E938" s="7" t="n"/>
      <c r="F938" s="7" t="n"/>
      <c r="G938" s="8" t="n"/>
      <c r="H938" s="9" t="n"/>
      <c r="I938" s="10">
        <f>IF(G938="","",G938*H938)</f>
        <v/>
      </c>
      <c r="J938" s="7" t="n"/>
    </row>
    <row r="939">
      <c r="A939" s="6" t="n"/>
      <c r="B939" s="7" t="n"/>
      <c r="C939" s="7" t="n"/>
      <c r="D939" s="7" t="n"/>
      <c r="E939" s="7" t="n"/>
      <c r="F939" s="7" t="n"/>
      <c r="G939" s="8" t="n"/>
      <c r="H939" s="9" t="n"/>
      <c r="I939" s="10">
        <f>IF(G939="","",G939*H939)</f>
        <v/>
      </c>
      <c r="J939" s="7" t="n"/>
    </row>
    <row r="940">
      <c r="A940" s="6" t="n"/>
      <c r="B940" s="7" t="n"/>
      <c r="C940" s="7" t="n"/>
      <c r="D940" s="7" t="n"/>
      <c r="E940" s="7" t="n"/>
      <c r="F940" s="7" t="n"/>
      <c r="G940" s="8" t="n"/>
      <c r="H940" s="9" t="n"/>
      <c r="I940" s="10">
        <f>IF(G940="","",G940*H940)</f>
        <v/>
      </c>
      <c r="J940" s="7" t="n"/>
    </row>
    <row r="941">
      <c r="A941" s="6" t="n"/>
      <c r="B941" s="7" t="n"/>
      <c r="C941" s="7" t="n"/>
      <c r="D941" s="7" t="n"/>
      <c r="E941" s="7" t="n"/>
      <c r="F941" s="7" t="n"/>
      <c r="G941" s="8" t="n"/>
      <c r="H941" s="9" t="n"/>
      <c r="I941" s="10">
        <f>IF(G941="","",G941*H941)</f>
        <v/>
      </c>
      <c r="J941" s="7" t="n"/>
    </row>
    <row r="942">
      <c r="A942" s="6" t="n"/>
      <c r="B942" s="7" t="n"/>
      <c r="C942" s="7" t="n"/>
      <c r="D942" s="7" t="n"/>
      <c r="E942" s="7" t="n"/>
      <c r="F942" s="7" t="n"/>
      <c r="G942" s="8" t="n"/>
      <c r="H942" s="9" t="n"/>
      <c r="I942" s="10">
        <f>IF(G942="","",G942*H942)</f>
        <v/>
      </c>
      <c r="J942" s="7" t="n"/>
    </row>
    <row r="943">
      <c r="A943" s="6" t="n"/>
      <c r="B943" s="7" t="n"/>
      <c r="C943" s="7" t="n"/>
      <c r="D943" s="7" t="n"/>
      <c r="E943" s="7" t="n"/>
      <c r="F943" s="7" t="n"/>
      <c r="G943" s="8" t="n"/>
      <c r="H943" s="9" t="n"/>
      <c r="I943" s="10">
        <f>IF(G943="","",G943*H943)</f>
        <v/>
      </c>
      <c r="J943" s="7" t="n"/>
    </row>
    <row r="944">
      <c r="A944" s="6" t="n"/>
      <c r="B944" s="7" t="n"/>
      <c r="C944" s="7" t="n"/>
      <c r="D944" s="7" t="n"/>
      <c r="E944" s="7" t="n"/>
      <c r="F944" s="7" t="n"/>
      <c r="G944" s="8" t="n"/>
      <c r="H944" s="9" t="n"/>
      <c r="I944" s="10">
        <f>IF(G944="","",G944*H944)</f>
        <v/>
      </c>
      <c r="J944" s="7" t="n"/>
    </row>
    <row r="945">
      <c r="A945" s="6" t="n"/>
      <c r="B945" s="7" t="n"/>
      <c r="C945" s="7" t="n"/>
      <c r="D945" s="7" t="n"/>
      <c r="E945" s="7" t="n"/>
      <c r="F945" s="7" t="n"/>
      <c r="G945" s="8" t="n"/>
      <c r="H945" s="9" t="n"/>
      <c r="I945" s="10">
        <f>IF(G945="","",G945*H945)</f>
        <v/>
      </c>
      <c r="J945" s="7" t="n"/>
    </row>
    <row r="946">
      <c r="A946" s="6" t="n"/>
      <c r="B946" s="7" t="n"/>
      <c r="C946" s="7" t="n"/>
      <c r="D946" s="7" t="n"/>
      <c r="E946" s="7" t="n"/>
      <c r="F946" s="7" t="n"/>
      <c r="G946" s="8" t="n"/>
      <c r="H946" s="9" t="n"/>
      <c r="I946" s="10">
        <f>IF(G946="","",G946*H946)</f>
        <v/>
      </c>
      <c r="J946" s="7" t="n"/>
    </row>
    <row r="947">
      <c r="A947" s="6" t="n"/>
      <c r="B947" s="7" t="n"/>
      <c r="C947" s="7" t="n"/>
      <c r="D947" s="7" t="n"/>
      <c r="E947" s="7" t="n"/>
      <c r="F947" s="7" t="n"/>
      <c r="G947" s="8" t="n"/>
      <c r="H947" s="9" t="n"/>
      <c r="I947" s="10">
        <f>IF(G947="","",G947*H947)</f>
        <v/>
      </c>
      <c r="J947" s="7" t="n"/>
    </row>
    <row r="948">
      <c r="A948" s="6" t="n"/>
      <c r="B948" s="7" t="n"/>
      <c r="C948" s="7" t="n"/>
      <c r="D948" s="7" t="n"/>
      <c r="E948" s="7" t="n"/>
      <c r="F948" s="7" t="n"/>
      <c r="G948" s="8" t="n"/>
      <c r="H948" s="9" t="n"/>
      <c r="I948" s="10">
        <f>IF(G948="","",G948*H948)</f>
        <v/>
      </c>
      <c r="J948" s="7" t="n"/>
    </row>
    <row r="949">
      <c r="A949" s="6" t="n"/>
      <c r="B949" s="7" t="n"/>
      <c r="C949" s="7" t="n"/>
      <c r="D949" s="7" t="n"/>
      <c r="E949" s="7" t="n"/>
      <c r="F949" s="7" t="n"/>
      <c r="G949" s="8" t="n"/>
      <c r="H949" s="9" t="n"/>
      <c r="I949" s="10">
        <f>IF(G949="","",G949*H949)</f>
        <v/>
      </c>
      <c r="J949" s="7" t="n"/>
    </row>
    <row r="950">
      <c r="A950" s="6" t="n"/>
      <c r="B950" s="7" t="n"/>
      <c r="C950" s="7" t="n"/>
      <c r="D950" s="7" t="n"/>
      <c r="E950" s="7" t="n"/>
      <c r="F950" s="7" t="n"/>
      <c r="G950" s="8" t="n"/>
      <c r="H950" s="9" t="n"/>
      <c r="I950" s="10">
        <f>IF(G950="","",G950*H950)</f>
        <v/>
      </c>
      <c r="J950" s="7" t="n"/>
    </row>
    <row r="951">
      <c r="A951" s="6" t="n"/>
      <c r="B951" s="7" t="n"/>
      <c r="C951" s="7" t="n"/>
      <c r="D951" s="7" t="n"/>
      <c r="E951" s="7" t="n"/>
      <c r="F951" s="7" t="n"/>
      <c r="G951" s="8" t="n"/>
      <c r="H951" s="9" t="n"/>
      <c r="I951" s="10">
        <f>IF(G951="","",G951*H951)</f>
        <v/>
      </c>
      <c r="J951" s="7" t="n"/>
    </row>
    <row r="952">
      <c r="A952" s="6" t="n"/>
      <c r="B952" s="7" t="n"/>
      <c r="C952" s="7" t="n"/>
      <c r="D952" s="7" t="n"/>
      <c r="E952" s="7" t="n"/>
      <c r="F952" s="7" t="n"/>
      <c r="G952" s="8" t="n"/>
      <c r="H952" s="9" t="n"/>
      <c r="I952" s="10">
        <f>IF(G952="","",G952*H952)</f>
        <v/>
      </c>
      <c r="J952" s="7" t="n"/>
    </row>
    <row r="953">
      <c r="A953" s="6" t="n"/>
      <c r="B953" s="7" t="n"/>
      <c r="C953" s="7" t="n"/>
      <c r="D953" s="7" t="n"/>
      <c r="E953" s="7" t="n"/>
      <c r="F953" s="7" t="n"/>
      <c r="G953" s="8" t="n"/>
      <c r="H953" s="9" t="n"/>
      <c r="I953" s="10">
        <f>IF(G953="","",G953*H953)</f>
        <v/>
      </c>
      <c r="J953" s="7" t="n"/>
    </row>
    <row r="954">
      <c r="A954" s="6" t="n"/>
      <c r="B954" s="7" t="n"/>
      <c r="C954" s="7" t="n"/>
      <c r="D954" s="7" t="n"/>
      <c r="E954" s="7" t="n"/>
      <c r="F954" s="7" t="n"/>
      <c r="G954" s="8" t="n"/>
      <c r="H954" s="9" t="n"/>
      <c r="I954" s="10">
        <f>IF(G954="","",G954*H954)</f>
        <v/>
      </c>
      <c r="J954" s="7" t="n"/>
    </row>
    <row r="955">
      <c r="A955" s="6" t="n"/>
      <c r="B955" s="7" t="n"/>
      <c r="C955" s="7" t="n"/>
      <c r="D955" s="7" t="n"/>
      <c r="E955" s="7" t="n"/>
      <c r="F955" s="7" t="n"/>
      <c r="G955" s="8" t="n"/>
      <c r="H955" s="9" t="n"/>
      <c r="I955" s="10">
        <f>IF(G955="","",G955*H955)</f>
        <v/>
      </c>
      <c r="J955" s="7" t="n"/>
    </row>
    <row r="956">
      <c r="A956" s="6" t="n"/>
      <c r="B956" s="7" t="n"/>
      <c r="C956" s="7" t="n"/>
      <c r="D956" s="7" t="n"/>
      <c r="E956" s="7" t="n"/>
      <c r="F956" s="7" t="n"/>
      <c r="G956" s="8" t="n"/>
      <c r="H956" s="9" t="n"/>
      <c r="I956" s="10">
        <f>IF(G956="","",G956*H956)</f>
        <v/>
      </c>
      <c r="J956" s="7" t="n"/>
    </row>
    <row r="957">
      <c r="A957" s="6" t="n"/>
      <c r="B957" s="7" t="n"/>
      <c r="C957" s="7" t="n"/>
      <c r="D957" s="7" t="n"/>
      <c r="E957" s="7" t="n"/>
      <c r="F957" s="7" t="n"/>
      <c r="G957" s="8" t="n"/>
      <c r="H957" s="9" t="n"/>
      <c r="I957" s="10">
        <f>IF(G957="","",G957*H957)</f>
        <v/>
      </c>
      <c r="J957" s="7" t="n"/>
    </row>
    <row r="958">
      <c r="A958" s="6" t="n"/>
      <c r="B958" s="7" t="n"/>
      <c r="C958" s="7" t="n"/>
      <c r="D958" s="7" t="n"/>
      <c r="E958" s="7" t="n"/>
      <c r="F958" s="7" t="n"/>
      <c r="G958" s="8" t="n"/>
      <c r="H958" s="9" t="n"/>
      <c r="I958" s="10">
        <f>IF(G958="","",G958*H958)</f>
        <v/>
      </c>
      <c r="J958" s="7" t="n"/>
    </row>
    <row r="959">
      <c r="A959" s="6" t="n"/>
      <c r="B959" s="7" t="n"/>
      <c r="C959" s="7" t="n"/>
      <c r="D959" s="7" t="n"/>
      <c r="E959" s="7" t="n"/>
      <c r="F959" s="7" t="n"/>
      <c r="G959" s="8" t="n"/>
      <c r="H959" s="9" t="n"/>
      <c r="I959" s="10">
        <f>IF(G959="","",G959*H959)</f>
        <v/>
      </c>
      <c r="J959" s="7" t="n"/>
    </row>
    <row r="960">
      <c r="A960" s="6" t="n"/>
      <c r="B960" s="7" t="n"/>
      <c r="C960" s="7" t="n"/>
      <c r="D960" s="7" t="n"/>
      <c r="E960" s="7" t="n"/>
      <c r="F960" s="7" t="n"/>
      <c r="G960" s="8" t="n"/>
      <c r="H960" s="9" t="n"/>
      <c r="I960" s="10">
        <f>IF(G960="","",G960*H960)</f>
        <v/>
      </c>
      <c r="J960" s="7" t="n"/>
    </row>
    <row r="961">
      <c r="A961" s="6" t="n"/>
      <c r="B961" s="7" t="n"/>
      <c r="C961" s="7" t="n"/>
      <c r="D961" s="7" t="n"/>
      <c r="E961" s="7" t="n"/>
      <c r="F961" s="7" t="n"/>
      <c r="G961" s="8" t="n"/>
      <c r="H961" s="9" t="n"/>
      <c r="I961" s="10">
        <f>IF(G961="","",G961*H961)</f>
        <v/>
      </c>
      <c r="J961" s="7" t="n"/>
    </row>
    <row r="962">
      <c r="A962" s="6" t="n"/>
      <c r="B962" s="7" t="n"/>
      <c r="C962" s="7" t="n"/>
      <c r="D962" s="7" t="n"/>
      <c r="E962" s="7" t="n"/>
      <c r="F962" s="7" t="n"/>
      <c r="G962" s="8" t="n"/>
      <c r="H962" s="9" t="n"/>
      <c r="I962" s="10">
        <f>IF(G962="","",G962*H962)</f>
        <v/>
      </c>
      <c r="J962" s="7" t="n"/>
    </row>
    <row r="963">
      <c r="A963" s="6" t="n"/>
      <c r="B963" s="7" t="n"/>
      <c r="C963" s="7" t="n"/>
      <c r="D963" s="7" t="n"/>
      <c r="E963" s="7" t="n"/>
      <c r="F963" s="7" t="n"/>
      <c r="G963" s="8" t="n"/>
      <c r="H963" s="9" t="n"/>
      <c r="I963" s="10">
        <f>IF(G963="","",G963*H963)</f>
        <v/>
      </c>
      <c r="J963" s="7" t="n"/>
    </row>
    <row r="964">
      <c r="A964" s="6" t="n"/>
      <c r="B964" s="7" t="n"/>
      <c r="C964" s="7" t="n"/>
      <c r="D964" s="7" t="n"/>
      <c r="E964" s="7" t="n"/>
      <c r="F964" s="7" t="n"/>
      <c r="G964" s="8" t="n"/>
      <c r="H964" s="9" t="n"/>
      <c r="I964" s="10">
        <f>IF(G964="","",G964*H964)</f>
        <v/>
      </c>
      <c r="J964" s="7" t="n"/>
    </row>
    <row r="965">
      <c r="A965" s="6" t="n"/>
      <c r="B965" s="7" t="n"/>
      <c r="C965" s="7" t="n"/>
      <c r="D965" s="7" t="n"/>
      <c r="E965" s="7" t="n"/>
      <c r="F965" s="7" t="n"/>
      <c r="G965" s="8" t="n"/>
      <c r="H965" s="9" t="n"/>
      <c r="I965" s="10">
        <f>IF(G965="","",G965*H965)</f>
        <v/>
      </c>
      <c r="J965" s="7" t="n"/>
    </row>
    <row r="966">
      <c r="A966" s="6" t="n"/>
      <c r="B966" s="7" t="n"/>
      <c r="C966" s="7" t="n"/>
      <c r="D966" s="7" t="n"/>
      <c r="E966" s="7" t="n"/>
      <c r="F966" s="7" t="n"/>
      <c r="G966" s="8" t="n"/>
      <c r="H966" s="9" t="n"/>
      <c r="I966" s="10">
        <f>IF(G966="","",G966*H966)</f>
        <v/>
      </c>
      <c r="J966" s="7" t="n"/>
    </row>
    <row r="967">
      <c r="A967" s="6" t="n"/>
      <c r="B967" s="7" t="n"/>
      <c r="C967" s="7" t="n"/>
      <c r="D967" s="7" t="n"/>
      <c r="E967" s="7" t="n"/>
      <c r="F967" s="7" t="n"/>
      <c r="G967" s="8" t="n"/>
      <c r="H967" s="9" t="n"/>
      <c r="I967" s="10">
        <f>IF(G967="","",G967*H967)</f>
        <v/>
      </c>
      <c r="J967" s="7" t="n"/>
    </row>
    <row r="968">
      <c r="A968" s="6" t="n"/>
      <c r="B968" s="7" t="n"/>
      <c r="C968" s="7" t="n"/>
      <c r="D968" s="7" t="n"/>
      <c r="E968" s="7" t="n"/>
      <c r="F968" s="7" t="n"/>
      <c r="G968" s="8" t="n"/>
      <c r="H968" s="9" t="n"/>
      <c r="I968" s="10">
        <f>IF(G968="","",G968*H968)</f>
        <v/>
      </c>
      <c r="J968" s="7" t="n"/>
    </row>
    <row r="969">
      <c r="A969" s="6" t="n"/>
      <c r="B969" s="7" t="n"/>
      <c r="C969" s="7" t="n"/>
      <c r="D969" s="7" t="n"/>
      <c r="E969" s="7" t="n"/>
      <c r="F969" s="7" t="n"/>
      <c r="G969" s="8" t="n"/>
      <c r="H969" s="9" t="n"/>
      <c r="I969" s="10">
        <f>IF(G969="","",G969*H969)</f>
        <v/>
      </c>
      <c r="J969" s="7" t="n"/>
    </row>
    <row r="970">
      <c r="A970" s="6" t="n"/>
      <c r="B970" s="7" t="n"/>
      <c r="C970" s="7" t="n"/>
      <c r="D970" s="7" t="n"/>
      <c r="E970" s="7" t="n"/>
      <c r="F970" s="7" t="n"/>
      <c r="G970" s="8" t="n"/>
      <c r="H970" s="9" t="n"/>
      <c r="I970" s="10">
        <f>IF(G970="","",G970*H970)</f>
        <v/>
      </c>
      <c r="J970" s="7" t="n"/>
    </row>
    <row r="971">
      <c r="A971" s="6" t="n"/>
      <c r="B971" s="7" t="n"/>
      <c r="C971" s="7" t="n"/>
      <c r="D971" s="7" t="n"/>
      <c r="E971" s="7" t="n"/>
      <c r="F971" s="7" t="n"/>
      <c r="G971" s="8" t="n"/>
      <c r="H971" s="9" t="n"/>
      <c r="I971" s="10">
        <f>IF(G971="","",G971*H971)</f>
        <v/>
      </c>
      <c r="J971" s="7" t="n"/>
    </row>
    <row r="972">
      <c r="A972" s="6" t="n"/>
      <c r="B972" s="7" t="n"/>
      <c r="C972" s="7" t="n"/>
      <c r="D972" s="7" t="n"/>
      <c r="E972" s="7" t="n"/>
      <c r="F972" s="7" t="n"/>
      <c r="G972" s="8" t="n"/>
      <c r="H972" s="9" t="n"/>
      <c r="I972" s="10">
        <f>IF(G972="","",G972*H972)</f>
        <v/>
      </c>
      <c r="J972" s="7" t="n"/>
    </row>
    <row r="973">
      <c r="A973" s="6" t="n"/>
      <c r="B973" s="7" t="n"/>
      <c r="C973" s="7" t="n"/>
      <c r="D973" s="7" t="n"/>
      <c r="E973" s="7" t="n"/>
      <c r="F973" s="7" t="n"/>
      <c r="G973" s="8" t="n"/>
      <c r="H973" s="9" t="n"/>
      <c r="I973" s="10">
        <f>IF(G973="","",G973*H973)</f>
        <v/>
      </c>
      <c r="J973" s="7" t="n"/>
    </row>
    <row r="974">
      <c r="A974" s="6" t="n"/>
      <c r="B974" s="7" t="n"/>
      <c r="C974" s="7" t="n"/>
      <c r="D974" s="7" t="n"/>
      <c r="E974" s="7" t="n"/>
      <c r="F974" s="7" t="n"/>
      <c r="G974" s="8" t="n"/>
      <c r="H974" s="9" t="n"/>
      <c r="I974" s="10">
        <f>IF(G974="","",G974*H974)</f>
        <v/>
      </c>
      <c r="J974" s="7" t="n"/>
    </row>
    <row r="975">
      <c r="A975" s="6" t="n"/>
      <c r="B975" s="7" t="n"/>
      <c r="C975" s="7" t="n"/>
      <c r="D975" s="7" t="n"/>
      <c r="E975" s="7" t="n"/>
      <c r="F975" s="7" t="n"/>
      <c r="G975" s="8" t="n"/>
      <c r="H975" s="9" t="n"/>
      <c r="I975" s="10">
        <f>IF(G975="","",G975*H975)</f>
        <v/>
      </c>
      <c r="J975" s="7" t="n"/>
    </row>
    <row r="976">
      <c r="A976" s="6" t="n"/>
      <c r="B976" s="7" t="n"/>
      <c r="C976" s="7" t="n"/>
      <c r="D976" s="7" t="n"/>
      <c r="E976" s="7" t="n"/>
      <c r="F976" s="7" t="n"/>
      <c r="G976" s="8" t="n"/>
      <c r="H976" s="9" t="n"/>
      <c r="I976" s="10">
        <f>IF(G976="","",G976*H976)</f>
        <v/>
      </c>
      <c r="J976" s="7" t="n"/>
    </row>
    <row r="977">
      <c r="A977" s="6" t="n"/>
      <c r="B977" s="7" t="n"/>
      <c r="C977" s="7" t="n"/>
      <c r="D977" s="7" t="n"/>
      <c r="E977" s="7" t="n"/>
      <c r="F977" s="7" t="n"/>
      <c r="G977" s="8" t="n"/>
      <c r="H977" s="9" t="n"/>
      <c r="I977" s="10">
        <f>IF(G977="","",G977*H977)</f>
        <v/>
      </c>
      <c r="J977" s="7" t="n"/>
    </row>
    <row r="978">
      <c r="A978" s="6" t="n"/>
      <c r="B978" s="7" t="n"/>
      <c r="C978" s="7" t="n"/>
      <c r="D978" s="7" t="n"/>
      <c r="E978" s="7" t="n"/>
      <c r="F978" s="7" t="n"/>
      <c r="G978" s="8" t="n"/>
      <c r="H978" s="9" t="n"/>
      <c r="I978" s="10">
        <f>IF(G978="","",G978*H978)</f>
        <v/>
      </c>
      <c r="J978" s="7" t="n"/>
    </row>
    <row r="979">
      <c r="A979" s="6" t="n"/>
      <c r="B979" s="7" t="n"/>
      <c r="C979" s="7" t="n"/>
      <c r="D979" s="7" t="n"/>
      <c r="E979" s="7" t="n"/>
      <c r="F979" s="7" t="n"/>
      <c r="G979" s="8" t="n"/>
      <c r="H979" s="9" t="n"/>
      <c r="I979" s="10">
        <f>IF(G979="","",G979*H979)</f>
        <v/>
      </c>
      <c r="J979" s="7" t="n"/>
    </row>
    <row r="980">
      <c r="A980" s="6" t="n"/>
      <c r="B980" s="7" t="n"/>
      <c r="C980" s="7" t="n"/>
      <c r="D980" s="7" t="n"/>
      <c r="E980" s="7" t="n"/>
      <c r="F980" s="7" t="n"/>
      <c r="G980" s="8" t="n"/>
      <c r="H980" s="9" t="n"/>
      <c r="I980" s="10">
        <f>IF(G980="","",G980*H980)</f>
        <v/>
      </c>
      <c r="J980" s="7" t="n"/>
    </row>
    <row r="981">
      <c r="A981" s="6" t="n"/>
      <c r="B981" s="7" t="n"/>
      <c r="C981" s="7" t="n"/>
      <c r="D981" s="7" t="n"/>
      <c r="E981" s="7" t="n"/>
      <c r="F981" s="7" t="n"/>
      <c r="G981" s="8" t="n"/>
      <c r="H981" s="9" t="n"/>
      <c r="I981" s="10">
        <f>IF(G981="","",G981*H981)</f>
        <v/>
      </c>
      <c r="J981" s="7" t="n"/>
    </row>
    <row r="982">
      <c r="A982" s="6" t="n"/>
      <c r="B982" s="7" t="n"/>
      <c r="C982" s="7" t="n"/>
      <c r="D982" s="7" t="n"/>
      <c r="E982" s="7" t="n"/>
      <c r="F982" s="7" t="n"/>
      <c r="G982" s="8" t="n"/>
      <c r="H982" s="9" t="n"/>
      <c r="I982" s="10">
        <f>IF(G982="","",G982*H982)</f>
        <v/>
      </c>
      <c r="J982" s="7" t="n"/>
    </row>
    <row r="983">
      <c r="A983" s="6" t="n"/>
      <c r="B983" s="7" t="n"/>
      <c r="C983" s="7" t="n"/>
      <c r="D983" s="7" t="n"/>
      <c r="E983" s="7" t="n"/>
      <c r="F983" s="7" t="n"/>
      <c r="G983" s="8" t="n"/>
      <c r="H983" s="9" t="n"/>
      <c r="I983" s="10">
        <f>IF(G983="","",G983*H983)</f>
        <v/>
      </c>
      <c r="J983" s="7" t="n"/>
    </row>
    <row r="984">
      <c r="A984" s="6" t="n"/>
      <c r="B984" s="7" t="n"/>
      <c r="C984" s="7" t="n"/>
      <c r="D984" s="7" t="n"/>
      <c r="E984" s="7" t="n"/>
      <c r="F984" s="7" t="n"/>
      <c r="G984" s="8" t="n"/>
      <c r="H984" s="9" t="n"/>
      <c r="I984" s="10">
        <f>IF(G984="","",G984*H984)</f>
        <v/>
      </c>
      <c r="J984" s="7" t="n"/>
    </row>
    <row r="985">
      <c r="A985" s="6" t="n"/>
      <c r="B985" s="7" t="n"/>
      <c r="C985" s="7" t="n"/>
      <c r="D985" s="7" t="n"/>
      <c r="E985" s="7" t="n"/>
      <c r="F985" s="7" t="n"/>
      <c r="G985" s="8" t="n"/>
      <c r="H985" s="9" t="n"/>
      <c r="I985" s="10">
        <f>IF(G985="","",G985*H985)</f>
        <v/>
      </c>
      <c r="J985" s="7" t="n"/>
    </row>
    <row r="986">
      <c r="A986" s="6" t="n"/>
      <c r="B986" s="7" t="n"/>
      <c r="C986" s="7" t="n"/>
      <c r="D986" s="7" t="n"/>
      <c r="E986" s="7" t="n"/>
      <c r="F986" s="7" t="n"/>
      <c r="G986" s="8" t="n"/>
      <c r="H986" s="9" t="n"/>
      <c r="I986" s="10">
        <f>IF(G986="","",G986*H986)</f>
        <v/>
      </c>
      <c r="J986" s="7" t="n"/>
    </row>
    <row r="987">
      <c r="A987" s="6" t="n"/>
      <c r="B987" s="7" t="n"/>
      <c r="C987" s="7" t="n"/>
      <c r="D987" s="7" t="n"/>
      <c r="E987" s="7" t="n"/>
      <c r="F987" s="7" t="n"/>
      <c r="G987" s="8" t="n"/>
      <c r="H987" s="9" t="n"/>
      <c r="I987" s="10">
        <f>IF(G987="","",G987*H987)</f>
        <v/>
      </c>
      <c r="J987" s="7" t="n"/>
    </row>
    <row r="988">
      <c r="A988" s="6" t="n"/>
      <c r="B988" s="7" t="n"/>
      <c r="C988" s="7" t="n"/>
      <c r="D988" s="7" t="n"/>
      <c r="E988" s="7" t="n"/>
      <c r="F988" s="7" t="n"/>
      <c r="G988" s="8" t="n"/>
      <c r="H988" s="9" t="n"/>
      <c r="I988" s="10">
        <f>IF(G988="","",G988*H988)</f>
        <v/>
      </c>
      <c r="J988" s="7" t="n"/>
    </row>
    <row r="989">
      <c r="A989" s="6" t="n"/>
      <c r="B989" s="7" t="n"/>
      <c r="C989" s="7" t="n"/>
      <c r="D989" s="7" t="n"/>
      <c r="E989" s="7" t="n"/>
      <c r="F989" s="7" t="n"/>
      <c r="G989" s="8" t="n"/>
      <c r="H989" s="9" t="n"/>
      <c r="I989" s="10">
        <f>IF(G989="","",G989*H989)</f>
        <v/>
      </c>
      <c r="J989" s="7" t="n"/>
    </row>
    <row r="990">
      <c r="A990" s="6" t="n"/>
      <c r="B990" s="7" t="n"/>
      <c r="C990" s="7" t="n"/>
      <c r="D990" s="7" t="n"/>
      <c r="E990" s="7" t="n"/>
      <c r="F990" s="7" t="n"/>
      <c r="G990" s="8" t="n"/>
      <c r="H990" s="9" t="n"/>
      <c r="I990" s="10">
        <f>IF(G990="","",G990*H990)</f>
        <v/>
      </c>
      <c r="J990" s="7" t="n"/>
    </row>
    <row r="991">
      <c r="A991" s="6" t="n"/>
      <c r="B991" s="7" t="n"/>
      <c r="C991" s="7" t="n"/>
      <c r="D991" s="7" t="n"/>
      <c r="E991" s="7" t="n"/>
      <c r="F991" s="7" t="n"/>
      <c r="G991" s="8" t="n"/>
      <c r="H991" s="9" t="n"/>
      <c r="I991" s="10">
        <f>IF(G991="","",G991*H991)</f>
        <v/>
      </c>
      <c r="J991" s="7" t="n"/>
    </row>
    <row r="992">
      <c r="A992" s="6" t="n"/>
      <c r="B992" s="7" t="n"/>
      <c r="C992" s="7" t="n"/>
      <c r="D992" s="7" t="n"/>
      <c r="E992" s="7" t="n"/>
      <c r="F992" s="7" t="n"/>
      <c r="G992" s="8" t="n"/>
      <c r="H992" s="9" t="n"/>
      <c r="I992" s="10">
        <f>IF(G992="","",G992*H992)</f>
        <v/>
      </c>
      <c r="J992" s="7" t="n"/>
    </row>
    <row r="993">
      <c r="A993" s="6" t="n"/>
      <c r="B993" s="7" t="n"/>
      <c r="C993" s="7" t="n"/>
      <c r="D993" s="7" t="n"/>
      <c r="E993" s="7" t="n"/>
      <c r="F993" s="7" t="n"/>
      <c r="G993" s="8" t="n"/>
      <c r="H993" s="9" t="n"/>
      <c r="I993" s="10">
        <f>IF(G993="","",G993*H993)</f>
        <v/>
      </c>
      <c r="J993" s="7" t="n"/>
    </row>
    <row r="994">
      <c r="A994" s="6" t="n"/>
      <c r="B994" s="7" t="n"/>
      <c r="C994" s="7" t="n"/>
      <c r="D994" s="7" t="n"/>
      <c r="E994" s="7" t="n"/>
      <c r="F994" s="7" t="n"/>
      <c r="G994" s="8" t="n"/>
      <c r="H994" s="9" t="n"/>
      <c r="I994" s="10">
        <f>IF(G994="","",G994*H994)</f>
        <v/>
      </c>
      <c r="J994" s="7" t="n"/>
    </row>
    <row r="995">
      <c r="A995" s="6" t="n"/>
      <c r="B995" s="7" t="n"/>
      <c r="C995" s="7" t="n"/>
      <c r="D995" s="7" t="n"/>
      <c r="E995" s="7" t="n"/>
      <c r="F995" s="7" t="n"/>
      <c r="G995" s="8" t="n"/>
      <c r="H995" s="9" t="n"/>
      <c r="I995" s="10">
        <f>IF(G995="","",G995*H995)</f>
        <v/>
      </c>
      <c r="J995" s="7" t="n"/>
    </row>
    <row r="996">
      <c r="A996" s="6" t="n"/>
      <c r="B996" s="7" t="n"/>
      <c r="C996" s="7" t="n"/>
      <c r="D996" s="7" t="n"/>
      <c r="E996" s="7" t="n"/>
      <c r="F996" s="7" t="n"/>
      <c r="G996" s="8" t="n"/>
      <c r="H996" s="9" t="n"/>
      <c r="I996" s="10">
        <f>IF(G996="","",G996*H996)</f>
        <v/>
      </c>
      <c r="J996" s="7" t="n"/>
    </row>
    <row r="997">
      <c r="A997" s="6" t="n"/>
      <c r="B997" s="7" t="n"/>
      <c r="C997" s="7" t="n"/>
      <c r="D997" s="7" t="n"/>
      <c r="E997" s="7" t="n"/>
      <c r="F997" s="7" t="n"/>
      <c r="G997" s="8" t="n"/>
      <c r="H997" s="9" t="n"/>
      <c r="I997" s="10">
        <f>IF(G997="","",G997*H997)</f>
        <v/>
      </c>
      <c r="J997" s="7" t="n"/>
    </row>
    <row r="998">
      <c r="A998" s="6" t="n"/>
      <c r="B998" s="7" t="n"/>
      <c r="C998" s="7" t="n"/>
      <c r="D998" s="7" t="n"/>
      <c r="E998" s="7" t="n"/>
      <c r="F998" s="7" t="n"/>
      <c r="G998" s="8" t="n"/>
      <c r="H998" s="9" t="n"/>
      <c r="I998" s="10">
        <f>IF(G998="","",G998*H998)</f>
        <v/>
      </c>
      <c r="J998" s="7" t="n"/>
    </row>
    <row r="999">
      <c r="A999" s="6" t="n"/>
      <c r="B999" s="7" t="n"/>
      <c r="C999" s="7" t="n"/>
      <c r="D999" s="7" t="n"/>
      <c r="E999" s="7" t="n"/>
      <c r="F999" s="7" t="n"/>
      <c r="G999" s="8" t="n"/>
      <c r="H999" s="9" t="n"/>
      <c r="I999" s="10">
        <f>IF(G999="","",G999*H999)</f>
        <v/>
      </c>
      <c r="J999" s="7" t="n"/>
    </row>
    <row r="1000">
      <c r="A1000" s="6" t="n"/>
      <c r="B1000" s="7" t="n"/>
      <c r="C1000" s="7" t="n"/>
      <c r="D1000" s="7" t="n"/>
      <c r="E1000" s="7" t="n"/>
      <c r="F1000" s="7" t="n"/>
      <c r="G1000" s="8" t="n"/>
      <c r="H1000" s="9" t="n"/>
      <c r="I1000" s="10">
        <f>IF(G1000="","",G1000*H1000)</f>
        <v/>
      </c>
      <c r="J1000" s="7" t="n"/>
    </row>
    <row r="1001">
      <c r="A1001" s="6" t="n"/>
      <c r="B1001" s="7" t="n"/>
      <c r="C1001" s="7" t="n"/>
      <c r="D1001" s="7" t="n"/>
      <c r="E1001" s="7" t="n"/>
      <c r="F1001" s="7" t="n"/>
      <c r="G1001" s="8" t="n"/>
      <c r="H1001" s="9" t="n"/>
      <c r="I1001" s="10">
        <f>IF(G1001="","",G1001*H1001)</f>
        <v/>
      </c>
      <c r="J1001" s="7" t="n"/>
    </row>
    <row r="1002">
      <c r="A1002" s="6" t="n"/>
      <c r="B1002" s="7" t="n"/>
      <c r="C1002" s="7" t="n"/>
      <c r="D1002" s="7" t="n"/>
      <c r="E1002" s="7" t="n"/>
      <c r="F1002" s="7" t="n"/>
      <c r="G1002" s="8" t="n"/>
      <c r="H1002" s="9" t="n"/>
      <c r="I1002" s="10">
        <f>IF(G1002="","",G1002*H1002)</f>
        <v/>
      </c>
      <c r="J1002" s="7" t="n"/>
    </row>
    <row r="1003">
      <c r="A1003" s="6" t="n"/>
      <c r="B1003" s="7" t="n"/>
      <c r="C1003" s="7" t="n"/>
      <c r="D1003" s="7" t="n"/>
      <c r="E1003" s="7" t="n"/>
      <c r="F1003" s="7" t="n"/>
      <c r="G1003" s="8" t="n"/>
      <c r="H1003" s="9" t="n"/>
      <c r="I1003" s="10">
        <f>IF(G1003="","",G1003*H1003)</f>
        <v/>
      </c>
      <c r="J1003" s="7" t="n"/>
    </row>
    <row r="1004">
      <c r="A1004" s="6" t="n"/>
      <c r="B1004" s="7" t="n"/>
      <c r="C1004" s="7" t="n"/>
      <c r="D1004" s="7" t="n"/>
      <c r="E1004" s="7" t="n"/>
      <c r="F1004" s="7" t="n"/>
      <c r="G1004" s="8" t="n"/>
      <c r="H1004" s="9" t="n"/>
      <c r="I1004" s="10">
        <f>IF(G1004="","",G1004*H1004)</f>
        <v/>
      </c>
      <c r="J1004" s="7" t="n"/>
    </row>
    <row r="1005">
      <c r="A1005" s="6" t="n"/>
      <c r="B1005" s="7" t="n"/>
      <c r="C1005" s="7" t="n"/>
      <c r="D1005" s="7" t="n"/>
      <c r="E1005" s="7" t="n"/>
      <c r="F1005" s="7" t="n"/>
      <c r="G1005" s="8" t="n"/>
      <c r="H1005" s="9" t="n"/>
      <c r="I1005" s="10">
        <f>IF(G1005="","",G1005*H1005)</f>
        <v/>
      </c>
      <c r="J1005" s="7" t="n"/>
    </row>
    <row r="1006">
      <c r="A1006" s="6" t="n"/>
      <c r="B1006" s="7" t="n"/>
      <c r="C1006" s="7" t="n"/>
      <c r="D1006" s="7" t="n"/>
      <c r="E1006" s="7" t="n"/>
      <c r="F1006" s="7" t="n"/>
      <c r="G1006" s="8" t="n"/>
      <c r="H1006" s="9" t="n"/>
      <c r="I1006" s="10">
        <f>IF(G1006="","",G1006*H1006)</f>
        <v/>
      </c>
      <c r="J1006" s="7" t="n"/>
    </row>
    <row r="1007">
      <c r="A1007" s="6" t="n"/>
      <c r="B1007" s="7" t="n"/>
      <c r="C1007" s="7" t="n"/>
      <c r="D1007" s="7" t="n"/>
      <c r="E1007" s="7" t="n"/>
      <c r="F1007" s="7" t="n"/>
      <c r="G1007" s="8" t="n"/>
      <c r="H1007" s="9" t="n"/>
      <c r="I1007" s="10">
        <f>IF(G1007="","",G1007*H1007)</f>
        <v/>
      </c>
      <c r="J1007" s="7" t="n"/>
    </row>
    <row r="1008">
      <c r="A1008" s="6" t="n"/>
      <c r="B1008" s="7" t="n"/>
      <c r="C1008" s="7" t="n"/>
      <c r="D1008" s="7" t="n"/>
      <c r="E1008" s="7" t="n"/>
      <c r="F1008" s="7" t="n"/>
      <c r="G1008" s="8" t="n"/>
      <c r="H1008" s="9" t="n"/>
      <c r="I1008" s="10">
        <f>IF(G1008="","",G1008*H1008)</f>
        <v/>
      </c>
      <c r="J1008" s="7" t="n"/>
    </row>
    <row r="1009">
      <c r="A1009" s="6" t="n"/>
      <c r="B1009" s="7" t="n"/>
      <c r="C1009" s="7" t="n"/>
      <c r="D1009" s="7" t="n"/>
      <c r="E1009" s="7" t="n"/>
      <c r="F1009" s="7" t="n"/>
      <c r="G1009" s="8" t="n"/>
      <c r="H1009" s="9" t="n"/>
      <c r="I1009" s="10">
        <f>IF(G1009="","",G1009*H1009)</f>
        <v/>
      </c>
      <c r="J1009" s="7" t="n"/>
    </row>
    <row r="1010">
      <c r="A1010" s="6" t="n"/>
      <c r="B1010" s="7" t="n"/>
      <c r="C1010" s="7" t="n"/>
      <c r="D1010" s="7" t="n"/>
      <c r="E1010" s="7" t="n"/>
      <c r="F1010" s="7" t="n"/>
      <c r="G1010" s="8" t="n"/>
      <c r="H1010" s="9" t="n"/>
      <c r="I1010" s="10">
        <f>IF(G1010="","",G1010*H1010)</f>
        <v/>
      </c>
      <c r="J1010" s="7" t="n"/>
    </row>
    <row r="1011">
      <c r="A1011" s="6" t="n"/>
      <c r="B1011" s="7" t="n"/>
      <c r="C1011" s="7" t="n"/>
      <c r="D1011" s="7" t="n"/>
      <c r="E1011" s="7" t="n"/>
      <c r="F1011" s="7" t="n"/>
      <c r="G1011" s="8" t="n"/>
      <c r="H1011" s="9" t="n"/>
      <c r="I1011" s="10">
        <f>IF(G1011="","",G1011*H1011)</f>
        <v/>
      </c>
      <c r="J1011" s="7" t="n"/>
    </row>
    <row r="1012">
      <c r="A1012" s="6" t="n"/>
      <c r="B1012" s="7" t="n"/>
      <c r="C1012" s="7" t="n"/>
      <c r="D1012" s="7" t="n"/>
      <c r="E1012" s="7" t="n"/>
      <c r="F1012" s="7" t="n"/>
      <c r="G1012" s="8" t="n"/>
      <c r="H1012" s="9" t="n"/>
      <c r="I1012" s="10">
        <f>IF(G1012="","",G1012*H1012)</f>
        <v/>
      </c>
      <c r="J1012" s="7" t="n"/>
    </row>
    <row r="1013">
      <c r="A1013" s="6" t="n"/>
      <c r="B1013" s="7" t="n"/>
      <c r="C1013" s="7" t="n"/>
      <c r="D1013" s="7" t="n"/>
      <c r="E1013" s="7" t="n"/>
      <c r="F1013" s="7" t="n"/>
      <c r="G1013" s="8" t="n"/>
      <c r="H1013" s="9" t="n"/>
      <c r="I1013" s="10">
        <f>IF(G1013="","",G1013*H1013)</f>
        <v/>
      </c>
      <c r="J1013" s="7" t="n"/>
    </row>
    <row r="1014">
      <c r="A1014" s="6" t="n"/>
      <c r="B1014" s="7" t="n"/>
      <c r="C1014" s="7" t="n"/>
      <c r="D1014" s="7" t="n"/>
      <c r="E1014" s="7" t="n"/>
      <c r="F1014" s="7" t="n"/>
      <c r="G1014" s="8" t="n"/>
      <c r="H1014" s="9" t="n"/>
      <c r="I1014" s="10">
        <f>IF(G1014="","",G1014*H1014)</f>
        <v/>
      </c>
      <c r="J1014" s="7" t="n"/>
    </row>
    <row r="1015">
      <c r="A1015" s="6" t="n"/>
      <c r="B1015" s="7" t="n"/>
      <c r="C1015" s="7" t="n"/>
      <c r="D1015" s="7" t="n"/>
      <c r="E1015" s="7" t="n"/>
      <c r="F1015" s="7" t="n"/>
      <c r="G1015" s="8" t="n"/>
      <c r="H1015" s="9" t="n"/>
      <c r="I1015" s="10">
        <f>IF(G1015="","",G1015*H1015)</f>
        <v/>
      </c>
      <c r="J1015" s="7" t="n"/>
    </row>
    <row r="1016">
      <c r="A1016" s="6" t="n"/>
      <c r="B1016" s="7" t="n"/>
      <c r="C1016" s="7" t="n"/>
      <c r="D1016" s="7" t="n"/>
      <c r="E1016" s="7" t="n"/>
      <c r="F1016" s="7" t="n"/>
      <c r="G1016" s="8" t="n"/>
      <c r="H1016" s="9" t="n"/>
      <c r="I1016" s="10">
        <f>IF(G1016="","",G1016*H1016)</f>
        <v/>
      </c>
      <c r="J1016" s="7" t="n"/>
    </row>
    <row r="1017">
      <c r="A1017" s="6" t="n"/>
      <c r="B1017" s="7" t="n"/>
      <c r="C1017" s="7" t="n"/>
      <c r="D1017" s="7" t="n"/>
      <c r="E1017" s="7" t="n"/>
      <c r="F1017" s="7" t="n"/>
      <c r="G1017" s="8" t="n"/>
      <c r="H1017" s="9" t="n"/>
      <c r="I1017" s="10">
        <f>IF(G1017="","",G1017*H1017)</f>
        <v/>
      </c>
      <c r="J1017" s="7" t="n"/>
    </row>
    <row r="1018">
      <c r="A1018" s="6" t="n"/>
      <c r="B1018" s="7" t="n"/>
      <c r="C1018" s="7" t="n"/>
      <c r="D1018" s="7" t="n"/>
      <c r="E1018" s="7" t="n"/>
      <c r="F1018" s="7" t="n"/>
      <c r="G1018" s="8" t="n"/>
      <c r="H1018" s="9" t="n"/>
      <c r="I1018" s="10">
        <f>IF(G1018="","",G1018*H1018)</f>
        <v/>
      </c>
      <c r="J1018" s="7" t="n"/>
    </row>
    <row r="1019">
      <c r="A1019" s="6" t="n"/>
      <c r="B1019" s="7" t="n"/>
      <c r="C1019" s="7" t="n"/>
      <c r="D1019" s="7" t="n"/>
      <c r="E1019" s="7" t="n"/>
      <c r="F1019" s="7" t="n"/>
      <c r="G1019" s="8" t="n"/>
      <c r="H1019" s="9" t="n"/>
      <c r="I1019" s="10">
        <f>IF(G1019="","",G1019*H1019)</f>
        <v/>
      </c>
      <c r="J1019" s="7" t="n"/>
    </row>
    <row r="1020">
      <c r="A1020" s="6" t="n"/>
      <c r="B1020" s="7" t="n"/>
      <c r="C1020" s="7" t="n"/>
      <c r="D1020" s="7" t="n"/>
      <c r="E1020" s="7" t="n"/>
      <c r="F1020" s="7" t="n"/>
      <c r="G1020" s="8" t="n"/>
      <c r="H1020" s="9" t="n"/>
      <c r="I1020" s="10">
        <f>IF(G1020="","",G1020*H1020)</f>
        <v/>
      </c>
      <c r="J1020" s="7" t="n"/>
    </row>
    <row r="1021">
      <c r="A1021" s="6" t="n"/>
      <c r="B1021" s="7" t="n"/>
      <c r="C1021" s="7" t="n"/>
      <c r="D1021" s="7" t="n"/>
      <c r="E1021" s="7" t="n"/>
      <c r="F1021" s="7" t="n"/>
      <c r="G1021" s="8" t="n"/>
      <c r="H1021" s="9" t="n"/>
      <c r="I1021" s="10">
        <f>IF(G1021="","",G1021*H1021)</f>
        <v/>
      </c>
      <c r="J1021" s="7" t="n"/>
    </row>
    <row r="1022">
      <c r="A1022" s="6" t="n"/>
      <c r="B1022" s="7" t="n"/>
      <c r="C1022" s="7" t="n"/>
      <c r="D1022" s="7" t="n"/>
      <c r="E1022" s="7" t="n"/>
      <c r="F1022" s="7" t="n"/>
      <c r="G1022" s="8" t="n"/>
      <c r="H1022" s="9" t="n"/>
      <c r="I1022" s="10">
        <f>IF(G1022="","",G1022*H1022)</f>
        <v/>
      </c>
      <c r="J1022" s="7" t="n"/>
    </row>
    <row r="1023">
      <c r="A1023" s="6" t="n"/>
      <c r="B1023" s="7" t="n"/>
      <c r="C1023" s="7" t="n"/>
      <c r="D1023" s="7" t="n"/>
      <c r="E1023" s="7" t="n"/>
      <c r="F1023" s="7" t="n"/>
      <c r="G1023" s="8" t="n"/>
      <c r="H1023" s="9" t="n"/>
      <c r="I1023" s="10">
        <f>IF(G1023="","",G1023*H1023)</f>
        <v/>
      </c>
      <c r="J1023" s="7" t="n"/>
    </row>
    <row r="1024">
      <c r="A1024" s="6" t="n"/>
      <c r="B1024" s="7" t="n"/>
      <c r="C1024" s="7" t="n"/>
      <c r="D1024" s="7" t="n"/>
      <c r="E1024" s="7" t="n"/>
      <c r="F1024" s="7" t="n"/>
      <c r="G1024" s="8" t="n"/>
      <c r="H1024" s="9" t="n"/>
      <c r="I1024" s="10">
        <f>IF(G1024="","",G1024*H1024)</f>
        <v/>
      </c>
      <c r="J1024" s="7" t="n"/>
    </row>
    <row r="1025">
      <c r="A1025" s="6" t="n"/>
      <c r="B1025" s="7" t="n"/>
      <c r="C1025" s="7" t="n"/>
      <c r="D1025" s="7" t="n"/>
      <c r="E1025" s="7" t="n"/>
      <c r="F1025" s="7" t="n"/>
      <c r="G1025" s="8" t="n"/>
      <c r="H1025" s="9" t="n"/>
      <c r="I1025" s="10">
        <f>IF(G1025="","",G1025*H1025)</f>
        <v/>
      </c>
      <c r="J1025" s="7" t="n"/>
    </row>
    <row r="1026">
      <c r="A1026" s="6" t="n"/>
      <c r="B1026" s="7" t="n"/>
      <c r="C1026" s="7" t="n"/>
      <c r="D1026" s="7" t="n"/>
      <c r="E1026" s="7" t="n"/>
      <c r="F1026" s="7" t="n"/>
      <c r="G1026" s="8" t="n"/>
      <c r="H1026" s="9" t="n"/>
      <c r="I1026" s="10">
        <f>IF(G1026="","",G1026*H1026)</f>
        <v/>
      </c>
      <c r="J1026" s="7" t="n"/>
    </row>
    <row r="1027">
      <c r="A1027" s="6" t="n"/>
      <c r="B1027" s="7" t="n"/>
      <c r="C1027" s="7" t="n"/>
      <c r="D1027" s="7" t="n"/>
      <c r="E1027" s="7" t="n"/>
      <c r="F1027" s="7" t="n"/>
      <c r="G1027" s="8" t="n"/>
      <c r="H1027" s="9" t="n"/>
      <c r="I1027" s="10">
        <f>IF(G1027="","",G1027*H1027)</f>
        <v/>
      </c>
      <c r="J1027" s="7" t="n"/>
    </row>
    <row r="1028">
      <c r="A1028" s="6" t="n"/>
      <c r="B1028" s="7" t="n"/>
      <c r="C1028" s="7" t="n"/>
      <c r="D1028" s="7" t="n"/>
      <c r="E1028" s="7" t="n"/>
      <c r="F1028" s="7" t="n"/>
      <c r="G1028" s="8" t="n"/>
      <c r="H1028" s="9" t="n"/>
      <c r="I1028" s="10">
        <f>IF(G1028="","",G1028*H1028)</f>
        <v/>
      </c>
      <c r="J1028" s="7" t="n"/>
    </row>
    <row r="1029">
      <c r="A1029" s="6" t="n"/>
      <c r="B1029" s="7" t="n"/>
      <c r="C1029" s="7" t="n"/>
      <c r="D1029" s="7" t="n"/>
      <c r="E1029" s="7" t="n"/>
      <c r="F1029" s="7" t="n"/>
      <c r="G1029" s="8" t="n"/>
      <c r="H1029" s="9" t="n"/>
      <c r="I1029" s="10">
        <f>IF(G1029="","",G1029*H1029)</f>
        <v/>
      </c>
      <c r="J1029" s="7" t="n"/>
    </row>
    <row r="1030">
      <c r="A1030" s="6" t="n"/>
      <c r="B1030" s="7" t="n"/>
      <c r="C1030" s="7" t="n"/>
      <c r="D1030" s="7" t="n"/>
      <c r="E1030" s="7" t="n"/>
      <c r="F1030" s="7" t="n"/>
      <c r="G1030" s="8" t="n"/>
      <c r="H1030" s="9" t="n"/>
      <c r="I1030" s="10">
        <f>IF(G1030="","",G1030*H1030)</f>
        <v/>
      </c>
      <c r="J1030" s="7" t="n"/>
    </row>
    <row r="1031">
      <c r="A1031" s="6" t="n"/>
      <c r="B1031" s="7" t="n"/>
      <c r="C1031" s="7" t="n"/>
      <c r="D1031" s="7" t="n"/>
      <c r="E1031" s="7" t="n"/>
      <c r="F1031" s="7" t="n"/>
      <c r="G1031" s="8" t="n"/>
      <c r="H1031" s="9" t="n"/>
      <c r="I1031" s="10">
        <f>IF(G1031="","",G1031*H1031)</f>
        <v/>
      </c>
      <c r="J1031" s="7" t="n"/>
    </row>
    <row r="1032">
      <c r="A1032" s="6" t="n"/>
      <c r="B1032" s="7" t="n"/>
      <c r="C1032" s="7" t="n"/>
      <c r="D1032" s="7" t="n"/>
      <c r="E1032" s="7" t="n"/>
      <c r="F1032" s="7" t="n"/>
      <c r="G1032" s="8" t="n"/>
      <c r="H1032" s="9" t="n"/>
      <c r="I1032" s="10">
        <f>IF(G1032="","",G1032*H1032)</f>
        <v/>
      </c>
      <c r="J1032" s="7" t="n"/>
    </row>
    <row r="1033">
      <c r="A1033" s="6" t="n"/>
      <c r="B1033" s="7" t="n"/>
      <c r="C1033" s="7" t="n"/>
      <c r="D1033" s="7" t="n"/>
      <c r="E1033" s="7" t="n"/>
      <c r="F1033" s="7" t="n"/>
      <c r="G1033" s="8" t="n"/>
      <c r="H1033" s="9" t="n"/>
      <c r="I1033" s="10">
        <f>IF(G1033="","",G1033*H1033)</f>
        <v/>
      </c>
      <c r="J1033" s="7" t="n"/>
    </row>
    <row r="1034">
      <c r="A1034" s="6" t="n"/>
      <c r="B1034" s="7" t="n"/>
      <c r="C1034" s="7" t="n"/>
      <c r="D1034" s="7" t="n"/>
      <c r="E1034" s="7" t="n"/>
      <c r="F1034" s="7" t="n"/>
      <c r="G1034" s="8" t="n"/>
      <c r="H1034" s="9" t="n"/>
      <c r="I1034" s="10">
        <f>IF(G1034="","",G1034*H1034)</f>
        <v/>
      </c>
      <c r="J1034" s="7" t="n"/>
    </row>
    <row r="1035">
      <c r="A1035" s="6" t="n"/>
      <c r="B1035" s="7" t="n"/>
      <c r="C1035" s="7" t="n"/>
      <c r="D1035" s="7" t="n"/>
      <c r="E1035" s="7" t="n"/>
      <c r="F1035" s="7" t="n"/>
      <c r="G1035" s="8" t="n"/>
      <c r="H1035" s="9" t="n"/>
      <c r="I1035" s="10">
        <f>IF(G1035="","",G1035*H1035)</f>
        <v/>
      </c>
      <c r="J1035" s="7" t="n"/>
    </row>
    <row r="1036">
      <c r="A1036" s="6" t="n"/>
      <c r="B1036" s="7" t="n"/>
      <c r="C1036" s="7" t="n"/>
      <c r="D1036" s="7" t="n"/>
      <c r="E1036" s="7" t="n"/>
      <c r="F1036" s="7" t="n"/>
      <c r="G1036" s="8" t="n"/>
      <c r="H1036" s="9" t="n"/>
      <c r="I1036" s="10">
        <f>IF(G1036="","",G1036*H1036)</f>
        <v/>
      </c>
      <c r="J1036" s="7" t="n"/>
    </row>
    <row r="1037">
      <c r="A1037" s="6" t="n"/>
      <c r="B1037" s="7" t="n"/>
      <c r="C1037" s="7" t="n"/>
      <c r="D1037" s="7" t="n"/>
      <c r="E1037" s="7" t="n"/>
      <c r="F1037" s="7" t="n"/>
      <c r="G1037" s="8" t="n"/>
      <c r="H1037" s="9" t="n"/>
      <c r="I1037" s="10">
        <f>IF(G1037="","",G1037*H1037)</f>
        <v/>
      </c>
      <c r="J1037" s="7" t="n"/>
    </row>
    <row r="1038">
      <c r="A1038" s="6" t="n"/>
      <c r="B1038" s="7" t="n"/>
      <c r="C1038" s="7" t="n"/>
      <c r="D1038" s="7" t="n"/>
      <c r="E1038" s="7" t="n"/>
      <c r="F1038" s="7" t="n"/>
      <c r="G1038" s="8" t="n"/>
      <c r="H1038" s="9" t="n"/>
      <c r="I1038" s="10">
        <f>IF(G1038="","",G1038*H1038)</f>
        <v/>
      </c>
      <c r="J1038" s="7" t="n"/>
    </row>
    <row r="1039">
      <c r="A1039" s="6" t="n"/>
      <c r="B1039" s="7" t="n"/>
      <c r="C1039" s="7" t="n"/>
      <c r="D1039" s="7" t="n"/>
      <c r="E1039" s="7" t="n"/>
      <c r="F1039" s="7" t="n"/>
      <c r="G1039" s="8" t="n"/>
      <c r="H1039" s="9" t="n"/>
      <c r="I1039" s="10">
        <f>IF(G1039="","",G1039*H1039)</f>
        <v/>
      </c>
      <c r="J1039" s="7" t="n"/>
    </row>
    <row r="1040">
      <c r="A1040" s="6" t="n"/>
      <c r="B1040" s="7" t="n"/>
      <c r="C1040" s="7" t="n"/>
      <c r="D1040" s="7" t="n"/>
      <c r="E1040" s="7" t="n"/>
      <c r="F1040" s="7" t="n"/>
      <c r="G1040" s="8" t="n"/>
      <c r="H1040" s="9" t="n"/>
      <c r="I1040" s="10">
        <f>IF(G1040="","",G1040*H1040)</f>
        <v/>
      </c>
      <c r="J1040" s="7" t="n"/>
    </row>
    <row r="1041">
      <c r="A1041" s="6" t="n"/>
      <c r="B1041" s="7" t="n"/>
      <c r="C1041" s="7" t="n"/>
      <c r="D1041" s="7" t="n"/>
      <c r="E1041" s="7" t="n"/>
      <c r="F1041" s="7" t="n"/>
      <c r="G1041" s="8" t="n"/>
      <c r="H1041" s="9" t="n"/>
      <c r="I1041" s="10">
        <f>IF(G1041="","",G1041*H1041)</f>
        <v/>
      </c>
      <c r="J1041" s="7" t="n"/>
    </row>
    <row r="1042">
      <c r="A1042" s="6" t="n"/>
      <c r="B1042" s="7" t="n"/>
      <c r="C1042" s="7" t="n"/>
      <c r="D1042" s="7" t="n"/>
      <c r="E1042" s="7" t="n"/>
      <c r="F1042" s="7" t="n"/>
      <c r="G1042" s="8" t="n"/>
      <c r="H1042" s="9" t="n"/>
      <c r="I1042" s="10">
        <f>IF(G1042="","",G1042*H1042)</f>
        <v/>
      </c>
      <c r="J1042" s="7" t="n"/>
    </row>
    <row r="1043">
      <c r="A1043" s="6" t="n"/>
      <c r="B1043" s="7" t="n"/>
      <c r="C1043" s="7" t="n"/>
      <c r="D1043" s="7" t="n"/>
      <c r="E1043" s="7" t="n"/>
      <c r="F1043" s="7" t="n"/>
      <c r="G1043" s="8" t="n"/>
      <c r="H1043" s="9" t="n"/>
      <c r="I1043" s="10">
        <f>IF(G1043="","",G1043*H1043)</f>
        <v/>
      </c>
      <c r="J1043" s="7" t="n"/>
    </row>
    <row r="1044">
      <c r="A1044" s="6" t="n"/>
      <c r="B1044" s="7" t="n"/>
      <c r="C1044" s="7" t="n"/>
      <c r="D1044" s="7" t="n"/>
      <c r="E1044" s="7" t="n"/>
      <c r="F1044" s="7" t="n"/>
      <c r="G1044" s="8" t="n"/>
      <c r="H1044" s="9" t="n"/>
      <c r="I1044" s="10">
        <f>IF(G1044="","",G1044*H1044)</f>
        <v/>
      </c>
      <c r="J1044" s="7" t="n"/>
    </row>
    <row r="1045">
      <c r="A1045" s="6" t="n"/>
      <c r="B1045" s="7" t="n"/>
      <c r="C1045" s="7" t="n"/>
      <c r="D1045" s="7" t="n"/>
      <c r="E1045" s="7" t="n"/>
      <c r="F1045" s="7" t="n"/>
      <c r="G1045" s="8" t="n"/>
      <c r="H1045" s="9" t="n"/>
      <c r="I1045" s="10">
        <f>IF(G1045="","",G1045*H1045)</f>
        <v/>
      </c>
      <c r="J1045" s="7" t="n"/>
    </row>
    <row r="1046">
      <c r="A1046" s="6" t="n"/>
      <c r="B1046" s="7" t="n"/>
      <c r="C1046" s="7" t="n"/>
      <c r="D1046" s="7" t="n"/>
      <c r="E1046" s="7" t="n"/>
      <c r="F1046" s="7" t="n"/>
      <c r="G1046" s="8" t="n"/>
      <c r="H1046" s="9" t="n"/>
      <c r="I1046" s="10">
        <f>IF(G1046="","",G1046*H1046)</f>
        <v/>
      </c>
      <c r="J1046" s="7" t="n"/>
    </row>
    <row r="1047">
      <c r="A1047" s="6" t="n"/>
      <c r="B1047" s="7" t="n"/>
      <c r="C1047" s="7" t="n"/>
      <c r="D1047" s="7" t="n"/>
      <c r="E1047" s="7" t="n"/>
      <c r="F1047" s="7" t="n"/>
      <c r="G1047" s="8" t="n"/>
      <c r="H1047" s="9" t="n"/>
      <c r="I1047" s="10">
        <f>IF(G1047="","",G1047*H1047)</f>
        <v/>
      </c>
      <c r="J1047" s="7" t="n"/>
    </row>
    <row r="1048">
      <c r="A1048" s="6" t="n"/>
      <c r="B1048" s="7" t="n"/>
      <c r="C1048" s="7" t="n"/>
      <c r="D1048" s="7" t="n"/>
      <c r="E1048" s="7" t="n"/>
      <c r="F1048" s="7" t="n"/>
      <c r="G1048" s="8" t="n"/>
      <c r="H1048" s="9" t="n"/>
      <c r="I1048" s="10">
        <f>IF(G1048="","",G1048*H1048)</f>
        <v/>
      </c>
      <c r="J1048" s="7" t="n"/>
    </row>
    <row r="1049">
      <c r="A1049" s="6" t="n"/>
      <c r="B1049" s="7" t="n"/>
      <c r="C1049" s="7" t="n"/>
      <c r="D1049" s="7" t="n"/>
      <c r="E1049" s="7" t="n"/>
      <c r="F1049" s="7" t="n"/>
      <c r="G1049" s="8" t="n"/>
      <c r="H1049" s="9" t="n"/>
      <c r="I1049" s="10">
        <f>IF(G1049="","",G1049*H1049)</f>
        <v/>
      </c>
      <c r="J1049" s="7" t="n"/>
    </row>
    <row r="1050">
      <c r="A1050" s="6" t="n"/>
      <c r="B1050" s="7" t="n"/>
      <c r="C1050" s="7" t="n"/>
      <c r="D1050" s="7" t="n"/>
      <c r="E1050" s="7" t="n"/>
      <c r="F1050" s="7" t="n"/>
      <c r="G1050" s="8" t="n"/>
      <c r="H1050" s="9" t="n"/>
      <c r="I1050" s="10">
        <f>IF(G1050="","",G1050*H1050)</f>
        <v/>
      </c>
      <c r="J1050" s="7" t="n"/>
    </row>
    <row r="1051">
      <c r="A1051" s="6" t="n"/>
      <c r="B1051" s="7" t="n"/>
      <c r="C1051" s="7" t="n"/>
      <c r="D1051" s="7" t="n"/>
      <c r="E1051" s="7" t="n"/>
      <c r="F1051" s="7" t="n"/>
      <c r="G1051" s="8" t="n"/>
      <c r="H1051" s="9" t="n"/>
      <c r="I1051" s="10">
        <f>IF(G1051="","",G1051*H1051)</f>
        <v/>
      </c>
      <c r="J1051" s="7" t="n"/>
    </row>
    <row r="1052">
      <c r="A1052" s="6" t="n"/>
      <c r="B1052" s="7" t="n"/>
      <c r="C1052" s="7" t="n"/>
      <c r="D1052" s="7" t="n"/>
      <c r="E1052" s="7" t="n"/>
      <c r="F1052" s="7" t="n"/>
      <c r="G1052" s="8" t="n"/>
      <c r="H1052" s="9" t="n"/>
      <c r="I1052" s="10">
        <f>IF(G1052="","",G1052*H1052)</f>
        <v/>
      </c>
      <c r="J1052" s="7" t="n"/>
    </row>
    <row r="1053">
      <c r="A1053" s="6" t="n"/>
      <c r="B1053" s="7" t="n"/>
      <c r="C1053" s="7" t="n"/>
      <c r="D1053" s="7" t="n"/>
      <c r="E1053" s="7" t="n"/>
      <c r="F1053" s="7" t="n"/>
      <c r="G1053" s="8" t="n"/>
      <c r="H1053" s="9" t="n"/>
      <c r="I1053" s="10">
        <f>IF(G1053="","",G1053*H1053)</f>
        <v/>
      </c>
      <c r="J1053" s="7" t="n"/>
    </row>
    <row r="1054">
      <c r="A1054" s="6" t="n"/>
      <c r="B1054" s="7" t="n"/>
      <c r="C1054" s="7" t="n"/>
      <c r="D1054" s="7" t="n"/>
      <c r="E1054" s="7" t="n"/>
      <c r="F1054" s="7" t="n"/>
      <c r="G1054" s="8" t="n"/>
      <c r="H1054" s="9" t="n"/>
      <c r="I1054" s="10">
        <f>IF(G1054="","",G1054*H1054)</f>
        <v/>
      </c>
      <c r="J1054" s="7" t="n"/>
    </row>
    <row r="1055">
      <c r="A1055" s="6" t="n"/>
      <c r="B1055" s="7" t="n"/>
      <c r="C1055" s="7" t="n"/>
      <c r="D1055" s="7" t="n"/>
      <c r="E1055" s="7" t="n"/>
      <c r="F1055" s="7" t="n"/>
      <c r="G1055" s="8" t="n"/>
      <c r="H1055" s="9" t="n"/>
      <c r="I1055" s="10">
        <f>IF(G1055="","",G1055*H1055)</f>
        <v/>
      </c>
      <c r="J1055" s="7" t="n"/>
    </row>
    <row r="1056">
      <c r="A1056" s="6" t="n"/>
      <c r="B1056" s="7" t="n"/>
      <c r="C1056" s="7" t="n"/>
      <c r="D1056" s="7" t="n"/>
      <c r="E1056" s="7" t="n"/>
      <c r="F1056" s="7" t="n"/>
      <c r="G1056" s="8" t="n"/>
      <c r="H1056" s="9" t="n"/>
      <c r="I1056" s="10">
        <f>IF(G1056="","",G1056*H1056)</f>
        <v/>
      </c>
      <c r="J1056" s="7" t="n"/>
    </row>
    <row r="1057">
      <c r="A1057" s="6" t="n"/>
      <c r="B1057" s="7" t="n"/>
      <c r="C1057" s="7" t="n"/>
      <c r="D1057" s="7" t="n"/>
      <c r="E1057" s="7" t="n"/>
      <c r="F1057" s="7" t="n"/>
      <c r="G1057" s="8" t="n"/>
      <c r="H1057" s="9" t="n"/>
      <c r="I1057" s="10">
        <f>IF(G1057="","",G1057*H1057)</f>
        <v/>
      </c>
      <c r="J1057" s="7" t="n"/>
    </row>
    <row r="1058">
      <c r="A1058" s="6" t="n"/>
      <c r="B1058" s="7" t="n"/>
      <c r="C1058" s="7" t="n"/>
      <c r="D1058" s="7" t="n"/>
      <c r="E1058" s="7" t="n"/>
      <c r="F1058" s="7" t="n"/>
      <c r="G1058" s="8" t="n"/>
      <c r="H1058" s="9" t="n"/>
      <c r="I1058" s="10">
        <f>IF(G1058="","",G1058*H1058)</f>
        <v/>
      </c>
      <c r="J1058" s="7" t="n"/>
    </row>
    <row r="1059">
      <c r="A1059" s="6" t="n"/>
      <c r="B1059" s="7" t="n"/>
      <c r="C1059" s="7" t="n"/>
      <c r="D1059" s="7" t="n"/>
      <c r="E1059" s="7" t="n"/>
      <c r="F1059" s="7" t="n"/>
      <c r="G1059" s="8" t="n"/>
      <c r="H1059" s="9" t="n"/>
      <c r="I1059" s="10">
        <f>IF(G1059="","",G1059*H1059)</f>
        <v/>
      </c>
      <c r="J1059" s="7" t="n"/>
    </row>
    <row r="1060">
      <c r="A1060" s="6" t="n"/>
      <c r="B1060" s="7" t="n"/>
      <c r="C1060" s="7" t="n"/>
      <c r="D1060" s="7" t="n"/>
      <c r="E1060" s="7" t="n"/>
      <c r="F1060" s="7" t="n"/>
      <c r="G1060" s="8" t="n"/>
      <c r="H1060" s="9" t="n"/>
      <c r="I1060" s="10">
        <f>IF(G1060="","",G1060*H1060)</f>
        <v/>
      </c>
      <c r="J1060" s="7" t="n"/>
    </row>
    <row r="1061">
      <c r="A1061" s="6" t="n"/>
      <c r="B1061" s="7" t="n"/>
      <c r="C1061" s="7" t="n"/>
      <c r="D1061" s="7" t="n"/>
      <c r="E1061" s="7" t="n"/>
      <c r="F1061" s="7" t="n"/>
      <c r="G1061" s="8" t="n"/>
      <c r="H1061" s="9" t="n"/>
      <c r="I1061" s="10">
        <f>IF(G1061="","",G1061*H1061)</f>
        <v/>
      </c>
      <c r="J1061" s="7" t="n"/>
    </row>
    <row r="1062">
      <c r="A1062" s="6" t="n"/>
      <c r="B1062" s="7" t="n"/>
      <c r="C1062" s="7" t="n"/>
      <c r="D1062" s="7" t="n"/>
      <c r="E1062" s="7" t="n"/>
      <c r="F1062" s="7" t="n"/>
      <c r="G1062" s="8" t="n"/>
      <c r="H1062" s="9" t="n"/>
      <c r="I1062" s="10">
        <f>IF(G1062="","",G1062*H1062)</f>
        <v/>
      </c>
      <c r="J1062" s="7" t="n"/>
    </row>
    <row r="1063">
      <c r="A1063" s="6" t="n"/>
      <c r="B1063" s="7" t="n"/>
      <c r="C1063" s="7" t="n"/>
      <c r="D1063" s="7" t="n"/>
      <c r="E1063" s="7" t="n"/>
      <c r="F1063" s="7" t="n"/>
      <c r="G1063" s="8" t="n"/>
      <c r="H1063" s="9" t="n"/>
      <c r="I1063" s="10">
        <f>IF(G1063="","",G1063*H1063)</f>
        <v/>
      </c>
      <c r="J1063" s="7" t="n"/>
    </row>
    <row r="1064">
      <c r="A1064" s="6" t="n"/>
      <c r="B1064" s="7" t="n"/>
      <c r="C1064" s="7" t="n"/>
      <c r="D1064" s="7" t="n"/>
      <c r="E1064" s="7" t="n"/>
      <c r="F1064" s="7" t="n"/>
      <c r="G1064" s="8" t="n"/>
      <c r="H1064" s="9" t="n"/>
      <c r="I1064" s="10">
        <f>IF(G1064="","",G1064*H1064)</f>
        <v/>
      </c>
      <c r="J1064" s="7" t="n"/>
    </row>
    <row r="1065">
      <c r="A1065" s="6" t="n"/>
      <c r="B1065" s="7" t="n"/>
      <c r="C1065" s="7" t="n"/>
      <c r="D1065" s="7" t="n"/>
      <c r="E1065" s="7" t="n"/>
      <c r="F1065" s="7" t="n"/>
      <c r="G1065" s="8" t="n"/>
      <c r="H1065" s="9" t="n"/>
      <c r="I1065" s="10">
        <f>IF(G1065="","",G1065*H1065)</f>
        <v/>
      </c>
      <c r="J1065" s="7" t="n"/>
    </row>
    <row r="1066">
      <c r="A1066" s="6" t="n"/>
      <c r="B1066" s="7" t="n"/>
      <c r="C1066" s="7" t="n"/>
      <c r="D1066" s="7" t="n"/>
      <c r="E1066" s="7" t="n"/>
      <c r="F1066" s="7" t="n"/>
      <c r="G1066" s="8" t="n"/>
      <c r="H1066" s="9" t="n"/>
      <c r="I1066" s="10">
        <f>IF(G1066="","",G1066*H1066)</f>
        <v/>
      </c>
      <c r="J1066" s="7" t="n"/>
    </row>
    <row r="1067">
      <c r="A1067" s="6" t="n"/>
      <c r="B1067" s="7" t="n"/>
      <c r="C1067" s="7" t="n"/>
      <c r="D1067" s="7" t="n"/>
      <c r="E1067" s="7" t="n"/>
      <c r="F1067" s="7" t="n"/>
      <c r="G1067" s="8" t="n"/>
      <c r="H1067" s="9" t="n"/>
      <c r="I1067" s="10">
        <f>IF(G1067="","",G1067*H1067)</f>
        <v/>
      </c>
      <c r="J1067" s="7" t="n"/>
    </row>
    <row r="1068">
      <c r="A1068" s="6" t="n"/>
      <c r="B1068" s="7" t="n"/>
      <c r="C1068" s="7" t="n"/>
      <c r="D1068" s="7" t="n"/>
      <c r="E1068" s="7" t="n"/>
      <c r="F1068" s="7" t="n"/>
      <c r="G1068" s="8" t="n"/>
      <c r="H1068" s="9" t="n"/>
      <c r="I1068" s="10">
        <f>IF(G1068="","",G1068*H1068)</f>
        <v/>
      </c>
      <c r="J1068" s="7" t="n"/>
    </row>
    <row r="1069">
      <c r="A1069" s="6" t="n"/>
      <c r="B1069" s="7" t="n"/>
      <c r="C1069" s="7" t="n"/>
      <c r="D1069" s="7" t="n"/>
      <c r="E1069" s="7" t="n"/>
      <c r="F1069" s="7" t="n"/>
      <c r="G1069" s="8" t="n"/>
      <c r="H1069" s="9" t="n"/>
      <c r="I1069" s="10">
        <f>IF(G1069="","",G1069*H1069)</f>
        <v/>
      </c>
      <c r="J1069" s="7" t="n"/>
    </row>
    <row r="1070">
      <c r="A1070" s="6" t="n"/>
      <c r="B1070" s="7" t="n"/>
      <c r="C1070" s="7" t="n"/>
      <c r="D1070" s="7" t="n"/>
      <c r="E1070" s="7" t="n"/>
      <c r="F1070" s="7" t="n"/>
      <c r="G1070" s="8" t="n"/>
      <c r="H1070" s="9" t="n"/>
      <c r="I1070" s="10">
        <f>IF(G1070="","",G1070*H1070)</f>
        <v/>
      </c>
      <c r="J1070" s="7" t="n"/>
    </row>
    <row r="1071">
      <c r="A1071" s="6" t="n"/>
      <c r="B1071" s="7" t="n"/>
      <c r="C1071" s="7" t="n"/>
      <c r="D1071" s="7" t="n"/>
      <c r="E1071" s="7" t="n"/>
      <c r="F1071" s="7" t="n"/>
      <c r="G1071" s="8" t="n"/>
      <c r="H1071" s="9" t="n"/>
      <c r="I1071" s="10">
        <f>IF(G1071="","",G1071*H1071)</f>
        <v/>
      </c>
      <c r="J1071" s="7" t="n"/>
    </row>
    <row r="1072">
      <c r="A1072" s="6" t="n"/>
      <c r="B1072" s="7" t="n"/>
      <c r="C1072" s="7" t="n"/>
      <c r="D1072" s="7" t="n"/>
      <c r="E1072" s="7" t="n"/>
      <c r="F1072" s="7" t="n"/>
      <c r="G1072" s="8" t="n"/>
      <c r="H1072" s="9" t="n"/>
      <c r="I1072" s="10">
        <f>IF(G1072="","",G1072*H1072)</f>
        <v/>
      </c>
      <c r="J1072" s="7" t="n"/>
    </row>
    <row r="1073">
      <c r="A1073" s="6" t="n"/>
      <c r="B1073" s="7" t="n"/>
      <c r="C1073" s="7" t="n"/>
      <c r="D1073" s="7" t="n"/>
      <c r="E1073" s="7" t="n"/>
      <c r="F1073" s="7" t="n"/>
      <c r="G1073" s="8" t="n"/>
      <c r="H1073" s="9" t="n"/>
      <c r="I1073" s="10">
        <f>IF(G1073="","",G1073*H1073)</f>
        <v/>
      </c>
      <c r="J1073" s="7" t="n"/>
    </row>
    <row r="1074">
      <c r="A1074" s="6" t="n"/>
      <c r="B1074" s="7" t="n"/>
      <c r="C1074" s="7" t="n"/>
      <c r="D1074" s="7" t="n"/>
      <c r="E1074" s="7" t="n"/>
      <c r="F1074" s="7" t="n"/>
      <c r="G1074" s="8" t="n"/>
      <c r="H1074" s="9" t="n"/>
      <c r="I1074" s="10">
        <f>IF(G1074="","",G1074*H1074)</f>
        <v/>
      </c>
      <c r="J1074" s="7" t="n"/>
    </row>
    <row r="1075">
      <c r="A1075" s="6" t="n"/>
      <c r="B1075" s="7" t="n"/>
      <c r="C1075" s="7" t="n"/>
      <c r="D1075" s="7" t="n"/>
      <c r="E1075" s="7" t="n"/>
      <c r="F1075" s="7" t="n"/>
      <c r="G1075" s="8" t="n"/>
      <c r="H1075" s="9" t="n"/>
      <c r="I1075" s="10">
        <f>IF(G1075="","",G1075*H1075)</f>
        <v/>
      </c>
      <c r="J1075" s="7" t="n"/>
    </row>
    <row r="1076">
      <c r="A1076" s="6" t="n"/>
      <c r="B1076" s="7" t="n"/>
      <c r="C1076" s="7" t="n"/>
      <c r="D1076" s="7" t="n"/>
      <c r="E1076" s="7" t="n"/>
      <c r="F1076" s="7" t="n"/>
      <c r="G1076" s="8" t="n"/>
      <c r="H1076" s="9" t="n"/>
      <c r="I1076" s="10">
        <f>IF(G1076="","",G1076*H1076)</f>
        <v/>
      </c>
      <c r="J1076" s="7" t="n"/>
    </row>
    <row r="1077">
      <c r="A1077" s="6" t="n"/>
      <c r="B1077" s="7" t="n"/>
      <c r="C1077" s="7" t="n"/>
      <c r="D1077" s="7" t="n"/>
      <c r="E1077" s="7" t="n"/>
      <c r="F1077" s="7" t="n"/>
      <c r="G1077" s="8" t="n"/>
      <c r="H1077" s="9" t="n"/>
      <c r="I1077" s="10">
        <f>IF(G1077="","",G1077*H1077)</f>
        <v/>
      </c>
      <c r="J1077" s="7" t="n"/>
    </row>
    <row r="1078">
      <c r="A1078" s="6" t="n"/>
      <c r="B1078" s="7" t="n"/>
      <c r="C1078" s="7" t="n"/>
      <c r="D1078" s="7" t="n"/>
      <c r="E1078" s="7" t="n"/>
      <c r="F1078" s="7" t="n"/>
      <c r="G1078" s="8" t="n"/>
      <c r="H1078" s="9" t="n"/>
      <c r="I1078" s="10">
        <f>IF(G1078="","",G1078*H1078)</f>
        <v/>
      </c>
      <c r="J1078" s="7" t="n"/>
    </row>
    <row r="1079">
      <c r="A1079" s="6" t="n"/>
      <c r="B1079" s="7" t="n"/>
      <c r="C1079" s="7" t="n"/>
      <c r="D1079" s="7" t="n"/>
      <c r="E1079" s="7" t="n"/>
      <c r="F1079" s="7" t="n"/>
      <c r="G1079" s="8" t="n"/>
      <c r="H1079" s="9" t="n"/>
      <c r="I1079" s="10">
        <f>IF(G1079="","",G1079*H1079)</f>
        <v/>
      </c>
      <c r="J1079" s="7" t="n"/>
    </row>
    <row r="1080">
      <c r="A1080" s="6" t="n"/>
      <c r="B1080" s="7" t="n"/>
      <c r="C1080" s="7" t="n"/>
      <c r="D1080" s="7" t="n"/>
      <c r="E1080" s="7" t="n"/>
      <c r="F1080" s="7" t="n"/>
      <c r="G1080" s="8" t="n"/>
      <c r="H1080" s="9" t="n"/>
      <c r="I1080" s="10">
        <f>IF(G1080="","",G1080*H1080)</f>
        <v/>
      </c>
      <c r="J1080" s="7" t="n"/>
    </row>
    <row r="1081">
      <c r="A1081" s="6" t="n"/>
      <c r="B1081" s="7" t="n"/>
      <c r="C1081" s="7" t="n"/>
      <c r="D1081" s="7" t="n"/>
      <c r="E1081" s="7" t="n"/>
      <c r="F1081" s="7" t="n"/>
      <c r="G1081" s="8" t="n"/>
      <c r="H1081" s="9" t="n"/>
      <c r="I1081" s="10">
        <f>IF(G1081="","",G1081*H1081)</f>
        <v/>
      </c>
      <c r="J1081" s="7" t="n"/>
    </row>
    <row r="1082">
      <c r="A1082" s="6" t="n"/>
      <c r="B1082" s="7" t="n"/>
      <c r="C1082" s="7" t="n"/>
      <c r="D1082" s="7" t="n"/>
      <c r="E1082" s="7" t="n"/>
      <c r="F1082" s="7" t="n"/>
      <c r="G1082" s="8" t="n"/>
      <c r="H1082" s="9" t="n"/>
      <c r="I1082" s="10">
        <f>IF(G1082="","",G1082*H1082)</f>
        <v/>
      </c>
      <c r="J1082" s="7" t="n"/>
    </row>
    <row r="1083">
      <c r="A1083" s="6" t="n"/>
      <c r="B1083" s="7" t="n"/>
      <c r="C1083" s="7" t="n"/>
      <c r="D1083" s="7" t="n"/>
      <c r="E1083" s="7" t="n"/>
      <c r="F1083" s="7" t="n"/>
      <c r="G1083" s="8" t="n"/>
      <c r="H1083" s="9" t="n"/>
      <c r="I1083" s="10">
        <f>IF(G1083="","",G1083*H1083)</f>
        <v/>
      </c>
      <c r="J1083" s="7" t="n"/>
    </row>
    <row r="1084">
      <c r="A1084" s="6" t="n"/>
      <c r="B1084" s="7" t="n"/>
      <c r="C1084" s="7" t="n"/>
      <c r="D1084" s="7" t="n"/>
      <c r="E1084" s="7" t="n"/>
      <c r="F1084" s="7" t="n"/>
      <c r="G1084" s="8" t="n"/>
      <c r="H1084" s="9" t="n"/>
      <c r="I1084" s="10">
        <f>IF(G1084="","",G1084*H1084)</f>
        <v/>
      </c>
      <c r="J1084" s="7" t="n"/>
    </row>
    <row r="1085">
      <c r="A1085" s="6" t="n"/>
      <c r="B1085" s="7" t="n"/>
      <c r="C1085" s="7" t="n"/>
      <c r="D1085" s="7" t="n"/>
      <c r="E1085" s="7" t="n"/>
      <c r="F1085" s="7" t="n"/>
      <c r="G1085" s="8" t="n"/>
      <c r="H1085" s="9" t="n"/>
      <c r="I1085" s="10">
        <f>IF(G1085="","",G1085*H1085)</f>
        <v/>
      </c>
      <c r="J1085" s="7" t="n"/>
    </row>
    <row r="1086">
      <c r="A1086" s="6" t="n"/>
      <c r="B1086" s="7" t="n"/>
      <c r="C1086" s="7" t="n"/>
      <c r="D1086" s="7" t="n"/>
      <c r="E1086" s="7" t="n"/>
      <c r="F1086" s="7" t="n"/>
      <c r="G1086" s="8" t="n"/>
      <c r="H1086" s="9" t="n"/>
      <c r="I1086" s="10">
        <f>IF(G1086="","",G1086*H1086)</f>
        <v/>
      </c>
      <c r="J1086" s="7" t="n"/>
    </row>
    <row r="1087">
      <c r="A1087" s="6" t="n"/>
      <c r="B1087" s="7" t="n"/>
      <c r="C1087" s="7" t="n"/>
      <c r="D1087" s="7" t="n"/>
      <c r="E1087" s="7" t="n"/>
      <c r="F1087" s="7" t="n"/>
      <c r="G1087" s="8" t="n"/>
      <c r="H1087" s="9" t="n"/>
      <c r="I1087" s="10">
        <f>IF(G1087="","",G1087*H1087)</f>
        <v/>
      </c>
      <c r="J1087" s="7" t="n"/>
    </row>
    <row r="1088">
      <c r="A1088" s="6" t="n"/>
      <c r="B1088" s="7" t="n"/>
      <c r="C1088" s="7" t="n"/>
      <c r="D1088" s="7" t="n"/>
      <c r="E1088" s="7" t="n"/>
      <c r="F1088" s="7" t="n"/>
      <c r="G1088" s="8" t="n"/>
      <c r="H1088" s="9" t="n"/>
      <c r="I1088" s="10">
        <f>IF(G1088="","",G1088*H1088)</f>
        <v/>
      </c>
      <c r="J1088" s="7" t="n"/>
    </row>
    <row r="1089">
      <c r="A1089" s="6" t="n"/>
      <c r="B1089" s="7" t="n"/>
      <c r="C1089" s="7" t="n"/>
      <c r="D1089" s="7" t="n"/>
      <c r="E1089" s="7" t="n"/>
      <c r="F1089" s="7" t="n"/>
      <c r="G1089" s="8" t="n"/>
      <c r="H1089" s="9" t="n"/>
      <c r="I1089" s="10">
        <f>IF(G1089="","",G1089*H1089)</f>
        <v/>
      </c>
      <c r="J1089" s="7" t="n"/>
    </row>
    <row r="1090">
      <c r="A1090" s="6" t="n"/>
      <c r="B1090" s="7" t="n"/>
      <c r="C1090" s="7" t="n"/>
      <c r="D1090" s="7" t="n"/>
      <c r="E1090" s="7" t="n"/>
      <c r="F1090" s="7" t="n"/>
      <c r="G1090" s="8" t="n"/>
      <c r="H1090" s="9" t="n"/>
      <c r="I1090" s="10">
        <f>IF(G1090="","",G1090*H1090)</f>
        <v/>
      </c>
      <c r="J1090" s="7" t="n"/>
    </row>
    <row r="1091">
      <c r="A1091" s="6" t="n"/>
      <c r="B1091" s="7" t="n"/>
      <c r="C1091" s="7" t="n"/>
      <c r="D1091" s="7" t="n"/>
      <c r="E1091" s="7" t="n"/>
      <c r="F1091" s="7" t="n"/>
      <c r="G1091" s="8" t="n"/>
      <c r="H1091" s="9" t="n"/>
      <c r="I1091" s="10">
        <f>IF(G1091="","",G1091*H1091)</f>
        <v/>
      </c>
      <c r="J1091" s="7" t="n"/>
    </row>
    <row r="1092">
      <c r="A1092" s="6" t="n"/>
      <c r="B1092" s="7" t="n"/>
      <c r="C1092" s="7" t="n"/>
      <c r="D1092" s="7" t="n"/>
      <c r="E1092" s="7" t="n"/>
      <c r="F1092" s="7" t="n"/>
      <c r="G1092" s="8" t="n"/>
      <c r="H1092" s="9" t="n"/>
      <c r="I1092" s="10">
        <f>IF(G1092="","",G1092*H1092)</f>
        <v/>
      </c>
      <c r="J1092" s="7" t="n"/>
    </row>
    <row r="1093">
      <c r="A1093" s="6" t="n"/>
      <c r="B1093" s="7" t="n"/>
      <c r="C1093" s="7" t="n"/>
      <c r="D1093" s="7" t="n"/>
      <c r="E1093" s="7" t="n"/>
      <c r="F1093" s="7" t="n"/>
      <c r="G1093" s="8" t="n"/>
      <c r="H1093" s="9" t="n"/>
      <c r="I1093" s="10">
        <f>IF(G1093="","",G1093*H1093)</f>
        <v/>
      </c>
      <c r="J1093" s="7" t="n"/>
    </row>
    <row r="1094">
      <c r="A1094" s="6" t="n"/>
      <c r="B1094" s="7" t="n"/>
      <c r="C1094" s="7" t="n"/>
      <c r="D1094" s="7" t="n"/>
      <c r="E1094" s="7" t="n"/>
      <c r="F1094" s="7" t="n"/>
      <c r="G1094" s="8" t="n"/>
      <c r="H1094" s="9" t="n"/>
      <c r="I1094" s="10">
        <f>IF(G1094="","",G1094*H1094)</f>
        <v/>
      </c>
      <c r="J1094" s="7" t="n"/>
    </row>
    <row r="1095">
      <c r="A1095" s="6" t="n"/>
      <c r="B1095" s="7" t="n"/>
      <c r="C1095" s="7" t="n"/>
      <c r="D1095" s="7" t="n"/>
      <c r="E1095" s="7" t="n"/>
      <c r="F1095" s="7" t="n"/>
      <c r="G1095" s="8" t="n"/>
      <c r="H1095" s="9" t="n"/>
      <c r="I1095" s="10">
        <f>IF(G1095="","",G1095*H1095)</f>
        <v/>
      </c>
      <c r="J1095" s="7" t="n"/>
    </row>
    <row r="1096">
      <c r="A1096" s="6" t="n"/>
      <c r="B1096" s="7" t="n"/>
      <c r="C1096" s="7" t="n"/>
      <c r="D1096" s="7" t="n"/>
      <c r="E1096" s="7" t="n"/>
      <c r="F1096" s="7" t="n"/>
      <c r="G1096" s="8" t="n"/>
      <c r="H1096" s="9" t="n"/>
      <c r="I1096" s="10">
        <f>IF(G1096="","",G1096*H1096)</f>
        <v/>
      </c>
      <c r="J1096" s="7" t="n"/>
    </row>
    <row r="1097">
      <c r="A1097" s="6" t="n"/>
      <c r="B1097" s="7" t="n"/>
      <c r="C1097" s="7" t="n"/>
      <c r="D1097" s="7" t="n"/>
      <c r="E1097" s="7" t="n"/>
      <c r="F1097" s="7" t="n"/>
      <c r="G1097" s="8" t="n"/>
      <c r="H1097" s="9" t="n"/>
      <c r="I1097" s="10">
        <f>IF(G1097="","",G1097*H1097)</f>
        <v/>
      </c>
      <c r="J1097" s="7" t="n"/>
    </row>
    <row r="1098">
      <c r="A1098" s="6" t="n"/>
      <c r="B1098" s="7" t="n"/>
      <c r="C1098" s="7" t="n"/>
      <c r="D1098" s="7" t="n"/>
      <c r="E1098" s="7" t="n"/>
      <c r="F1098" s="7" t="n"/>
      <c r="G1098" s="8" t="n"/>
      <c r="H1098" s="9" t="n"/>
      <c r="I1098" s="10">
        <f>IF(G1098="","",G1098*H1098)</f>
        <v/>
      </c>
      <c r="J1098" s="7" t="n"/>
    </row>
    <row r="1099">
      <c r="A1099" s="6" t="n"/>
      <c r="B1099" s="7" t="n"/>
      <c r="C1099" s="7" t="n"/>
      <c r="D1099" s="7" t="n"/>
      <c r="E1099" s="7" t="n"/>
      <c r="F1099" s="7" t="n"/>
      <c r="G1099" s="8" t="n"/>
      <c r="H1099" s="9" t="n"/>
      <c r="I1099" s="10">
        <f>IF(G1099="","",G1099*H1099)</f>
        <v/>
      </c>
      <c r="J1099" s="7" t="n"/>
    </row>
    <row r="1100">
      <c r="A1100" s="6" t="n"/>
      <c r="B1100" s="7" t="n"/>
      <c r="C1100" s="7" t="n"/>
      <c r="D1100" s="7" t="n"/>
      <c r="E1100" s="7" t="n"/>
      <c r="F1100" s="7" t="n"/>
      <c r="G1100" s="8" t="n"/>
      <c r="H1100" s="9" t="n"/>
      <c r="I1100" s="10">
        <f>IF(G1100="","",G1100*H1100)</f>
        <v/>
      </c>
      <c r="J1100" s="7" t="n"/>
    </row>
    <row r="1101">
      <c r="A1101" s="6" t="n"/>
      <c r="B1101" s="7" t="n"/>
      <c r="C1101" s="7" t="n"/>
      <c r="D1101" s="7" t="n"/>
      <c r="E1101" s="7" t="n"/>
      <c r="F1101" s="7" t="n"/>
      <c r="G1101" s="8" t="n"/>
      <c r="H1101" s="9" t="n"/>
      <c r="I1101" s="10">
        <f>IF(G1101="","",G1101*H1101)</f>
        <v/>
      </c>
      <c r="J1101" s="7" t="n"/>
    </row>
    <row r="1102">
      <c r="A1102" s="6" t="n"/>
      <c r="B1102" s="7" t="n"/>
      <c r="C1102" s="7" t="n"/>
      <c r="D1102" s="7" t="n"/>
      <c r="E1102" s="7" t="n"/>
      <c r="F1102" s="7" t="n"/>
      <c r="G1102" s="8" t="n"/>
      <c r="H1102" s="9" t="n"/>
      <c r="I1102" s="10">
        <f>IF(G1102="","",G1102*H1102)</f>
        <v/>
      </c>
      <c r="J1102" s="7" t="n"/>
    </row>
    <row r="1103">
      <c r="A1103" s="6" t="n"/>
      <c r="B1103" s="7" t="n"/>
      <c r="C1103" s="7" t="n"/>
      <c r="D1103" s="7" t="n"/>
      <c r="E1103" s="7" t="n"/>
      <c r="F1103" s="7" t="n"/>
      <c r="G1103" s="8" t="n"/>
      <c r="H1103" s="9" t="n"/>
      <c r="I1103" s="10">
        <f>IF(G1103="","",G1103*H1103)</f>
        <v/>
      </c>
      <c r="J1103" s="7" t="n"/>
    </row>
    <row r="1104">
      <c r="A1104" s="6" t="n"/>
      <c r="B1104" s="7" t="n"/>
      <c r="C1104" s="7" t="n"/>
      <c r="D1104" s="7" t="n"/>
      <c r="E1104" s="7" t="n"/>
      <c r="F1104" s="7" t="n"/>
      <c r="G1104" s="8" t="n"/>
      <c r="H1104" s="9" t="n"/>
      <c r="I1104" s="10">
        <f>IF(G1104="","",G1104*H1104)</f>
        <v/>
      </c>
      <c r="J1104" s="7" t="n"/>
    </row>
    <row r="1105">
      <c r="A1105" s="6" t="n"/>
      <c r="B1105" s="7" t="n"/>
      <c r="C1105" s="7" t="n"/>
      <c r="D1105" s="7" t="n"/>
      <c r="E1105" s="7" t="n"/>
      <c r="F1105" s="7" t="n"/>
      <c r="G1105" s="8" t="n"/>
      <c r="H1105" s="9" t="n"/>
      <c r="I1105" s="10">
        <f>IF(G1105="","",G1105*H1105)</f>
        <v/>
      </c>
      <c r="J1105" s="7" t="n"/>
    </row>
    <row r="1106">
      <c r="A1106" s="6" t="n"/>
      <c r="B1106" s="7" t="n"/>
      <c r="C1106" s="7" t="n"/>
      <c r="D1106" s="7" t="n"/>
      <c r="E1106" s="7" t="n"/>
      <c r="F1106" s="7" t="n"/>
      <c r="G1106" s="8" t="n"/>
      <c r="H1106" s="9" t="n"/>
      <c r="I1106" s="10">
        <f>IF(G1106="","",G1106*H1106)</f>
        <v/>
      </c>
      <c r="J1106" s="7" t="n"/>
    </row>
    <row r="1107">
      <c r="A1107" s="6" t="n"/>
      <c r="B1107" s="7" t="n"/>
      <c r="C1107" s="7" t="n"/>
      <c r="D1107" s="7" t="n"/>
      <c r="E1107" s="7" t="n"/>
      <c r="F1107" s="7" t="n"/>
      <c r="G1107" s="8" t="n"/>
      <c r="H1107" s="9" t="n"/>
      <c r="I1107" s="10">
        <f>IF(G1107="","",G1107*H1107)</f>
        <v/>
      </c>
      <c r="J1107" s="7" t="n"/>
    </row>
    <row r="1108">
      <c r="A1108" s="6" t="n"/>
      <c r="B1108" s="7" t="n"/>
      <c r="C1108" s="7" t="n"/>
      <c r="D1108" s="7" t="n"/>
      <c r="E1108" s="7" t="n"/>
      <c r="F1108" s="7" t="n"/>
      <c r="G1108" s="8" t="n"/>
      <c r="H1108" s="9" t="n"/>
      <c r="I1108" s="10">
        <f>IF(G1108="","",G1108*H1108)</f>
        <v/>
      </c>
      <c r="J1108" s="7" t="n"/>
    </row>
    <row r="1109">
      <c r="A1109" s="6" t="n"/>
      <c r="B1109" s="7" t="n"/>
      <c r="C1109" s="7" t="n"/>
      <c r="D1109" s="7" t="n"/>
      <c r="E1109" s="7" t="n"/>
      <c r="F1109" s="7" t="n"/>
      <c r="G1109" s="8" t="n"/>
      <c r="H1109" s="9" t="n"/>
      <c r="I1109" s="10">
        <f>IF(G1109="","",G1109*H1109)</f>
        <v/>
      </c>
      <c r="J1109" s="7" t="n"/>
    </row>
    <row r="1110">
      <c r="A1110" s="6" t="n"/>
      <c r="B1110" s="7" t="n"/>
      <c r="C1110" s="7" t="n"/>
      <c r="D1110" s="7" t="n"/>
      <c r="E1110" s="7" t="n"/>
      <c r="F1110" s="7" t="n"/>
      <c r="G1110" s="8" t="n"/>
      <c r="H1110" s="9" t="n"/>
      <c r="I1110" s="10">
        <f>IF(G1110="","",G1110*H1110)</f>
        <v/>
      </c>
      <c r="J1110" s="7" t="n"/>
    </row>
    <row r="1111">
      <c r="A1111" s="6" t="n"/>
      <c r="B1111" s="7" t="n"/>
      <c r="C1111" s="7" t="n"/>
      <c r="D1111" s="7" t="n"/>
      <c r="E1111" s="7" t="n"/>
      <c r="F1111" s="7" t="n"/>
      <c r="G1111" s="8" t="n"/>
      <c r="H1111" s="9" t="n"/>
      <c r="I1111" s="10">
        <f>IF(G1111="","",G1111*H1111)</f>
        <v/>
      </c>
      <c r="J1111" s="7" t="n"/>
    </row>
    <row r="1112">
      <c r="A1112" s="6" t="n"/>
      <c r="B1112" s="7" t="n"/>
      <c r="C1112" s="7" t="n"/>
      <c r="D1112" s="7" t="n"/>
      <c r="E1112" s="7" t="n"/>
      <c r="F1112" s="7" t="n"/>
      <c r="G1112" s="8" t="n"/>
      <c r="H1112" s="9" t="n"/>
      <c r="I1112" s="10">
        <f>IF(G1112="","",G1112*H1112)</f>
        <v/>
      </c>
      <c r="J1112" s="7" t="n"/>
    </row>
    <row r="1113">
      <c r="A1113" s="6" t="n"/>
      <c r="B1113" s="7" t="n"/>
      <c r="C1113" s="7" t="n"/>
      <c r="D1113" s="7" t="n"/>
      <c r="E1113" s="7" t="n"/>
      <c r="F1113" s="7" t="n"/>
      <c r="G1113" s="8" t="n"/>
      <c r="H1113" s="9" t="n"/>
      <c r="I1113" s="10">
        <f>IF(G1113="","",G1113*H1113)</f>
        <v/>
      </c>
      <c r="J1113" s="7" t="n"/>
    </row>
    <row r="1114">
      <c r="A1114" s="6" t="n"/>
      <c r="B1114" s="7" t="n"/>
      <c r="C1114" s="7" t="n"/>
      <c r="D1114" s="7" t="n"/>
      <c r="E1114" s="7" t="n"/>
      <c r="F1114" s="7" t="n"/>
      <c r="G1114" s="8" t="n"/>
      <c r="H1114" s="9" t="n"/>
      <c r="I1114" s="10">
        <f>IF(G1114="","",G1114*H1114)</f>
        <v/>
      </c>
      <c r="J1114" s="7" t="n"/>
    </row>
    <row r="1115">
      <c r="A1115" s="6" t="n"/>
      <c r="B1115" s="7" t="n"/>
      <c r="C1115" s="7" t="n"/>
      <c r="D1115" s="7" t="n"/>
      <c r="E1115" s="7" t="n"/>
      <c r="F1115" s="7" t="n"/>
      <c r="G1115" s="8" t="n"/>
      <c r="H1115" s="9" t="n"/>
      <c r="I1115" s="10">
        <f>IF(G1115="","",G1115*H1115)</f>
        <v/>
      </c>
      <c r="J1115" s="7" t="n"/>
    </row>
    <row r="1116">
      <c r="A1116" s="6" t="n"/>
      <c r="B1116" s="7" t="n"/>
      <c r="C1116" s="7" t="n"/>
      <c r="D1116" s="7" t="n"/>
      <c r="E1116" s="7" t="n"/>
      <c r="F1116" s="7" t="n"/>
      <c r="G1116" s="8" t="n"/>
      <c r="H1116" s="9" t="n"/>
      <c r="I1116" s="10">
        <f>IF(G1116="","",G1116*H1116)</f>
        <v/>
      </c>
      <c r="J1116" s="7" t="n"/>
    </row>
    <row r="1117">
      <c r="A1117" s="6" t="n"/>
      <c r="B1117" s="7" t="n"/>
      <c r="C1117" s="7" t="n"/>
      <c r="D1117" s="7" t="n"/>
      <c r="E1117" s="7" t="n"/>
      <c r="F1117" s="7" t="n"/>
      <c r="G1117" s="8" t="n"/>
      <c r="H1117" s="9" t="n"/>
      <c r="I1117" s="10">
        <f>IF(G1117="","",G1117*H1117)</f>
        <v/>
      </c>
      <c r="J1117" s="7" t="n"/>
    </row>
    <row r="1118">
      <c r="A1118" s="6" t="n"/>
      <c r="B1118" s="7" t="n"/>
      <c r="C1118" s="7" t="n"/>
      <c r="D1118" s="7" t="n"/>
      <c r="E1118" s="7" t="n"/>
      <c r="F1118" s="7" t="n"/>
      <c r="G1118" s="8" t="n"/>
      <c r="H1118" s="9" t="n"/>
      <c r="I1118" s="10">
        <f>IF(G1118="","",G1118*H1118)</f>
        <v/>
      </c>
      <c r="J1118" s="7" t="n"/>
    </row>
    <row r="1119">
      <c r="A1119" s="6" t="n"/>
      <c r="B1119" s="7" t="n"/>
      <c r="C1119" s="7" t="n"/>
      <c r="D1119" s="7" t="n"/>
      <c r="E1119" s="7" t="n"/>
      <c r="F1119" s="7" t="n"/>
      <c r="G1119" s="8" t="n"/>
      <c r="H1119" s="9" t="n"/>
      <c r="I1119" s="10">
        <f>IF(G1119="","",G1119*H1119)</f>
        <v/>
      </c>
      <c r="J1119" s="7" t="n"/>
    </row>
    <row r="1120">
      <c r="A1120" s="6" t="n"/>
      <c r="B1120" s="7" t="n"/>
      <c r="C1120" s="7" t="n"/>
      <c r="D1120" s="7" t="n"/>
      <c r="E1120" s="7" t="n"/>
      <c r="F1120" s="7" t="n"/>
      <c r="G1120" s="8" t="n"/>
      <c r="H1120" s="9" t="n"/>
      <c r="I1120" s="10">
        <f>IF(G1120="","",G1120*H1120)</f>
        <v/>
      </c>
      <c r="J1120" s="7" t="n"/>
    </row>
    <row r="1121">
      <c r="A1121" s="6" t="n"/>
      <c r="B1121" s="7" t="n"/>
      <c r="C1121" s="7" t="n"/>
      <c r="D1121" s="7" t="n"/>
      <c r="E1121" s="7" t="n"/>
      <c r="F1121" s="7" t="n"/>
      <c r="G1121" s="8" t="n"/>
      <c r="H1121" s="9" t="n"/>
      <c r="I1121" s="10">
        <f>IF(G1121="","",G1121*H1121)</f>
        <v/>
      </c>
      <c r="J1121" s="7" t="n"/>
    </row>
    <row r="1122">
      <c r="A1122" s="6" t="n"/>
      <c r="B1122" s="7" t="n"/>
      <c r="C1122" s="7" t="n"/>
      <c r="D1122" s="7" t="n"/>
      <c r="E1122" s="7" t="n"/>
      <c r="F1122" s="7" t="n"/>
      <c r="G1122" s="8" t="n"/>
      <c r="H1122" s="9" t="n"/>
      <c r="I1122" s="10">
        <f>IF(G1122="","",G1122*H1122)</f>
        <v/>
      </c>
      <c r="J1122" s="7" t="n"/>
    </row>
    <row r="1123">
      <c r="A1123" s="6" t="n"/>
      <c r="B1123" s="7" t="n"/>
      <c r="C1123" s="7" t="n"/>
      <c r="D1123" s="7" t="n"/>
      <c r="E1123" s="7" t="n"/>
      <c r="F1123" s="7" t="n"/>
      <c r="G1123" s="8" t="n"/>
      <c r="H1123" s="9" t="n"/>
      <c r="I1123" s="10">
        <f>IF(G1123="","",G1123*H1123)</f>
        <v/>
      </c>
      <c r="J1123" s="7" t="n"/>
    </row>
    <row r="1124">
      <c r="A1124" s="6" t="n"/>
      <c r="B1124" s="7" t="n"/>
      <c r="C1124" s="7" t="n"/>
      <c r="D1124" s="7" t="n"/>
      <c r="E1124" s="7" t="n"/>
      <c r="F1124" s="7" t="n"/>
      <c r="G1124" s="8" t="n"/>
      <c r="H1124" s="9" t="n"/>
      <c r="I1124" s="10">
        <f>IF(G1124="","",G1124*H1124)</f>
        <v/>
      </c>
      <c r="J1124" s="7" t="n"/>
    </row>
    <row r="1125">
      <c r="A1125" s="6" t="n"/>
      <c r="B1125" s="7" t="n"/>
      <c r="C1125" s="7" t="n"/>
      <c r="D1125" s="7" t="n"/>
      <c r="E1125" s="7" t="n"/>
      <c r="F1125" s="7" t="n"/>
      <c r="G1125" s="8" t="n"/>
      <c r="H1125" s="9" t="n"/>
      <c r="I1125" s="10">
        <f>IF(G1125="","",G1125*H1125)</f>
        <v/>
      </c>
      <c r="J1125" s="7" t="n"/>
    </row>
    <row r="1126">
      <c r="A1126" s="6" t="n"/>
      <c r="B1126" s="7" t="n"/>
      <c r="C1126" s="7" t="n"/>
      <c r="D1126" s="7" t="n"/>
      <c r="E1126" s="7" t="n"/>
      <c r="F1126" s="7" t="n"/>
      <c r="G1126" s="8" t="n"/>
      <c r="H1126" s="9" t="n"/>
      <c r="I1126" s="10">
        <f>IF(G1126="","",G1126*H1126)</f>
        <v/>
      </c>
      <c r="J1126" s="7" t="n"/>
    </row>
    <row r="1127">
      <c r="A1127" s="6" t="n"/>
      <c r="B1127" s="7" t="n"/>
      <c r="C1127" s="7" t="n"/>
      <c r="D1127" s="7" t="n"/>
      <c r="E1127" s="7" t="n"/>
      <c r="F1127" s="7" t="n"/>
      <c r="G1127" s="8" t="n"/>
      <c r="H1127" s="9" t="n"/>
      <c r="I1127" s="10">
        <f>IF(G1127="","",G1127*H1127)</f>
        <v/>
      </c>
      <c r="J1127" s="7" t="n"/>
    </row>
    <row r="1128">
      <c r="A1128" s="6" t="n"/>
      <c r="B1128" s="7" t="n"/>
      <c r="C1128" s="7" t="n"/>
      <c r="D1128" s="7" t="n"/>
      <c r="E1128" s="7" t="n"/>
      <c r="F1128" s="7" t="n"/>
      <c r="G1128" s="8" t="n"/>
      <c r="H1128" s="9" t="n"/>
      <c r="I1128" s="10">
        <f>IF(G1128="","",G1128*H1128)</f>
        <v/>
      </c>
      <c r="J1128" s="7" t="n"/>
    </row>
    <row r="1129">
      <c r="A1129" s="6" t="n"/>
      <c r="B1129" s="7" t="n"/>
      <c r="C1129" s="7" t="n"/>
      <c r="D1129" s="7" t="n"/>
      <c r="E1129" s="7" t="n"/>
      <c r="F1129" s="7" t="n"/>
      <c r="G1129" s="8" t="n"/>
      <c r="H1129" s="9" t="n"/>
      <c r="I1129" s="10">
        <f>IF(G1129="","",G1129*H1129)</f>
        <v/>
      </c>
      <c r="J1129" s="7" t="n"/>
    </row>
    <row r="1130">
      <c r="A1130" s="6" t="n"/>
      <c r="B1130" s="7" t="n"/>
      <c r="C1130" s="7" t="n"/>
      <c r="D1130" s="7" t="n"/>
      <c r="E1130" s="7" t="n"/>
      <c r="F1130" s="7" t="n"/>
      <c r="G1130" s="8" t="n"/>
      <c r="H1130" s="9" t="n"/>
      <c r="I1130" s="10">
        <f>IF(G1130="","",G1130*H1130)</f>
        <v/>
      </c>
      <c r="J1130" s="7" t="n"/>
    </row>
    <row r="1131">
      <c r="A1131" s="6" t="n"/>
      <c r="B1131" s="7" t="n"/>
      <c r="C1131" s="7" t="n"/>
      <c r="D1131" s="7" t="n"/>
      <c r="E1131" s="7" t="n"/>
      <c r="F1131" s="7" t="n"/>
      <c r="G1131" s="8" t="n"/>
      <c r="H1131" s="9" t="n"/>
      <c r="I1131" s="10">
        <f>IF(G1131="","",G1131*H1131)</f>
        <v/>
      </c>
      <c r="J1131" s="7" t="n"/>
    </row>
    <row r="1132">
      <c r="A1132" s="6" t="n"/>
      <c r="B1132" s="7" t="n"/>
      <c r="C1132" s="7" t="n"/>
      <c r="D1132" s="7" t="n"/>
      <c r="E1132" s="7" t="n"/>
      <c r="F1132" s="7" t="n"/>
      <c r="G1132" s="8" t="n"/>
      <c r="H1132" s="9" t="n"/>
      <c r="I1132" s="10">
        <f>IF(G1132="","",G1132*H1132)</f>
        <v/>
      </c>
      <c r="J1132" s="7" t="n"/>
    </row>
    <row r="1133">
      <c r="A1133" s="6" t="n"/>
      <c r="B1133" s="7" t="n"/>
      <c r="C1133" s="7" t="n"/>
      <c r="D1133" s="7" t="n"/>
      <c r="E1133" s="7" t="n"/>
      <c r="F1133" s="7" t="n"/>
      <c r="G1133" s="8" t="n"/>
      <c r="H1133" s="9" t="n"/>
      <c r="I1133" s="10">
        <f>IF(G1133="","",G1133*H1133)</f>
        <v/>
      </c>
      <c r="J1133" s="7" t="n"/>
    </row>
    <row r="1134">
      <c r="A1134" s="6" t="n"/>
      <c r="B1134" s="7" t="n"/>
      <c r="C1134" s="7" t="n"/>
      <c r="D1134" s="7" t="n"/>
      <c r="E1134" s="7" t="n"/>
      <c r="F1134" s="7" t="n"/>
      <c r="G1134" s="8" t="n"/>
      <c r="H1134" s="9" t="n"/>
      <c r="I1134" s="10">
        <f>IF(G1134="","",G1134*H1134)</f>
        <v/>
      </c>
      <c r="J1134" s="7" t="n"/>
    </row>
    <row r="1135">
      <c r="A1135" s="6" t="n"/>
      <c r="B1135" s="7" t="n"/>
      <c r="C1135" s="7" t="n"/>
      <c r="D1135" s="7" t="n"/>
      <c r="E1135" s="7" t="n"/>
      <c r="F1135" s="7" t="n"/>
      <c r="G1135" s="8" t="n"/>
      <c r="H1135" s="9" t="n"/>
      <c r="I1135" s="10">
        <f>IF(G1135="","",G1135*H1135)</f>
        <v/>
      </c>
      <c r="J1135" s="7" t="n"/>
    </row>
    <row r="1136">
      <c r="A1136" s="6" t="n"/>
      <c r="B1136" s="7" t="n"/>
      <c r="C1136" s="7" t="n"/>
      <c r="D1136" s="7" t="n"/>
      <c r="E1136" s="7" t="n"/>
      <c r="F1136" s="7" t="n"/>
      <c r="G1136" s="8" t="n"/>
      <c r="H1136" s="9" t="n"/>
      <c r="I1136" s="10">
        <f>IF(G1136="","",G1136*H1136)</f>
        <v/>
      </c>
      <c r="J1136" s="7" t="n"/>
    </row>
    <row r="1137">
      <c r="A1137" s="6" t="n"/>
      <c r="B1137" s="7" t="n"/>
      <c r="C1137" s="7" t="n"/>
      <c r="D1137" s="7" t="n"/>
      <c r="E1137" s="7" t="n"/>
      <c r="F1137" s="7" t="n"/>
      <c r="G1137" s="8" t="n"/>
      <c r="H1137" s="9" t="n"/>
      <c r="I1137" s="10">
        <f>IF(G1137="","",G1137*H1137)</f>
        <v/>
      </c>
      <c r="J1137" s="7" t="n"/>
    </row>
    <row r="1138">
      <c r="A1138" s="6" t="n"/>
      <c r="B1138" s="7" t="n"/>
      <c r="C1138" s="7" t="n"/>
      <c r="D1138" s="7" t="n"/>
      <c r="E1138" s="7" t="n"/>
      <c r="F1138" s="7" t="n"/>
      <c r="G1138" s="8" t="n"/>
      <c r="H1138" s="9" t="n"/>
      <c r="I1138" s="10">
        <f>IF(G1138="","",G1138*H1138)</f>
        <v/>
      </c>
      <c r="J1138" s="7" t="n"/>
    </row>
    <row r="1139">
      <c r="A1139" s="6" t="n"/>
      <c r="B1139" s="7" t="n"/>
      <c r="C1139" s="7" t="n"/>
      <c r="D1139" s="7" t="n"/>
      <c r="E1139" s="7" t="n"/>
      <c r="F1139" s="7" t="n"/>
      <c r="G1139" s="8" t="n"/>
      <c r="H1139" s="9" t="n"/>
      <c r="I1139" s="10">
        <f>IF(G1139="","",G1139*H1139)</f>
        <v/>
      </c>
      <c r="J1139" s="7" t="n"/>
    </row>
    <row r="1140">
      <c r="A1140" s="6" t="n"/>
      <c r="B1140" s="7" t="n"/>
      <c r="C1140" s="7" t="n"/>
      <c r="D1140" s="7" t="n"/>
      <c r="E1140" s="7" t="n"/>
      <c r="F1140" s="7" t="n"/>
      <c r="G1140" s="8" t="n"/>
      <c r="H1140" s="9" t="n"/>
      <c r="I1140" s="10">
        <f>IF(G1140="","",G1140*H1140)</f>
        <v/>
      </c>
      <c r="J1140" s="7" t="n"/>
    </row>
    <row r="1141">
      <c r="A1141" s="6" t="n"/>
      <c r="B1141" s="7" t="n"/>
      <c r="C1141" s="7" t="n"/>
      <c r="D1141" s="7" t="n"/>
      <c r="E1141" s="7" t="n"/>
      <c r="F1141" s="7" t="n"/>
      <c r="G1141" s="8" t="n"/>
      <c r="H1141" s="9" t="n"/>
      <c r="I1141" s="10">
        <f>IF(G1141="","",G1141*H1141)</f>
        <v/>
      </c>
      <c r="J1141" s="7" t="n"/>
    </row>
    <row r="1142">
      <c r="A1142" s="6" t="n"/>
      <c r="B1142" s="7" t="n"/>
      <c r="C1142" s="7" t="n"/>
      <c r="D1142" s="7" t="n"/>
      <c r="E1142" s="7" t="n"/>
      <c r="F1142" s="7" t="n"/>
      <c r="G1142" s="8" t="n"/>
      <c r="H1142" s="9" t="n"/>
      <c r="I1142" s="10">
        <f>IF(G1142="","",G1142*H1142)</f>
        <v/>
      </c>
      <c r="J1142" s="7" t="n"/>
    </row>
    <row r="1143">
      <c r="A1143" s="6" t="n"/>
      <c r="B1143" s="7" t="n"/>
      <c r="C1143" s="7" t="n"/>
      <c r="D1143" s="7" t="n"/>
      <c r="E1143" s="7" t="n"/>
      <c r="F1143" s="7" t="n"/>
      <c r="G1143" s="8" t="n"/>
      <c r="H1143" s="9" t="n"/>
      <c r="I1143" s="10">
        <f>IF(G1143="","",G1143*H1143)</f>
        <v/>
      </c>
      <c r="J1143" s="7" t="n"/>
    </row>
    <row r="1144">
      <c r="A1144" s="6" t="n"/>
      <c r="B1144" s="7" t="n"/>
      <c r="C1144" s="7" t="n"/>
      <c r="D1144" s="7" t="n"/>
      <c r="E1144" s="7" t="n"/>
      <c r="F1144" s="7" t="n"/>
      <c r="G1144" s="8" t="n"/>
      <c r="H1144" s="9" t="n"/>
      <c r="I1144" s="10">
        <f>IF(G1144="","",G1144*H1144)</f>
        <v/>
      </c>
      <c r="J1144" s="7" t="n"/>
    </row>
    <row r="1145">
      <c r="A1145" s="6" t="n"/>
      <c r="B1145" s="7" t="n"/>
      <c r="C1145" s="7" t="n"/>
      <c r="D1145" s="7" t="n"/>
      <c r="E1145" s="7" t="n"/>
      <c r="F1145" s="7" t="n"/>
      <c r="G1145" s="8" t="n"/>
      <c r="H1145" s="9" t="n"/>
      <c r="I1145" s="10">
        <f>IF(G1145="","",G1145*H1145)</f>
        <v/>
      </c>
      <c r="J1145" s="7" t="n"/>
    </row>
    <row r="1146">
      <c r="A1146" s="6" t="n"/>
      <c r="B1146" s="7" t="n"/>
      <c r="C1146" s="7" t="n"/>
      <c r="D1146" s="7" t="n"/>
      <c r="E1146" s="7" t="n"/>
      <c r="F1146" s="7" t="n"/>
      <c r="G1146" s="8" t="n"/>
      <c r="H1146" s="9" t="n"/>
      <c r="I1146" s="10">
        <f>IF(G1146="","",G1146*H1146)</f>
        <v/>
      </c>
      <c r="J1146" s="7" t="n"/>
    </row>
    <row r="1147">
      <c r="A1147" s="6" t="n"/>
      <c r="B1147" s="7" t="n"/>
      <c r="C1147" s="7" t="n"/>
      <c r="D1147" s="7" t="n"/>
      <c r="E1147" s="7" t="n"/>
      <c r="F1147" s="7" t="n"/>
      <c r="G1147" s="8" t="n"/>
      <c r="H1147" s="9" t="n"/>
      <c r="I1147" s="10">
        <f>IF(G1147="","",G1147*H1147)</f>
        <v/>
      </c>
      <c r="J1147" s="7" t="n"/>
    </row>
    <row r="1148">
      <c r="A1148" s="6" t="n"/>
      <c r="B1148" s="7" t="n"/>
      <c r="C1148" s="7" t="n"/>
      <c r="D1148" s="7" t="n"/>
      <c r="E1148" s="7" t="n"/>
      <c r="F1148" s="7" t="n"/>
      <c r="G1148" s="8" t="n"/>
      <c r="H1148" s="9" t="n"/>
      <c r="I1148" s="10">
        <f>IF(G1148="","",G1148*H1148)</f>
        <v/>
      </c>
      <c r="J1148" s="7" t="n"/>
    </row>
    <row r="1149">
      <c r="A1149" s="6" t="n"/>
      <c r="B1149" s="7" t="n"/>
      <c r="C1149" s="7" t="n"/>
      <c r="D1149" s="7" t="n"/>
      <c r="E1149" s="7" t="n"/>
      <c r="F1149" s="7" t="n"/>
      <c r="G1149" s="8" t="n"/>
      <c r="H1149" s="9" t="n"/>
      <c r="I1149" s="10">
        <f>IF(G1149="","",G1149*H1149)</f>
        <v/>
      </c>
      <c r="J1149" s="7" t="n"/>
    </row>
    <row r="1150">
      <c r="A1150" s="6" t="n"/>
      <c r="B1150" s="7" t="n"/>
      <c r="C1150" s="7" t="n"/>
      <c r="D1150" s="7" t="n"/>
      <c r="E1150" s="7" t="n"/>
      <c r="F1150" s="7" t="n"/>
      <c r="G1150" s="8" t="n"/>
      <c r="H1150" s="9" t="n"/>
      <c r="I1150" s="10">
        <f>IF(G1150="","",G1150*H1150)</f>
        <v/>
      </c>
      <c r="J1150" s="7" t="n"/>
    </row>
    <row r="1151">
      <c r="A1151" s="6" t="n"/>
      <c r="B1151" s="7" t="n"/>
      <c r="C1151" s="7" t="n"/>
      <c r="D1151" s="7" t="n"/>
      <c r="E1151" s="7" t="n"/>
      <c r="F1151" s="7" t="n"/>
      <c r="G1151" s="8" t="n"/>
      <c r="H1151" s="9" t="n"/>
      <c r="I1151" s="10">
        <f>IF(G1151="","",G1151*H1151)</f>
        <v/>
      </c>
      <c r="J1151" s="7" t="n"/>
    </row>
    <row r="1152">
      <c r="A1152" s="6" t="n"/>
      <c r="B1152" s="7" t="n"/>
      <c r="C1152" s="7" t="n"/>
      <c r="D1152" s="7" t="n"/>
      <c r="E1152" s="7" t="n"/>
      <c r="F1152" s="7" t="n"/>
      <c r="G1152" s="8" t="n"/>
      <c r="H1152" s="9" t="n"/>
      <c r="I1152" s="10">
        <f>IF(G1152="","",G1152*H1152)</f>
        <v/>
      </c>
      <c r="J1152" s="7" t="n"/>
    </row>
    <row r="1153">
      <c r="A1153" s="6" t="n"/>
      <c r="B1153" s="7" t="n"/>
      <c r="C1153" s="7" t="n"/>
      <c r="D1153" s="7" t="n"/>
      <c r="E1153" s="7" t="n"/>
      <c r="F1153" s="7" t="n"/>
      <c r="G1153" s="8" t="n"/>
      <c r="H1153" s="9" t="n"/>
      <c r="I1153" s="10">
        <f>IF(G1153="","",G1153*H1153)</f>
        <v/>
      </c>
      <c r="J1153" s="7" t="n"/>
    </row>
    <row r="1154">
      <c r="A1154" s="6" t="n"/>
      <c r="B1154" s="7" t="n"/>
      <c r="C1154" s="7" t="n"/>
      <c r="D1154" s="7" t="n"/>
      <c r="E1154" s="7" t="n"/>
      <c r="F1154" s="7" t="n"/>
      <c r="G1154" s="8" t="n"/>
      <c r="H1154" s="9" t="n"/>
      <c r="I1154" s="10">
        <f>IF(G1154="","",G1154*H1154)</f>
        <v/>
      </c>
      <c r="J1154" s="7" t="n"/>
    </row>
    <row r="1155">
      <c r="A1155" s="6" t="n"/>
      <c r="B1155" s="7" t="n"/>
      <c r="C1155" s="7" t="n"/>
      <c r="D1155" s="7" t="n"/>
      <c r="E1155" s="7" t="n"/>
      <c r="F1155" s="7" t="n"/>
      <c r="G1155" s="8" t="n"/>
      <c r="H1155" s="9" t="n"/>
      <c r="I1155" s="10">
        <f>IF(G1155="","",G1155*H1155)</f>
        <v/>
      </c>
      <c r="J1155" s="7" t="n"/>
    </row>
    <row r="1156">
      <c r="A1156" s="6" t="n"/>
      <c r="B1156" s="7" t="n"/>
      <c r="C1156" s="7" t="n"/>
      <c r="D1156" s="7" t="n"/>
      <c r="E1156" s="7" t="n"/>
      <c r="F1156" s="7" t="n"/>
      <c r="G1156" s="8" t="n"/>
      <c r="H1156" s="9" t="n"/>
      <c r="I1156" s="10">
        <f>IF(G1156="","",G1156*H1156)</f>
        <v/>
      </c>
      <c r="J1156" s="7" t="n"/>
    </row>
    <row r="1157">
      <c r="A1157" s="6" t="n"/>
      <c r="B1157" s="7" t="n"/>
      <c r="C1157" s="7" t="n"/>
      <c r="D1157" s="7" t="n"/>
      <c r="E1157" s="7" t="n"/>
      <c r="F1157" s="7" t="n"/>
      <c r="G1157" s="8" t="n"/>
      <c r="H1157" s="9" t="n"/>
      <c r="I1157" s="10">
        <f>IF(G1157="","",G1157*H1157)</f>
        <v/>
      </c>
      <c r="J1157" s="7" t="n"/>
    </row>
    <row r="1158">
      <c r="A1158" s="6" t="n"/>
      <c r="B1158" s="7" t="n"/>
      <c r="C1158" s="7" t="n"/>
      <c r="D1158" s="7" t="n"/>
      <c r="E1158" s="7" t="n"/>
      <c r="F1158" s="7" t="n"/>
      <c r="G1158" s="8" t="n"/>
      <c r="H1158" s="9" t="n"/>
      <c r="I1158" s="10">
        <f>IF(G1158="","",G1158*H1158)</f>
        <v/>
      </c>
      <c r="J1158" s="7" t="n"/>
    </row>
    <row r="1159">
      <c r="A1159" s="6" t="n"/>
      <c r="B1159" s="7" t="n"/>
      <c r="C1159" s="7" t="n"/>
      <c r="D1159" s="7" t="n"/>
      <c r="E1159" s="7" t="n"/>
      <c r="F1159" s="7" t="n"/>
      <c r="G1159" s="8" t="n"/>
      <c r="H1159" s="9" t="n"/>
      <c r="I1159" s="10">
        <f>IF(G1159="","",G1159*H1159)</f>
        <v/>
      </c>
      <c r="J1159" s="7" t="n"/>
    </row>
    <row r="1160">
      <c r="A1160" s="6" t="n"/>
      <c r="B1160" s="7" t="n"/>
      <c r="C1160" s="7" t="n"/>
      <c r="D1160" s="7" t="n"/>
      <c r="E1160" s="7" t="n"/>
      <c r="F1160" s="7" t="n"/>
      <c r="G1160" s="8" t="n"/>
      <c r="H1160" s="9" t="n"/>
      <c r="I1160" s="10">
        <f>IF(G1160="","",G1160*H1160)</f>
        <v/>
      </c>
      <c r="J1160" s="7" t="n"/>
    </row>
    <row r="1161">
      <c r="A1161" s="6" t="n"/>
      <c r="B1161" s="7" t="n"/>
      <c r="C1161" s="7" t="n"/>
      <c r="D1161" s="7" t="n"/>
      <c r="E1161" s="7" t="n"/>
      <c r="F1161" s="7" t="n"/>
      <c r="G1161" s="8" t="n"/>
      <c r="H1161" s="9" t="n"/>
      <c r="I1161" s="10">
        <f>IF(G1161="","",G1161*H1161)</f>
        <v/>
      </c>
      <c r="J1161" s="7" t="n"/>
    </row>
    <row r="1162">
      <c r="A1162" s="6" t="n"/>
      <c r="B1162" s="7" t="n"/>
      <c r="C1162" s="7" t="n"/>
      <c r="D1162" s="7" t="n"/>
      <c r="E1162" s="7" t="n"/>
      <c r="F1162" s="7" t="n"/>
      <c r="G1162" s="8" t="n"/>
      <c r="H1162" s="9" t="n"/>
      <c r="I1162" s="10">
        <f>IF(G1162="","",G1162*H1162)</f>
        <v/>
      </c>
      <c r="J1162" s="7" t="n"/>
    </row>
    <row r="1163">
      <c r="A1163" s="6" t="n"/>
      <c r="B1163" s="7" t="n"/>
      <c r="C1163" s="7" t="n"/>
      <c r="D1163" s="7" t="n"/>
      <c r="E1163" s="7" t="n"/>
      <c r="F1163" s="7" t="n"/>
      <c r="G1163" s="8" t="n"/>
      <c r="H1163" s="9" t="n"/>
      <c r="I1163" s="10">
        <f>IF(G1163="","",G1163*H1163)</f>
        <v/>
      </c>
      <c r="J1163" s="7" t="n"/>
    </row>
    <row r="1164">
      <c r="A1164" s="6" t="n"/>
      <c r="B1164" s="7" t="n"/>
      <c r="C1164" s="7" t="n"/>
      <c r="D1164" s="7" t="n"/>
      <c r="E1164" s="7" t="n"/>
      <c r="F1164" s="7" t="n"/>
      <c r="G1164" s="8" t="n"/>
      <c r="H1164" s="9" t="n"/>
      <c r="I1164" s="10">
        <f>IF(G1164="","",G1164*H1164)</f>
        <v/>
      </c>
      <c r="J1164" s="7" t="n"/>
    </row>
    <row r="1165">
      <c r="A1165" s="6" t="n"/>
      <c r="B1165" s="7" t="n"/>
      <c r="C1165" s="7" t="n"/>
      <c r="D1165" s="7" t="n"/>
      <c r="E1165" s="7" t="n"/>
      <c r="F1165" s="7" t="n"/>
      <c r="G1165" s="8" t="n"/>
      <c r="H1165" s="9" t="n"/>
      <c r="I1165" s="10">
        <f>IF(G1165="","",G1165*H1165)</f>
        <v/>
      </c>
      <c r="J1165" s="7" t="n"/>
    </row>
    <row r="1166">
      <c r="A1166" s="6" t="n"/>
      <c r="B1166" s="7" t="n"/>
      <c r="C1166" s="7" t="n"/>
      <c r="D1166" s="7" t="n"/>
      <c r="E1166" s="7" t="n"/>
      <c r="F1166" s="7" t="n"/>
      <c r="G1166" s="8" t="n"/>
      <c r="H1166" s="9" t="n"/>
      <c r="I1166" s="10">
        <f>IF(G1166="","",G1166*H1166)</f>
        <v/>
      </c>
      <c r="J1166" s="7" t="n"/>
    </row>
    <row r="1167">
      <c r="A1167" s="6" t="n"/>
      <c r="B1167" s="7" t="n"/>
      <c r="C1167" s="7" t="n"/>
      <c r="D1167" s="7" t="n"/>
      <c r="E1167" s="7" t="n"/>
      <c r="F1167" s="7" t="n"/>
      <c r="G1167" s="8" t="n"/>
      <c r="H1167" s="9" t="n"/>
      <c r="I1167" s="10">
        <f>IF(G1167="","",G1167*H1167)</f>
        <v/>
      </c>
      <c r="J1167" s="7" t="n"/>
    </row>
    <row r="1168">
      <c r="A1168" s="6" t="n"/>
      <c r="B1168" s="7" t="n"/>
      <c r="C1168" s="7" t="n"/>
      <c r="D1168" s="7" t="n"/>
      <c r="E1168" s="7" t="n"/>
      <c r="F1168" s="7" t="n"/>
      <c r="G1168" s="8" t="n"/>
      <c r="H1168" s="9" t="n"/>
      <c r="I1168" s="10">
        <f>IF(G1168="","",G1168*H1168)</f>
        <v/>
      </c>
      <c r="J1168" s="7" t="n"/>
    </row>
    <row r="1169">
      <c r="A1169" s="6" t="n"/>
      <c r="B1169" s="7" t="n"/>
      <c r="C1169" s="7" t="n"/>
      <c r="D1169" s="7" t="n"/>
      <c r="E1169" s="7" t="n"/>
      <c r="F1169" s="7" t="n"/>
      <c r="G1169" s="8" t="n"/>
      <c r="H1169" s="9" t="n"/>
      <c r="I1169" s="10">
        <f>IF(G1169="","",G1169*H1169)</f>
        <v/>
      </c>
      <c r="J1169" s="7" t="n"/>
    </row>
    <row r="1170">
      <c r="A1170" s="6" t="n"/>
      <c r="B1170" s="7" t="n"/>
      <c r="C1170" s="7" t="n"/>
      <c r="D1170" s="7" t="n"/>
      <c r="E1170" s="7" t="n"/>
      <c r="F1170" s="7" t="n"/>
      <c r="G1170" s="8" t="n"/>
      <c r="H1170" s="9" t="n"/>
      <c r="I1170" s="10">
        <f>IF(G1170="","",G1170*H1170)</f>
        <v/>
      </c>
      <c r="J1170" s="7" t="n"/>
    </row>
    <row r="1171">
      <c r="A1171" s="6" t="n"/>
      <c r="B1171" s="7" t="n"/>
      <c r="C1171" s="7" t="n"/>
      <c r="D1171" s="7" t="n"/>
      <c r="E1171" s="7" t="n"/>
      <c r="F1171" s="7" t="n"/>
      <c r="G1171" s="8" t="n"/>
      <c r="H1171" s="9" t="n"/>
      <c r="I1171" s="10">
        <f>IF(G1171="","",G1171*H1171)</f>
        <v/>
      </c>
      <c r="J1171" s="7" t="n"/>
    </row>
    <row r="1172">
      <c r="A1172" s="6" t="n"/>
      <c r="B1172" s="7" t="n"/>
      <c r="C1172" s="7" t="n"/>
      <c r="D1172" s="7" t="n"/>
      <c r="E1172" s="7" t="n"/>
      <c r="F1172" s="7" t="n"/>
      <c r="G1172" s="8" t="n"/>
      <c r="H1172" s="9" t="n"/>
      <c r="I1172" s="10">
        <f>IF(G1172="","",G1172*H1172)</f>
        <v/>
      </c>
      <c r="J1172" s="7" t="n"/>
    </row>
    <row r="1173">
      <c r="A1173" s="6" t="n"/>
      <c r="B1173" s="7" t="n"/>
      <c r="C1173" s="7" t="n"/>
      <c r="D1173" s="7" t="n"/>
      <c r="E1173" s="7" t="n"/>
      <c r="F1173" s="7" t="n"/>
      <c r="G1173" s="8" t="n"/>
      <c r="H1173" s="9" t="n"/>
      <c r="I1173" s="10">
        <f>IF(G1173="","",G1173*H1173)</f>
        <v/>
      </c>
      <c r="J1173" s="7" t="n"/>
    </row>
    <row r="1174">
      <c r="A1174" s="6" t="n"/>
      <c r="B1174" s="7" t="n"/>
      <c r="C1174" s="7" t="n"/>
      <c r="D1174" s="7" t="n"/>
      <c r="E1174" s="7" t="n"/>
      <c r="F1174" s="7" t="n"/>
      <c r="G1174" s="8" t="n"/>
      <c r="H1174" s="9" t="n"/>
      <c r="I1174" s="10">
        <f>IF(G1174="","",G1174*H1174)</f>
        <v/>
      </c>
      <c r="J1174" s="7" t="n"/>
    </row>
    <row r="1175">
      <c r="A1175" s="6" t="n"/>
      <c r="B1175" s="7" t="n"/>
      <c r="C1175" s="7" t="n"/>
      <c r="D1175" s="7" t="n"/>
      <c r="E1175" s="7" t="n"/>
      <c r="F1175" s="7" t="n"/>
      <c r="G1175" s="8" t="n"/>
      <c r="H1175" s="9" t="n"/>
      <c r="I1175" s="10">
        <f>IF(G1175="","",G1175*H1175)</f>
        <v/>
      </c>
      <c r="J1175" s="7" t="n"/>
    </row>
    <row r="1176">
      <c r="A1176" s="6" t="n"/>
      <c r="B1176" s="7" t="n"/>
      <c r="C1176" s="7" t="n"/>
      <c r="D1176" s="7" t="n"/>
      <c r="E1176" s="7" t="n"/>
      <c r="F1176" s="7" t="n"/>
      <c r="G1176" s="8" t="n"/>
      <c r="H1176" s="9" t="n"/>
      <c r="I1176" s="10">
        <f>IF(G1176="","",G1176*H1176)</f>
        <v/>
      </c>
      <c r="J1176" s="7" t="n"/>
    </row>
    <row r="1177">
      <c r="A1177" s="6" t="n"/>
      <c r="B1177" s="7" t="n"/>
      <c r="C1177" s="7" t="n"/>
      <c r="D1177" s="7" t="n"/>
      <c r="E1177" s="7" t="n"/>
      <c r="F1177" s="7" t="n"/>
      <c r="G1177" s="8" t="n"/>
      <c r="H1177" s="9" t="n"/>
      <c r="I1177" s="10">
        <f>IF(G1177="","",G1177*H1177)</f>
        <v/>
      </c>
      <c r="J1177" s="7" t="n"/>
    </row>
    <row r="1178">
      <c r="A1178" s="6" t="n"/>
      <c r="B1178" s="7" t="n"/>
      <c r="C1178" s="7" t="n"/>
      <c r="D1178" s="7" t="n"/>
      <c r="E1178" s="7" t="n"/>
      <c r="F1178" s="7" t="n"/>
      <c r="G1178" s="8" t="n"/>
      <c r="H1178" s="9" t="n"/>
      <c r="I1178" s="10">
        <f>IF(G1178="","",G1178*H1178)</f>
        <v/>
      </c>
      <c r="J1178" s="7" t="n"/>
    </row>
    <row r="1179">
      <c r="A1179" s="6" t="n"/>
      <c r="B1179" s="7" t="n"/>
      <c r="C1179" s="7" t="n"/>
      <c r="D1179" s="7" t="n"/>
      <c r="E1179" s="7" t="n"/>
      <c r="F1179" s="7" t="n"/>
      <c r="G1179" s="8" t="n"/>
      <c r="H1179" s="9" t="n"/>
      <c r="I1179" s="10">
        <f>IF(G1179="","",G1179*H1179)</f>
        <v/>
      </c>
      <c r="J1179" s="7" t="n"/>
    </row>
    <row r="1180">
      <c r="A1180" s="6" t="n"/>
      <c r="B1180" s="7" t="n"/>
      <c r="C1180" s="7" t="n"/>
      <c r="D1180" s="7" t="n"/>
      <c r="E1180" s="7" t="n"/>
      <c r="F1180" s="7" t="n"/>
      <c r="G1180" s="8" t="n"/>
      <c r="H1180" s="9" t="n"/>
      <c r="I1180" s="10">
        <f>IF(G1180="","",G1180*H1180)</f>
        <v/>
      </c>
      <c r="J1180" s="7" t="n"/>
    </row>
    <row r="1181">
      <c r="A1181" s="6" t="n"/>
      <c r="B1181" s="7" t="n"/>
      <c r="C1181" s="7" t="n"/>
      <c r="D1181" s="7" t="n"/>
      <c r="E1181" s="7" t="n"/>
      <c r="F1181" s="7" t="n"/>
      <c r="G1181" s="8" t="n"/>
      <c r="H1181" s="9" t="n"/>
      <c r="I1181" s="10">
        <f>IF(G1181="","",G1181*H1181)</f>
        <v/>
      </c>
      <c r="J1181" s="7" t="n"/>
    </row>
    <row r="1182">
      <c r="A1182" s="6" t="n"/>
      <c r="B1182" s="7" t="n"/>
      <c r="C1182" s="7" t="n"/>
      <c r="D1182" s="7" t="n"/>
      <c r="E1182" s="7" t="n"/>
      <c r="F1182" s="7" t="n"/>
      <c r="G1182" s="8" t="n"/>
      <c r="H1182" s="9" t="n"/>
      <c r="I1182" s="10">
        <f>IF(G1182="","",G1182*H1182)</f>
        <v/>
      </c>
      <c r="J1182" s="7" t="n"/>
    </row>
    <row r="1183">
      <c r="A1183" s="6" t="n"/>
      <c r="B1183" s="7" t="n"/>
      <c r="C1183" s="7" t="n"/>
      <c r="D1183" s="7" t="n"/>
      <c r="E1183" s="7" t="n"/>
      <c r="F1183" s="7" t="n"/>
      <c r="G1183" s="8" t="n"/>
      <c r="H1183" s="9" t="n"/>
      <c r="I1183" s="10">
        <f>IF(G1183="","",G1183*H1183)</f>
        <v/>
      </c>
      <c r="J1183" s="7" t="n"/>
    </row>
    <row r="1184">
      <c r="A1184" s="6" t="n"/>
      <c r="B1184" s="7" t="n"/>
      <c r="C1184" s="7" t="n"/>
      <c r="D1184" s="7" t="n"/>
      <c r="E1184" s="7" t="n"/>
      <c r="F1184" s="7" t="n"/>
      <c r="G1184" s="8" t="n"/>
      <c r="H1184" s="9" t="n"/>
      <c r="I1184" s="10">
        <f>IF(G1184="","",G1184*H1184)</f>
        <v/>
      </c>
      <c r="J1184" s="7" t="n"/>
    </row>
    <row r="1185">
      <c r="A1185" s="6" t="n"/>
      <c r="B1185" s="7" t="n"/>
      <c r="C1185" s="7" t="n"/>
      <c r="D1185" s="7" t="n"/>
      <c r="E1185" s="7" t="n"/>
      <c r="F1185" s="7" t="n"/>
      <c r="G1185" s="8" t="n"/>
      <c r="H1185" s="9" t="n"/>
      <c r="I1185" s="10">
        <f>IF(G1185="","",G1185*H1185)</f>
        <v/>
      </c>
      <c r="J1185" s="7" t="n"/>
    </row>
    <row r="1186">
      <c r="A1186" s="6" t="n"/>
      <c r="B1186" s="7" t="n"/>
      <c r="C1186" s="7" t="n"/>
      <c r="D1186" s="7" t="n"/>
      <c r="E1186" s="7" t="n"/>
      <c r="F1186" s="7" t="n"/>
      <c r="G1186" s="8" t="n"/>
      <c r="H1186" s="9" t="n"/>
      <c r="I1186" s="10">
        <f>IF(G1186="","",G1186*H1186)</f>
        <v/>
      </c>
      <c r="J1186" s="7" t="n"/>
    </row>
    <row r="1187">
      <c r="A1187" s="6" t="n"/>
      <c r="B1187" s="7" t="n"/>
      <c r="C1187" s="7" t="n"/>
      <c r="D1187" s="7" t="n"/>
      <c r="E1187" s="7" t="n"/>
      <c r="F1187" s="7" t="n"/>
      <c r="G1187" s="8" t="n"/>
      <c r="H1187" s="9" t="n"/>
      <c r="I1187" s="10">
        <f>IF(G1187="","",G1187*H1187)</f>
        <v/>
      </c>
      <c r="J1187" s="7" t="n"/>
    </row>
    <row r="1188">
      <c r="A1188" s="6" t="n"/>
      <c r="B1188" s="7" t="n"/>
      <c r="C1188" s="7" t="n"/>
      <c r="D1188" s="7" t="n"/>
      <c r="E1188" s="7" t="n"/>
      <c r="F1188" s="7" t="n"/>
      <c r="G1188" s="8" t="n"/>
      <c r="H1188" s="9" t="n"/>
      <c r="I1188" s="10">
        <f>IF(G1188="","",G1188*H1188)</f>
        <v/>
      </c>
      <c r="J1188" s="7" t="n"/>
    </row>
    <row r="1189">
      <c r="A1189" s="6" t="n"/>
      <c r="B1189" s="7" t="n"/>
      <c r="C1189" s="7" t="n"/>
      <c r="D1189" s="7" t="n"/>
      <c r="E1189" s="7" t="n"/>
      <c r="F1189" s="7" t="n"/>
      <c r="G1189" s="8" t="n"/>
      <c r="H1189" s="9" t="n"/>
      <c r="I1189" s="10">
        <f>IF(G1189="","",G1189*H1189)</f>
        <v/>
      </c>
      <c r="J1189" s="7" t="n"/>
    </row>
    <row r="1190">
      <c r="A1190" s="6" t="n"/>
      <c r="B1190" s="7" t="n"/>
      <c r="C1190" s="7" t="n"/>
      <c r="D1190" s="7" t="n"/>
      <c r="E1190" s="7" t="n"/>
      <c r="F1190" s="7" t="n"/>
      <c r="G1190" s="8" t="n"/>
      <c r="H1190" s="9" t="n"/>
      <c r="I1190" s="10">
        <f>IF(G1190="","",G1190*H1190)</f>
        <v/>
      </c>
      <c r="J1190" s="7" t="n"/>
    </row>
    <row r="1191">
      <c r="A1191" s="6" t="n"/>
      <c r="B1191" s="7" t="n"/>
      <c r="C1191" s="7" t="n"/>
      <c r="D1191" s="7" t="n"/>
      <c r="E1191" s="7" t="n"/>
      <c r="F1191" s="7" t="n"/>
      <c r="G1191" s="8" t="n"/>
      <c r="H1191" s="9" t="n"/>
      <c r="I1191" s="10">
        <f>IF(G1191="","",G1191*H1191)</f>
        <v/>
      </c>
      <c r="J1191" s="7" t="n"/>
    </row>
    <row r="1192">
      <c r="A1192" s="6" t="n"/>
      <c r="B1192" s="7" t="n"/>
      <c r="C1192" s="7" t="n"/>
      <c r="D1192" s="7" t="n"/>
      <c r="E1192" s="7" t="n"/>
      <c r="F1192" s="7" t="n"/>
      <c r="G1192" s="8" t="n"/>
      <c r="H1192" s="9" t="n"/>
      <c r="I1192" s="10">
        <f>IF(G1192="","",G1192*H1192)</f>
        <v/>
      </c>
      <c r="J1192" s="7" t="n"/>
    </row>
    <row r="1193">
      <c r="A1193" s="6" t="n"/>
      <c r="B1193" s="7" t="n"/>
      <c r="C1193" s="7" t="n"/>
      <c r="D1193" s="7" t="n"/>
      <c r="E1193" s="7" t="n"/>
      <c r="F1193" s="7" t="n"/>
      <c r="G1193" s="8" t="n"/>
      <c r="H1193" s="9" t="n"/>
      <c r="I1193" s="10">
        <f>IF(G1193="","",G1193*H1193)</f>
        <v/>
      </c>
      <c r="J1193" s="7" t="n"/>
    </row>
    <row r="1194">
      <c r="A1194" s="6" t="n"/>
      <c r="B1194" s="7" t="n"/>
      <c r="C1194" s="7" t="n"/>
      <c r="D1194" s="7" t="n"/>
      <c r="E1194" s="7" t="n"/>
      <c r="F1194" s="7" t="n"/>
      <c r="G1194" s="8" t="n"/>
      <c r="H1194" s="9" t="n"/>
      <c r="I1194" s="10">
        <f>IF(G1194="","",G1194*H1194)</f>
        <v/>
      </c>
      <c r="J1194" s="7" t="n"/>
    </row>
    <row r="1195">
      <c r="A1195" s="6" t="n"/>
      <c r="B1195" s="7" t="n"/>
      <c r="C1195" s="7" t="n"/>
      <c r="D1195" s="7" t="n"/>
      <c r="E1195" s="7" t="n"/>
      <c r="F1195" s="7" t="n"/>
      <c r="G1195" s="8" t="n"/>
      <c r="H1195" s="9" t="n"/>
      <c r="I1195" s="10">
        <f>IF(G1195="","",G1195*H1195)</f>
        <v/>
      </c>
      <c r="J1195" s="7" t="n"/>
    </row>
    <row r="1196">
      <c r="A1196" s="6" t="n"/>
      <c r="B1196" s="7" t="n"/>
      <c r="C1196" s="7" t="n"/>
      <c r="D1196" s="7" t="n"/>
      <c r="E1196" s="7" t="n"/>
      <c r="F1196" s="7" t="n"/>
      <c r="G1196" s="8" t="n"/>
      <c r="H1196" s="9" t="n"/>
      <c r="I1196" s="10">
        <f>IF(G1196="","",G1196*H1196)</f>
        <v/>
      </c>
      <c r="J1196" s="7" t="n"/>
    </row>
    <row r="1197">
      <c r="A1197" s="6" t="n"/>
      <c r="B1197" s="7" t="n"/>
      <c r="C1197" s="7" t="n"/>
      <c r="D1197" s="7" t="n"/>
      <c r="E1197" s="7" t="n"/>
      <c r="F1197" s="7" t="n"/>
      <c r="G1197" s="8" t="n"/>
      <c r="H1197" s="9" t="n"/>
      <c r="I1197" s="10">
        <f>IF(G1197="","",G1197*H1197)</f>
        <v/>
      </c>
      <c r="J1197" s="7" t="n"/>
    </row>
    <row r="1198">
      <c r="A1198" s="6" t="n"/>
      <c r="B1198" s="7" t="n"/>
      <c r="C1198" s="7" t="n"/>
      <c r="D1198" s="7" t="n"/>
      <c r="E1198" s="7" t="n"/>
      <c r="F1198" s="7" t="n"/>
      <c r="G1198" s="8" t="n"/>
      <c r="H1198" s="9" t="n"/>
      <c r="I1198" s="10">
        <f>IF(G1198="","",G1198*H1198)</f>
        <v/>
      </c>
      <c r="J1198" s="7" t="n"/>
    </row>
    <row r="1199">
      <c r="A1199" s="6" t="n"/>
      <c r="B1199" s="7" t="n"/>
      <c r="C1199" s="7" t="n"/>
      <c r="D1199" s="7" t="n"/>
      <c r="E1199" s="7" t="n"/>
      <c r="F1199" s="7" t="n"/>
      <c r="G1199" s="8" t="n"/>
      <c r="H1199" s="9" t="n"/>
      <c r="I1199" s="10">
        <f>IF(G1199="","",G1199*H1199)</f>
        <v/>
      </c>
      <c r="J1199" s="7" t="n"/>
    </row>
    <row r="1200">
      <c r="A1200" s="6" t="n"/>
      <c r="B1200" s="7" t="n"/>
      <c r="C1200" s="7" t="n"/>
      <c r="D1200" s="7" t="n"/>
      <c r="E1200" s="7" t="n"/>
      <c r="F1200" s="7" t="n"/>
      <c r="G1200" s="8" t="n"/>
      <c r="H1200" s="9" t="n"/>
      <c r="I1200" s="10">
        <f>IF(G1200="","",G1200*H1200)</f>
        <v/>
      </c>
      <c r="J1200" s="7" t="n"/>
    </row>
    <row r="1201">
      <c r="A1201" s="6" t="n"/>
      <c r="B1201" s="7" t="n"/>
      <c r="C1201" s="7" t="n"/>
      <c r="D1201" s="7" t="n"/>
      <c r="E1201" s="7" t="n"/>
      <c r="F1201" s="7" t="n"/>
      <c r="G1201" s="8" t="n"/>
      <c r="H1201" s="9" t="n"/>
      <c r="I1201" s="10">
        <f>IF(G1201="","",G1201*H1201)</f>
        <v/>
      </c>
      <c r="J1201" s="7" t="n"/>
    </row>
    <row r="1202">
      <c r="A1202" s="6" t="n"/>
      <c r="B1202" s="7" t="n"/>
      <c r="C1202" s="7" t="n"/>
      <c r="D1202" s="7" t="n"/>
      <c r="E1202" s="7" t="n"/>
      <c r="F1202" s="7" t="n"/>
      <c r="G1202" s="8" t="n"/>
      <c r="H1202" s="9" t="n"/>
      <c r="I1202" s="10">
        <f>IF(G1202="","",G1202*H1202)</f>
        <v/>
      </c>
      <c r="J1202" s="7" t="n"/>
    </row>
    <row r="1203">
      <c r="A1203" s="6" t="n"/>
      <c r="B1203" s="7" t="n"/>
      <c r="C1203" s="7" t="n"/>
      <c r="D1203" s="7" t="n"/>
      <c r="E1203" s="7" t="n"/>
      <c r="F1203" s="7" t="n"/>
      <c r="G1203" s="8" t="n"/>
      <c r="H1203" s="9" t="n"/>
      <c r="I1203" s="10">
        <f>IF(G1203="","",G1203*H1203)</f>
        <v/>
      </c>
      <c r="J1203" s="7" t="n"/>
    </row>
    <row r="1204">
      <c r="A1204" s="6" t="n"/>
      <c r="B1204" s="7" t="n"/>
      <c r="C1204" s="7" t="n"/>
      <c r="D1204" s="7" t="n"/>
      <c r="E1204" s="7" t="n"/>
      <c r="F1204" s="7" t="n"/>
      <c r="G1204" s="8" t="n"/>
      <c r="H1204" s="9" t="n"/>
      <c r="I1204" s="10">
        <f>IF(G1204="","",G1204*H1204)</f>
        <v/>
      </c>
      <c r="J1204" s="7" t="n"/>
    </row>
    <row r="1205">
      <c r="A1205" s="6" t="n"/>
      <c r="B1205" s="7" t="n"/>
      <c r="C1205" s="7" t="n"/>
      <c r="D1205" s="7" t="n"/>
      <c r="E1205" s="7" t="n"/>
      <c r="F1205" s="7" t="n"/>
      <c r="G1205" s="8" t="n"/>
      <c r="H1205" s="9" t="n"/>
      <c r="I1205" s="10">
        <f>IF(G1205="","",G1205*H1205)</f>
        <v/>
      </c>
      <c r="J1205" s="7" t="n"/>
    </row>
    <row r="1206">
      <c r="A1206" s="6" t="n"/>
      <c r="B1206" s="7" t="n"/>
      <c r="C1206" s="7" t="n"/>
      <c r="D1206" s="7" t="n"/>
      <c r="E1206" s="7" t="n"/>
      <c r="F1206" s="7" t="n"/>
      <c r="G1206" s="8" t="n"/>
      <c r="H1206" s="9" t="n"/>
      <c r="I1206" s="10">
        <f>IF(G1206="","",G1206*H1206)</f>
        <v/>
      </c>
      <c r="J1206" s="7" t="n"/>
    </row>
    <row r="1207">
      <c r="A1207" s="6" t="n"/>
      <c r="B1207" s="7" t="n"/>
      <c r="C1207" s="7" t="n"/>
      <c r="D1207" s="7" t="n"/>
      <c r="E1207" s="7" t="n"/>
      <c r="F1207" s="7" t="n"/>
      <c r="G1207" s="8" t="n"/>
      <c r="H1207" s="9" t="n"/>
      <c r="I1207" s="10">
        <f>IF(G1207="","",G1207*H1207)</f>
        <v/>
      </c>
      <c r="J1207" s="7" t="n"/>
    </row>
    <row r="1208">
      <c r="A1208" s="6" t="n"/>
      <c r="B1208" s="7" t="n"/>
      <c r="C1208" s="7" t="n"/>
      <c r="D1208" s="7" t="n"/>
      <c r="E1208" s="7" t="n"/>
      <c r="F1208" s="7" t="n"/>
      <c r="G1208" s="8" t="n"/>
      <c r="H1208" s="9" t="n"/>
      <c r="I1208" s="10">
        <f>IF(G1208="","",G1208*H1208)</f>
        <v/>
      </c>
      <c r="J1208" s="7" t="n"/>
    </row>
    <row r="1209">
      <c r="A1209" s="6" t="n"/>
      <c r="B1209" s="7" t="n"/>
      <c r="C1209" s="7" t="n"/>
      <c r="D1209" s="7" t="n"/>
      <c r="E1209" s="7" t="n"/>
      <c r="F1209" s="7" t="n"/>
      <c r="G1209" s="8" t="n"/>
      <c r="H1209" s="9" t="n"/>
      <c r="I1209" s="10">
        <f>IF(G1209="","",G1209*H1209)</f>
        <v/>
      </c>
      <c r="J1209" s="7" t="n"/>
    </row>
    <row r="1210">
      <c r="A1210" s="6" t="n"/>
      <c r="B1210" s="7" t="n"/>
      <c r="C1210" s="7" t="n"/>
      <c r="D1210" s="7" t="n"/>
      <c r="E1210" s="7" t="n"/>
      <c r="F1210" s="7" t="n"/>
      <c r="G1210" s="8" t="n"/>
      <c r="H1210" s="9" t="n"/>
      <c r="I1210" s="10">
        <f>IF(G1210="","",G1210*H1210)</f>
        <v/>
      </c>
      <c r="J1210" s="7" t="n"/>
    </row>
    <row r="1211">
      <c r="A1211" s="6" t="n"/>
      <c r="B1211" s="7" t="n"/>
      <c r="C1211" s="7" t="n"/>
      <c r="D1211" s="7" t="n"/>
      <c r="E1211" s="7" t="n"/>
      <c r="F1211" s="7" t="n"/>
      <c r="G1211" s="8" t="n"/>
      <c r="H1211" s="9" t="n"/>
      <c r="I1211" s="10">
        <f>IF(G1211="","",G1211*H1211)</f>
        <v/>
      </c>
      <c r="J1211" s="7" t="n"/>
    </row>
    <row r="1212">
      <c r="A1212" s="6" t="n"/>
      <c r="B1212" s="7" t="n"/>
      <c r="C1212" s="7" t="n"/>
      <c r="D1212" s="7" t="n"/>
      <c r="E1212" s="7" t="n"/>
      <c r="F1212" s="7" t="n"/>
      <c r="G1212" s="8" t="n"/>
      <c r="H1212" s="9" t="n"/>
      <c r="I1212" s="10">
        <f>IF(G1212="","",G1212*H1212)</f>
        <v/>
      </c>
      <c r="J1212" s="7" t="n"/>
    </row>
    <row r="1213">
      <c r="A1213" s="6" t="n"/>
      <c r="B1213" s="7" t="n"/>
      <c r="C1213" s="7" t="n"/>
      <c r="D1213" s="7" t="n"/>
      <c r="E1213" s="7" t="n"/>
      <c r="F1213" s="7" t="n"/>
      <c r="G1213" s="8" t="n"/>
      <c r="H1213" s="9" t="n"/>
      <c r="I1213" s="10">
        <f>IF(G1213="","",G1213*H1213)</f>
        <v/>
      </c>
      <c r="J1213" s="7" t="n"/>
    </row>
    <row r="1214">
      <c r="A1214" s="6" t="n"/>
      <c r="B1214" s="7" t="n"/>
      <c r="C1214" s="7" t="n"/>
      <c r="D1214" s="7" t="n"/>
      <c r="E1214" s="7" t="n"/>
      <c r="F1214" s="7" t="n"/>
      <c r="G1214" s="8" t="n"/>
      <c r="H1214" s="9" t="n"/>
      <c r="I1214" s="10">
        <f>IF(G1214="","",G1214*H1214)</f>
        <v/>
      </c>
      <c r="J1214" s="7" t="n"/>
    </row>
    <row r="1215">
      <c r="A1215" s="6" t="n"/>
      <c r="B1215" s="7" t="n"/>
      <c r="C1215" s="7" t="n"/>
      <c r="D1215" s="7" t="n"/>
      <c r="E1215" s="7" t="n"/>
      <c r="F1215" s="7" t="n"/>
      <c r="G1215" s="8" t="n"/>
      <c r="H1215" s="9" t="n"/>
      <c r="I1215" s="10">
        <f>IF(G1215="","",G1215*H1215)</f>
        <v/>
      </c>
      <c r="J1215" s="7" t="n"/>
    </row>
    <row r="1216">
      <c r="A1216" s="6" t="n"/>
      <c r="B1216" s="7" t="n"/>
      <c r="C1216" s="7" t="n"/>
      <c r="D1216" s="7" t="n"/>
      <c r="E1216" s="7" t="n"/>
      <c r="F1216" s="7" t="n"/>
      <c r="G1216" s="8" t="n"/>
      <c r="H1216" s="9" t="n"/>
      <c r="I1216" s="10">
        <f>IF(G1216="","",G1216*H1216)</f>
        <v/>
      </c>
      <c r="J1216" s="7" t="n"/>
    </row>
    <row r="1217">
      <c r="A1217" s="6" t="n"/>
      <c r="B1217" s="7" t="n"/>
      <c r="C1217" s="7" t="n"/>
      <c r="D1217" s="7" t="n"/>
      <c r="E1217" s="7" t="n"/>
      <c r="F1217" s="7" t="n"/>
      <c r="G1217" s="8" t="n"/>
      <c r="H1217" s="9" t="n"/>
      <c r="I1217" s="10">
        <f>IF(G1217="","",G1217*H1217)</f>
        <v/>
      </c>
      <c r="J1217" s="7" t="n"/>
    </row>
    <row r="1218">
      <c r="A1218" s="6" t="n"/>
      <c r="B1218" s="7" t="n"/>
      <c r="C1218" s="7" t="n"/>
      <c r="D1218" s="7" t="n"/>
      <c r="E1218" s="7" t="n"/>
      <c r="F1218" s="7" t="n"/>
      <c r="G1218" s="8" t="n"/>
      <c r="H1218" s="9" t="n"/>
      <c r="I1218" s="10">
        <f>IF(G1218="","",G1218*H1218)</f>
        <v/>
      </c>
      <c r="J1218" s="7" t="n"/>
    </row>
    <row r="1219">
      <c r="A1219" s="6" t="n"/>
      <c r="B1219" s="7" t="n"/>
      <c r="C1219" s="7" t="n"/>
      <c r="D1219" s="7" t="n"/>
      <c r="E1219" s="7" t="n"/>
      <c r="F1219" s="7" t="n"/>
      <c r="G1219" s="8" t="n"/>
      <c r="H1219" s="9" t="n"/>
      <c r="I1219" s="10">
        <f>IF(G1219="","",G1219*H1219)</f>
        <v/>
      </c>
      <c r="J1219" s="7" t="n"/>
    </row>
    <row r="1220">
      <c r="A1220" s="6" t="n"/>
      <c r="B1220" s="7" t="n"/>
      <c r="C1220" s="7" t="n"/>
      <c r="D1220" s="7" t="n"/>
      <c r="E1220" s="7" t="n"/>
      <c r="F1220" s="7" t="n"/>
      <c r="G1220" s="8" t="n"/>
      <c r="H1220" s="9" t="n"/>
      <c r="I1220" s="10">
        <f>IF(G1220="","",G1220*H1220)</f>
        <v/>
      </c>
      <c r="J1220" s="7" t="n"/>
    </row>
    <row r="1221">
      <c r="A1221" s="6" t="n"/>
      <c r="B1221" s="7" t="n"/>
      <c r="C1221" s="7" t="n"/>
      <c r="D1221" s="7" t="n"/>
      <c r="E1221" s="7" t="n"/>
      <c r="F1221" s="7" t="n"/>
      <c r="G1221" s="8" t="n"/>
      <c r="H1221" s="9" t="n"/>
      <c r="I1221" s="10">
        <f>IF(G1221="","",G1221*H1221)</f>
        <v/>
      </c>
      <c r="J1221" s="7" t="n"/>
    </row>
    <row r="1222">
      <c r="A1222" s="6" t="n"/>
      <c r="B1222" s="7" t="n"/>
      <c r="C1222" s="7" t="n"/>
      <c r="D1222" s="7" t="n"/>
      <c r="E1222" s="7" t="n"/>
      <c r="F1222" s="7" t="n"/>
      <c r="G1222" s="8" t="n"/>
      <c r="H1222" s="9" t="n"/>
      <c r="I1222" s="10">
        <f>IF(G1222="","",G1222*H1222)</f>
        <v/>
      </c>
      <c r="J1222" s="7" t="n"/>
    </row>
    <row r="1223">
      <c r="A1223" s="6" t="n"/>
      <c r="B1223" s="7" t="n"/>
      <c r="C1223" s="7" t="n"/>
      <c r="D1223" s="7" t="n"/>
      <c r="E1223" s="7" t="n"/>
      <c r="F1223" s="7" t="n"/>
      <c r="G1223" s="8" t="n"/>
      <c r="H1223" s="9" t="n"/>
      <c r="I1223" s="10">
        <f>IF(G1223="","",G1223*H1223)</f>
        <v/>
      </c>
      <c r="J1223" s="7" t="n"/>
    </row>
    <row r="1224">
      <c r="A1224" s="6" t="n"/>
      <c r="B1224" s="7" t="n"/>
      <c r="C1224" s="7" t="n"/>
      <c r="D1224" s="7" t="n"/>
      <c r="E1224" s="7" t="n"/>
      <c r="F1224" s="7" t="n"/>
      <c r="G1224" s="8" t="n"/>
      <c r="H1224" s="9" t="n"/>
      <c r="I1224" s="10">
        <f>IF(G1224="","",G1224*H1224)</f>
        <v/>
      </c>
      <c r="J1224" s="7" t="n"/>
    </row>
    <row r="1225">
      <c r="A1225" s="6" t="n"/>
      <c r="B1225" s="7" t="n"/>
      <c r="C1225" s="7" t="n"/>
      <c r="D1225" s="7" t="n"/>
      <c r="E1225" s="7" t="n"/>
      <c r="F1225" s="7" t="n"/>
      <c r="G1225" s="8" t="n"/>
      <c r="H1225" s="9" t="n"/>
      <c r="I1225" s="10">
        <f>IF(G1225="","",G1225*H1225)</f>
        <v/>
      </c>
      <c r="J1225" s="7" t="n"/>
    </row>
    <row r="1226">
      <c r="A1226" s="6" t="n"/>
      <c r="B1226" s="7" t="n"/>
      <c r="C1226" s="7" t="n"/>
      <c r="D1226" s="7" t="n"/>
      <c r="E1226" s="7" t="n"/>
      <c r="F1226" s="7" t="n"/>
      <c r="G1226" s="8" t="n"/>
      <c r="H1226" s="9" t="n"/>
      <c r="I1226" s="10">
        <f>IF(G1226="","",G1226*H1226)</f>
        <v/>
      </c>
      <c r="J1226" s="7" t="n"/>
    </row>
    <row r="1227">
      <c r="A1227" s="6" t="n"/>
      <c r="B1227" s="7" t="n"/>
      <c r="C1227" s="7" t="n"/>
      <c r="D1227" s="7" t="n"/>
      <c r="E1227" s="7" t="n"/>
      <c r="F1227" s="7" t="n"/>
      <c r="G1227" s="8" t="n"/>
      <c r="H1227" s="9" t="n"/>
      <c r="I1227" s="10">
        <f>IF(G1227="","",G1227*H1227)</f>
        <v/>
      </c>
      <c r="J1227" s="7" t="n"/>
    </row>
    <row r="1228">
      <c r="A1228" s="6" t="n"/>
      <c r="B1228" s="7" t="n"/>
      <c r="C1228" s="7" t="n"/>
      <c r="D1228" s="7" t="n"/>
      <c r="E1228" s="7" t="n"/>
      <c r="F1228" s="7" t="n"/>
      <c r="G1228" s="8" t="n"/>
      <c r="H1228" s="9" t="n"/>
      <c r="I1228" s="10">
        <f>IF(G1228="","",G1228*H1228)</f>
        <v/>
      </c>
      <c r="J1228" s="7" t="n"/>
    </row>
    <row r="1229">
      <c r="A1229" s="6" t="n"/>
      <c r="B1229" s="7" t="n"/>
      <c r="C1229" s="7" t="n"/>
      <c r="D1229" s="7" t="n"/>
      <c r="E1229" s="7" t="n"/>
      <c r="F1229" s="7" t="n"/>
      <c r="G1229" s="8" t="n"/>
      <c r="H1229" s="9" t="n"/>
      <c r="I1229" s="10">
        <f>IF(G1229="","",G1229*H1229)</f>
        <v/>
      </c>
      <c r="J1229" s="7" t="n"/>
    </row>
    <row r="1230">
      <c r="A1230" s="6" t="n"/>
      <c r="B1230" s="7" t="n"/>
      <c r="C1230" s="7" t="n"/>
      <c r="D1230" s="7" t="n"/>
      <c r="E1230" s="7" t="n"/>
      <c r="F1230" s="7" t="n"/>
      <c r="G1230" s="8" t="n"/>
      <c r="H1230" s="9" t="n"/>
      <c r="I1230" s="10">
        <f>IF(G1230="","",G1230*H1230)</f>
        <v/>
      </c>
      <c r="J1230" s="7" t="n"/>
    </row>
    <row r="1231">
      <c r="A1231" s="6" t="n"/>
      <c r="B1231" s="7" t="n"/>
      <c r="C1231" s="7" t="n"/>
      <c r="D1231" s="7" t="n"/>
      <c r="E1231" s="7" t="n"/>
      <c r="F1231" s="7" t="n"/>
      <c r="G1231" s="8" t="n"/>
      <c r="H1231" s="9" t="n"/>
      <c r="I1231" s="10">
        <f>IF(G1231="","",G1231*H1231)</f>
        <v/>
      </c>
      <c r="J1231" s="7" t="n"/>
    </row>
    <row r="1232">
      <c r="A1232" s="6" t="n"/>
      <c r="B1232" s="7" t="n"/>
      <c r="C1232" s="7" t="n"/>
      <c r="D1232" s="7" t="n"/>
      <c r="E1232" s="7" t="n"/>
      <c r="F1232" s="7" t="n"/>
      <c r="G1232" s="8" t="n"/>
      <c r="H1232" s="9" t="n"/>
      <c r="I1232" s="10">
        <f>IF(G1232="","",G1232*H1232)</f>
        <v/>
      </c>
      <c r="J1232" s="7" t="n"/>
    </row>
    <row r="1233">
      <c r="A1233" s="6" t="n"/>
      <c r="B1233" s="7" t="n"/>
      <c r="C1233" s="7" t="n"/>
      <c r="D1233" s="7" t="n"/>
      <c r="E1233" s="7" t="n"/>
      <c r="F1233" s="7" t="n"/>
      <c r="G1233" s="8" t="n"/>
      <c r="H1233" s="9" t="n"/>
      <c r="I1233" s="10">
        <f>IF(G1233="","",G1233*H1233)</f>
        <v/>
      </c>
      <c r="J1233" s="7" t="n"/>
    </row>
    <row r="1234">
      <c r="A1234" s="6" t="n"/>
      <c r="B1234" s="7" t="n"/>
      <c r="C1234" s="7" t="n"/>
      <c r="D1234" s="7" t="n"/>
      <c r="E1234" s="7" t="n"/>
      <c r="F1234" s="7" t="n"/>
      <c r="G1234" s="8" t="n"/>
      <c r="H1234" s="9" t="n"/>
      <c r="I1234" s="10">
        <f>IF(G1234="","",G1234*H1234)</f>
        <v/>
      </c>
      <c r="J1234" s="7" t="n"/>
    </row>
    <row r="1235">
      <c r="A1235" s="6" t="n"/>
      <c r="B1235" s="7" t="n"/>
      <c r="C1235" s="7" t="n"/>
      <c r="D1235" s="7" t="n"/>
      <c r="E1235" s="7" t="n"/>
      <c r="F1235" s="7" t="n"/>
      <c r="G1235" s="8" t="n"/>
      <c r="H1235" s="9" t="n"/>
      <c r="I1235" s="10">
        <f>IF(G1235="","",G1235*H1235)</f>
        <v/>
      </c>
      <c r="J1235" s="7" t="n"/>
    </row>
    <row r="1236">
      <c r="A1236" s="6" t="n"/>
      <c r="B1236" s="7" t="n"/>
      <c r="C1236" s="7" t="n"/>
      <c r="D1236" s="7" t="n"/>
      <c r="E1236" s="7" t="n"/>
      <c r="F1236" s="7" t="n"/>
      <c r="G1236" s="8" t="n"/>
      <c r="H1236" s="9" t="n"/>
      <c r="I1236" s="10">
        <f>IF(G1236="","",G1236*H1236)</f>
        <v/>
      </c>
      <c r="J1236" s="7" t="n"/>
    </row>
    <row r="1237">
      <c r="A1237" s="6" t="n"/>
      <c r="B1237" s="7" t="n"/>
      <c r="C1237" s="7" t="n"/>
      <c r="D1237" s="7" t="n"/>
      <c r="E1237" s="7" t="n"/>
      <c r="F1237" s="7" t="n"/>
      <c r="G1237" s="8" t="n"/>
      <c r="H1237" s="9" t="n"/>
      <c r="I1237" s="10">
        <f>IF(G1237="","",G1237*H1237)</f>
        <v/>
      </c>
      <c r="J1237" s="7" t="n"/>
    </row>
    <row r="1238">
      <c r="A1238" s="6" t="n"/>
      <c r="B1238" s="7" t="n"/>
      <c r="C1238" s="7" t="n"/>
      <c r="D1238" s="7" t="n"/>
      <c r="E1238" s="7" t="n"/>
      <c r="F1238" s="7" t="n"/>
      <c r="G1238" s="8" t="n"/>
      <c r="H1238" s="9" t="n"/>
      <c r="I1238" s="10">
        <f>IF(G1238="","",G1238*H1238)</f>
        <v/>
      </c>
      <c r="J1238" s="7" t="n"/>
    </row>
    <row r="1239">
      <c r="A1239" s="6" t="n"/>
      <c r="B1239" s="7" t="n"/>
      <c r="C1239" s="7" t="n"/>
      <c r="D1239" s="7" t="n"/>
      <c r="E1239" s="7" t="n"/>
      <c r="F1239" s="7" t="n"/>
      <c r="G1239" s="8" t="n"/>
      <c r="H1239" s="9" t="n"/>
      <c r="I1239" s="10">
        <f>IF(G1239="","",G1239*H1239)</f>
        <v/>
      </c>
      <c r="J1239" s="7" t="n"/>
    </row>
    <row r="1240">
      <c r="A1240" s="6" t="n"/>
      <c r="B1240" s="7" t="n"/>
      <c r="C1240" s="7" t="n"/>
      <c r="D1240" s="7" t="n"/>
      <c r="E1240" s="7" t="n"/>
      <c r="F1240" s="7" t="n"/>
      <c r="G1240" s="8" t="n"/>
      <c r="H1240" s="9" t="n"/>
      <c r="I1240" s="10">
        <f>IF(G1240="","",G1240*H1240)</f>
        <v/>
      </c>
      <c r="J1240" s="7" t="n"/>
    </row>
    <row r="1241">
      <c r="A1241" s="6" t="n"/>
      <c r="B1241" s="7" t="n"/>
      <c r="C1241" s="7" t="n"/>
      <c r="D1241" s="7" t="n"/>
      <c r="E1241" s="7" t="n"/>
      <c r="F1241" s="7" t="n"/>
      <c r="G1241" s="8" t="n"/>
      <c r="H1241" s="9" t="n"/>
      <c r="I1241" s="10">
        <f>IF(G1241="","",G1241*H1241)</f>
        <v/>
      </c>
      <c r="J1241" s="7" t="n"/>
    </row>
    <row r="1242">
      <c r="A1242" s="6" t="n"/>
      <c r="B1242" s="7" t="n"/>
      <c r="C1242" s="7" t="n"/>
      <c r="D1242" s="7" t="n"/>
      <c r="E1242" s="7" t="n"/>
      <c r="F1242" s="7" t="n"/>
      <c r="G1242" s="8" t="n"/>
      <c r="H1242" s="9" t="n"/>
      <c r="I1242" s="10">
        <f>IF(G1242="","",G1242*H1242)</f>
        <v/>
      </c>
      <c r="J1242" s="7" t="n"/>
    </row>
    <row r="1243">
      <c r="A1243" s="6" t="n"/>
      <c r="B1243" s="7" t="n"/>
      <c r="C1243" s="7" t="n"/>
      <c r="D1243" s="7" t="n"/>
      <c r="E1243" s="7" t="n"/>
      <c r="F1243" s="7" t="n"/>
      <c r="G1243" s="8" t="n"/>
      <c r="H1243" s="9" t="n"/>
      <c r="I1243" s="10">
        <f>IF(G1243="","",G1243*H1243)</f>
        <v/>
      </c>
      <c r="J1243" s="7" t="n"/>
    </row>
    <row r="1244">
      <c r="A1244" s="6" t="n"/>
      <c r="B1244" s="7" t="n"/>
      <c r="C1244" s="7" t="n"/>
      <c r="D1244" s="7" t="n"/>
      <c r="E1244" s="7" t="n"/>
      <c r="F1244" s="7" t="n"/>
      <c r="G1244" s="8" t="n"/>
      <c r="H1244" s="9" t="n"/>
      <c r="I1244" s="10">
        <f>IF(G1244="","",G1244*H1244)</f>
        <v/>
      </c>
      <c r="J1244" s="7" t="n"/>
    </row>
    <row r="1245">
      <c r="A1245" s="6" t="n"/>
      <c r="B1245" s="7" t="n"/>
      <c r="C1245" s="7" t="n"/>
      <c r="D1245" s="7" t="n"/>
      <c r="E1245" s="7" t="n"/>
      <c r="F1245" s="7" t="n"/>
      <c r="G1245" s="8" t="n"/>
      <c r="H1245" s="9" t="n"/>
      <c r="I1245" s="10">
        <f>IF(G1245="","",G1245*H1245)</f>
        <v/>
      </c>
      <c r="J1245" s="7" t="n"/>
    </row>
    <row r="1246">
      <c r="A1246" s="6" t="n"/>
      <c r="B1246" s="7" t="n"/>
      <c r="C1246" s="7" t="n"/>
      <c r="D1246" s="7" t="n"/>
      <c r="E1246" s="7" t="n"/>
      <c r="F1246" s="7" t="n"/>
      <c r="G1246" s="8" t="n"/>
      <c r="H1246" s="9" t="n"/>
      <c r="I1246" s="10">
        <f>IF(G1246="","",G1246*H1246)</f>
        <v/>
      </c>
      <c r="J1246" s="7" t="n"/>
    </row>
    <row r="1247">
      <c r="A1247" s="6" t="n"/>
      <c r="B1247" s="7" t="n"/>
      <c r="C1247" s="7" t="n"/>
      <c r="D1247" s="7" t="n"/>
      <c r="E1247" s="7" t="n"/>
      <c r="F1247" s="7" t="n"/>
      <c r="G1247" s="8" t="n"/>
      <c r="H1247" s="9" t="n"/>
      <c r="I1247" s="10">
        <f>IF(G1247="","",G1247*H1247)</f>
        <v/>
      </c>
      <c r="J1247" s="7" t="n"/>
    </row>
    <row r="1248">
      <c r="A1248" s="6" t="n"/>
      <c r="B1248" s="7" t="n"/>
      <c r="C1248" s="7" t="n"/>
      <c r="D1248" s="7" t="n"/>
      <c r="E1248" s="7" t="n"/>
      <c r="F1248" s="7" t="n"/>
      <c r="G1248" s="8" t="n"/>
      <c r="H1248" s="9" t="n"/>
      <c r="I1248" s="10">
        <f>IF(G1248="","",G1248*H1248)</f>
        <v/>
      </c>
      <c r="J1248" s="7" t="n"/>
    </row>
    <row r="1249">
      <c r="A1249" s="6" t="n"/>
      <c r="B1249" s="7" t="n"/>
      <c r="C1249" s="7" t="n"/>
      <c r="D1249" s="7" t="n"/>
      <c r="E1249" s="7" t="n"/>
      <c r="F1249" s="7" t="n"/>
      <c r="G1249" s="8" t="n"/>
      <c r="H1249" s="9" t="n"/>
      <c r="I1249" s="10">
        <f>IF(G1249="","",G1249*H1249)</f>
        <v/>
      </c>
      <c r="J1249" s="7" t="n"/>
    </row>
    <row r="1250">
      <c r="A1250" s="6" t="n"/>
      <c r="B1250" s="7" t="n"/>
      <c r="C1250" s="7" t="n"/>
      <c r="D1250" s="7" t="n"/>
      <c r="E1250" s="7" t="n"/>
      <c r="F1250" s="7" t="n"/>
      <c r="G1250" s="8" t="n"/>
      <c r="H1250" s="9" t="n"/>
      <c r="I1250" s="10">
        <f>IF(G1250="","",G1250*H1250)</f>
        <v/>
      </c>
      <c r="J1250" s="7" t="n"/>
    </row>
    <row r="1251">
      <c r="A1251" s="6" t="n"/>
      <c r="B1251" s="7" t="n"/>
      <c r="C1251" s="7" t="n"/>
      <c r="D1251" s="7" t="n"/>
      <c r="E1251" s="7" t="n"/>
      <c r="F1251" s="7" t="n"/>
      <c r="G1251" s="8" t="n"/>
      <c r="H1251" s="9" t="n"/>
      <c r="I1251" s="10">
        <f>IF(G1251="","",G1251*H1251)</f>
        <v/>
      </c>
      <c r="J1251" s="7" t="n"/>
    </row>
    <row r="1252">
      <c r="A1252" s="6" t="n"/>
      <c r="B1252" s="7" t="n"/>
      <c r="C1252" s="7" t="n"/>
      <c r="D1252" s="7" t="n"/>
      <c r="E1252" s="7" t="n"/>
      <c r="F1252" s="7" t="n"/>
      <c r="G1252" s="8" t="n"/>
      <c r="H1252" s="9" t="n"/>
      <c r="I1252" s="10">
        <f>IF(G1252="","",G1252*H1252)</f>
        <v/>
      </c>
      <c r="J1252" s="7" t="n"/>
    </row>
    <row r="1253">
      <c r="A1253" s="6" t="n"/>
      <c r="B1253" s="7" t="n"/>
      <c r="C1253" s="7" t="n"/>
      <c r="D1253" s="7" t="n"/>
      <c r="E1253" s="7" t="n"/>
      <c r="F1253" s="7" t="n"/>
      <c r="G1253" s="8" t="n"/>
      <c r="H1253" s="9" t="n"/>
      <c r="I1253" s="10">
        <f>IF(G1253="","",G1253*H1253)</f>
        <v/>
      </c>
      <c r="J1253" s="7" t="n"/>
    </row>
    <row r="1254">
      <c r="A1254" s="6" t="n"/>
      <c r="B1254" s="7" t="n"/>
      <c r="C1254" s="7" t="n"/>
      <c r="D1254" s="7" t="n"/>
      <c r="E1254" s="7" t="n"/>
      <c r="F1254" s="7" t="n"/>
      <c r="G1254" s="8" t="n"/>
      <c r="H1254" s="9" t="n"/>
      <c r="I1254" s="10">
        <f>IF(G1254="","",G1254*H1254)</f>
        <v/>
      </c>
      <c r="J1254" s="7" t="n"/>
    </row>
    <row r="1255">
      <c r="A1255" s="6" t="n"/>
      <c r="B1255" s="7" t="n"/>
      <c r="C1255" s="7" t="n"/>
      <c r="D1255" s="7" t="n"/>
      <c r="E1255" s="7" t="n"/>
      <c r="F1255" s="7" t="n"/>
      <c r="G1255" s="8" t="n"/>
      <c r="H1255" s="9" t="n"/>
      <c r="I1255" s="10">
        <f>IF(G1255="","",G1255*H1255)</f>
        <v/>
      </c>
      <c r="J1255" s="7" t="n"/>
    </row>
    <row r="1256">
      <c r="A1256" s="6" t="n"/>
      <c r="B1256" s="7" t="n"/>
      <c r="C1256" s="7" t="n"/>
      <c r="D1256" s="7" t="n"/>
      <c r="E1256" s="7" t="n"/>
      <c r="F1256" s="7" t="n"/>
      <c r="G1256" s="8" t="n"/>
      <c r="H1256" s="9" t="n"/>
      <c r="I1256" s="10">
        <f>IF(G1256="","",G1256*H1256)</f>
        <v/>
      </c>
      <c r="J1256" s="7" t="n"/>
    </row>
    <row r="1257">
      <c r="A1257" s="6" t="n"/>
      <c r="B1257" s="7" t="n"/>
      <c r="C1257" s="7" t="n"/>
      <c r="D1257" s="7" t="n"/>
      <c r="E1257" s="7" t="n"/>
      <c r="F1257" s="7" t="n"/>
      <c r="G1257" s="8" t="n"/>
      <c r="H1257" s="9" t="n"/>
      <c r="I1257" s="10">
        <f>IF(G1257="","",G1257*H1257)</f>
        <v/>
      </c>
      <c r="J1257" s="7" t="n"/>
    </row>
    <row r="1258">
      <c r="A1258" s="6" t="n"/>
      <c r="B1258" s="7" t="n"/>
      <c r="C1258" s="7" t="n"/>
      <c r="D1258" s="7" t="n"/>
      <c r="E1258" s="7" t="n"/>
      <c r="F1258" s="7" t="n"/>
      <c r="G1258" s="8" t="n"/>
      <c r="H1258" s="9" t="n"/>
      <c r="I1258" s="10">
        <f>IF(G1258="","",G1258*H1258)</f>
        <v/>
      </c>
      <c r="J1258" s="7" t="n"/>
    </row>
    <row r="1259">
      <c r="A1259" s="6" t="n"/>
      <c r="B1259" s="7" t="n"/>
      <c r="C1259" s="7" t="n"/>
      <c r="D1259" s="7" t="n"/>
      <c r="E1259" s="7" t="n"/>
      <c r="F1259" s="7" t="n"/>
      <c r="G1259" s="8" t="n"/>
      <c r="H1259" s="9" t="n"/>
      <c r="I1259" s="10">
        <f>IF(G1259="","",G1259*H1259)</f>
        <v/>
      </c>
      <c r="J1259" s="7" t="n"/>
    </row>
    <row r="1260">
      <c r="A1260" s="6" t="n"/>
      <c r="B1260" s="7" t="n"/>
      <c r="C1260" s="7" t="n"/>
      <c r="D1260" s="7" t="n"/>
      <c r="E1260" s="7" t="n"/>
      <c r="F1260" s="7" t="n"/>
      <c r="G1260" s="8" t="n"/>
      <c r="H1260" s="9" t="n"/>
      <c r="I1260" s="10">
        <f>IF(G1260="","",G1260*H1260)</f>
        <v/>
      </c>
      <c r="J1260" s="7" t="n"/>
    </row>
    <row r="1261">
      <c r="A1261" s="6" t="n"/>
      <c r="B1261" s="7" t="n"/>
      <c r="C1261" s="7" t="n"/>
      <c r="D1261" s="7" t="n"/>
      <c r="E1261" s="7" t="n"/>
      <c r="F1261" s="7" t="n"/>
      <c r="G1261" s="8" t="n"/>
      <c r="H1261" s="9" t="n"/>
      <c r="I1261" s="10">
        <f>IF(G1261="","",G1261*H1261)</f>
        <v/>
      </c>
      <c r="J1261" s="7" t="n"/>
    </row>
    <row r="1262">
      <c r="A1262" s="6" t="n"/>
      <c r="B1262" s="7" t="n"/>
      <c r="C1262" s="7" t="n"/>
      <c r="D1262" s="7" t="n"/>
      <c r="E1262" s="7" t="n"/>
      <c r="F1262" s="7" t="n"/>
      <c r="G1262" s="8" t="n"/>
      <c r="H1262" s="9" t="n"/>
      <c r="I1262" s="10">
        <f>IF(G1262="","",G1262*H1262)</f>
        <v/>
      </c>
      <c r="J1262" s="7" t="n"/>
    </row>
    <row r="1263">
      <c r="A1263" s="6" t="n"/>
      <c r="B1263" s="7" t="n"/>
      <c r="C1263" s="7" t="n"/>
      <c r="D1263" s="7" t="n"/>
      <c r="E1263" s="7" t="n"/>
      <c r="F1263" s="7" t="n"/>
      <c r="G1263" s="8" t="n"/>
      <c r="H1263" s="9" t="n"/>
      <c r="I1263" s="10">
        <f>IF(G1263="","",G1263*H1263)</f>
        <v/>
      </c>
      <c r="J1263" s="7" t="n"/>
    </row>
    <row r="1264">
      <c r="A1264" s="6" t="n"/>
      <c r="B1264" s="7" t="n"/>
      <c r="C1264" s="7" t="n"/>
      <c r="D1264" s="7" t="n"/>
      <c r="E1264" s="7" t="n"/>
      <c r="F1264" s="7" t="n"/>
      <c r="G1264" s="8" t="n"/>
      <c r="H1264" s="9" t="n"/>
      <c r="I1264" s="10">
        <f>IF(G1264="","",G1264*H1264)</f>
        <v/>
      </c>
      <c r="J1264" s="7" t="n"/>
    </row>
    <row r="1265">
      <c r="A1265" s="6" t="n"/>
      <c r="B1265" s="7" t="n"/>
      <c r="C1265" s="7" t="n"/>
      <c r="D1265" s="7" t="n"/>
      <c r="E1265" s="7" t="n"/>
      <c r="F1265" s="7" t="n"/>
      <c r="G1265" s="8" t="n"/>
      <c r="H1265" s="9" t="n"/>
      <c r="I1265" s="10">
        <f>IF(G1265="","",G1265*H1265)</f>
        <v/>
      </c>
      <c r="J1265" s="7" t="n"/>
    </row>
    <row r="1266">
      <c r="A1266" s="6" t="n"/>
      <c r="B1266" s="7" t="n"/>
      <c r="C1266" s="7" t="n"/>
      <c r="D1266" s="7" t="n"/>
      <c r="E1266" s="7" t="n"/>
      <c r="F1266" s="7" t="n"/>
      <c r="G1266" s="8" t="n"/>
      <c r="H1266" s="9" t="n"/>
      <c r="I1266" s="10">
        <f>IF(G1266="","",G1266*H1266)</f>
        <v/>
      </c>
      <c r="J1266" s="7" t="n"/>
    </row>
    <row r="1267">
      <c r="A1267" s="6" t="n"/>
      <c r="B1267" s="7" t="n"/>
      <c r="C1267" s="7" t="n"/>
      <c r="D1267" s="7" t="n"/>
      <c r="E1267" s="7" t="n"/>
      <c r="F1267" s="7" t="n"/>
      <c r="G1267" s="8" t="n"/>
      <c r="H1267" s="9" t="n"/>
      <c r="I1267" s="10">
        <f>IF(G1267="","",G1267*H1267)</f>
        <v/>
      </c>
      <c r="J1267" s="7" t="n"/>
    </row>
    <row r="1268">
      <c r="A1268" s="6" t="n"/>
      <c r="B1268" s="7" t="n"/>
      <c r="C1268" s="7" t="n"/>
      <c r="D1268" s="7" t="n"/>
      <c r="E1268" s="7" t="n"/>
      <c r="F1268" s="7" t="n"/>
      <c r="G1268" s="8" t="n"/>
      <c r="H1268" s="9" t="n"/>
      <c r="I1268" s="10">
        <f>IF(G1268="","",G1268*H1268)</f>
        <v/>
      </c>
      <c r="J1268" s="7" t="n"/>
    </row>
    <row r="1269">
      <c r="A1269" s="6" t="n"/>
      <c r="B1269" s="7" t="n"/>
      <c r="C1269" s="7" t="n"/>
      <c r="D1269" s="7" t="n"/>
      <c r="E1269" s="7" t="n"/>
      <c r="F1269" s="7" t="n"/>
      <c r="G1269" s="8" t="n"/>
      <c r="H1269" s="9" t="n"/>
      <c r="I1269" s="10">
        <f>IF(G1269="","",G1269*H1269)</f>
        <v/>
      </c>
      <c r="J1269" s="7" t="n"/>
    </row>
    <row r="1270">
      <c r="A1270" s="6" t="n"/>
      <c r="B1270" s="7" t="n"/>
      <c r="C1270" s="7" t="n"/>
      <c r="D1270" s="7" t="n"/>
      <c r="E1270" s="7" t="n"/>
      <c r="F1270" s="7" t="n"/>
      <c r="G1270" s="8" t="n"/>
      <c r="H1270" s="9" t="n"/>
      <c r="I1270" s="10">
        <f>IF(G1270="","",G1270*H1270)</f>
        <v/>
      </c>
      <c r="J1270" s="7" t="n"/>
    </row>
    <row r="1271">
      <c r="A1271" s="6" t="n"/>
      <c r="B1271" s="7" t="n"/>
      <c r="C1271" s="7" t="n"/>
      <c r="D1271" s="7" t="n"/>
      <c r="E1271" s="7" t="n"/>
      <c r="F1271" s="7" t="n"/>
      <c r="G1271" s="8" t="n"/>
      <c r="H1271" s="9" t="n"/>
      <c r="I1271" s="10">
        <f>IF(G1271="","",G1271*H1271)</f>
        <v/>
      </c>
      <c r="J1271" s="7" t="n"/>
    </row>
    <row r="1272">
      <c r="A1272" s="6" t="n"/>
      <c r="B1272" s="7" t="n"/>
      <c r="C1272" s="7" t="n"/>
      <c r="D1272" s="7" t="n"/>
      <c r="E1272" s="7" t="n"/>
      <c r="F1272" s="7" t="n"/>
      <c r="G1272" s="8" t="n"/>
      <c r="H1272" s="9" t="n"/>
      <c r="I1272" s="10">
        <f>IF(G1272="","",G1272*H1272)</f>
        <v/>
      </c>
      <c r="J1272" s="7" t="n"/>
    </row>
    <row r="1273">
      <c r="A1273" s="6" t="n"/>
      <c r="B1273" s="7" t="n"/>
      <c r="C1273" s="7" t="n"/>
      <c r="D1273" s="7" t="n"/>
      <c r="E1273" s="7" t="n"/>
      <c r="F1273" s="7" t="n"/>
      <c r="G1273" s="8" t="n"/>
      <c r="H1273" s="9" t="n"/>
      <c r="I1273" s="10">
        <f>IF(G1273="","",G1273*H1273)</f>
        <v/>
      </c>
      <c r="J1273" s="7" t="n"/>
    </row>
    <row r="1274">
      <c r="A1274" s="6" t="n"/>
      <c r="B1274" s="7" t="n"/>
      <c r="C1274" s="7" t="n"/>
      <c r="D1274" s="7" t="n"/>
      <c r="E1274" s="7" t="n"/>
      <c r="F1274" s="7" t="n"/>
      <c r="G1274" s="8" t="n"/>
      <c r="H1274" s="9" t="n"/>
      <c r="I1274" s="10">
        <f>IF(G1274="","",G1274*H1274)</f>
        <v/>
      </c>
      <c r="J1274" s="7" t="n"/>
    </row>
    <row r="1275">
      <c r="A1275" s="6" t="n"/>
      <c r="B1275" s="7" t="n"/>
      <c r="C1275" s="7" t="n"/>
      <c r="D1275" s="7" t="n"/>
      <c r="E1275" s="7" t="n"/>
      <c r="F1275" s="7" t="n"/>
      <c r="G1275" s="8" t="n"/>
      <c r="H1275" s="9" t="n"/>
      <c r="I1275" s="10">
        <f>IF(G1275="","",G1275*H1275)</f>
        <v/>
      </c>
      <c r="J1275" s="7" t="n"/>
    </row>
    <row r="1276">
      <c r="A1276" s="6" t="n"/>
      <c r="B1276" s="7" t="n"/>
      <c r="C1276" s="7" t="n"/>
      <c r="D1276" s="7" t="n"/>
      <c r="E1276" s="7" t="n"/>
      <c r="F1276" s="7" t="n"/>
      <c r="G1276" s="8" t="n"/>
      <c r="H1276" s="9" t="n"/>
      <c r="I1276" s="10">
        <f>IF(G1276="","",G1276*H1276)</f>
        <v/>
      </c>
      <c r="J1276" s="7" t="n"/>
    </row>
    <row r="1277">
      <c r="A1277" s="6" t="n"/>
      <c r="B1277" s="7" t="n"/>
      <c r="C1277" s="7" t="n"/>
      <c r="D1277" s="7" t="n"/>
      <c r="E1277" s="7" t="n"/>
      <c r="F1277" s="7" t="n"/>
      <c r="G1277" s="8" t="n"/>
      <c r="H1277" s="9" t="n"/>
      <c r="I1277" s="10">
        <f>IF(G1277="","",G1277*H1277)</f>
        <v/>
      </c>
      <c r="J1277" s="7" t="n"/>
    </row>
    <row r="1278">
      <c r="A1278" s="6" t="n"/>
      <c r="B1278" s="7" t="n"/>
      <c r="C1278" s="7" t="n"/>
      <c r="D1278" s="7" t="n"/>
      <c r="E1278" s="7" t="n"/>
      <c r="F1278" s="7" t="n"/>
      <c r="G1278" s="8" t="n"/>
      <c r="H1278" s="9" t="n"/>
      <c r="I1278" s="10">
        <f>IF(G1278="","",G1278*H1278)</f>
        <v/>
      </c>
      <c r="J1278" s="7" t="n"/>
    </row>
    <row r="1279">
      <c r="A1279" s="6" t="n"/>
      <c r="B1279" s="7" t="n"/>
      <c r="C1279" s="7" t="n"/>
      <c r="D1279" s="7" t="n"/>
      <c r="E1279" s="7" t="n"/>
      <c r="F1279" s="7" t="n"/>
      <c r="G1279" s="8" t="n"/>
      <c r="H1279" s="9" t="n"/>
      <c r="I1279" s="10">
        <f>IF(G1279="","",G1279*H1279)</f>
        <v/>
      </c>
      <c r="J1279" s="7" t="n"/>
    </row>
    <row r="1280">
      <c r="A1280" s="6" t="n"/>
      <c r="B1280" s="7" t="n"/>
      <c r="C1280" s="7" t="n"/>
      <c r="D1280" s="7" t="n"/>
      <c r="E1280" s="7" t="n"/>
      <c r="F1280" s="7" t="n"/>
      <c r="G1280" s="8" t="n"/>
      <c r="H1280" s="9" t="n"/>
      <c r="I1280" s="10">
        <f>IF(G1280="","",G1280*H1280)</f>
        <v/>
      </c>
      <c r="J1280" s="7" t="n"/>
    </row>
    <row r="1281">
      <c r="A1281" s="6" t="n"/>
      <c r="B1281" s="7" t="n"/>
      <c r="C1281" s="7" t="n"/>
      <c r="D1281" s="7" t="n"/>
      <c r="E1281" s="7" t="n"/>
      <c r="F1281" s="7" t="n"/>
      <c r="G1281" s="8" t="n"/>
      <c r="H1281" s="9" t="n"/>
      <c r="I1281" s="10">
        <f>IF(G1281="","",G1281*H1281)</f>
        <v/>
      </c>
      <c r="J1281" s="7" t="n"/>
    </row>
    <row r="1282">
      <c r="A1282" s="6" t="n"/>
      <c r="B1282" s="7" t="n"/>
      <c r="C1282" s="7" t="n"/>
      <c r="D1282" s="7" t="n"/>
      <c r="E1282" s="7" t="n"/>
      <c r="F1282" s="7" t="n"/>
      <c r="G1282" s="8" t="n"/>
      <c r="H1282" s="9" t="n"/>
      <c r="I1282" s="10">
        <f>IF(G1282="","",G1282*H1282)</f>
        <v/>
      </c>
      <c r="J1282" s="7" t="n"/>
    </row>
    <row r="1283">
      <c r="A1283" s="6" t="n"/>
      <c r="B1283" s="7" t="n"/>
      <c r="C1283" s="7" t="n"/>
      <c r="D1283" s="7" t="n"/>
      <c r="E1283" s="7" t="n"/>
      <c r="F1283" s="7" t="n"/>
      <c r="G1283" s="8" t="n"/>
      <c r="H1283" s="9" t="n"/>
      <c r="I1283" s="10">
        <f>IF(G1283="","",G1283*H1283)</f>
        <v/>
      </c>
      <c r="J1283" s="7" t="n"/>
    </row>
    <row r="1284">
      <c r="A1284" s="6" t="n"/>
      <c r="B1284" s="7" t="n"/>
      <c r="C1284" s="7" t="n"/>
      <c r="D1284" s="7" t="n"/>
      <c r="E1284" s="7" t="n"/>
      <c r="F1284" s="7" t="n"/>
      <c r="G1284" s="8" t="n"/>
      <c r="H1284" s="9" t="n"/>
      <c r="I1284" s="10">
        <f>IF(G1284="","",G1284*H1284)</f>
        <v/>
      </c>
      <c r="J1284" s="7" t="n"/>
    </row>
    <row r="1285">
      <c r="A1285" s="6" t="n"/>
      <c r="B1285" s="7" t="n"/>
      <c r="C1285" s="7" t="n"/>
      <c r="D1285" s="7" t="n"/>
      <c r="E1285" s="7" t="n"/>
      <c r="F1285" s="7" t="n"/>
      <c r="G1285" s="8" t="n"/>
      <c r="H1285" s="9" t="n"/>
      <c r="I1285" s="10">
        <f>IF(G1285="","",G1285*H1285)</f>
        <v/>
      </c>
      <c r="J1285" s="7" t="n"/>
    </row>
    <row r="1286">
      <c r="A1286" s="6" t="n"/>
      <c r="B1286" s="7" t="n"/>
      <c r="C1286" s="7" t="n"/>
      <c r="D1286" s="7" t="n"/>
      <c r="E1286" s="7" t="n"/>
      <c r="F1286" s="7" t="n"/>
      <c r="G1286" s="8" t="n"/>
      <c r="H1286" s="9" t="n"/>
      <c r="I1286" s="10">
        <f>IF(G1286="","",G1286*H1286)</f>
        <v/>
      </c>
      <c r="J1286" s="7" t="n"/>
    </row>
    <row r="1287">
      <c r="A1287" s="6" t="n"/>
      <c r="B1287" s="7" t="n"/>
      <c r="C1287" s="7" t="n"/>
      <c r="D1287" s="7" t="n"/>
      <c r="E1287" s="7" t="n"/>
      <c r="F1287" s="7" t="n"/>
      <c r="G1287" s="8" t="n"/>
      <c r="H1287" s="9" t="n"/>
      <c r="I1287" s="10">
        <f>IF(G1287="","",G1287*H1287)</f>
        <v/>
      </c>
      <c r="J1287" s="7" t="n"/>
    </row>
    <row r="1288">
      <c r="A1288" s="6" t="n"/>
      <c r="B1288" s="7" t="n"/>
      <c r="C1288" s="7" t="n"/>
      <c r="D1288" s="7" t="n"/>
      <c r="E1288" s="7" t="n"/>
      <c r="F1288" s="7" t="n"/>
      <c r="G1288" s="8" t="n"/>
      <c r="H1288" s="9" t="n"/>
      <c r="I1288" s="10">
        <f>IF(G1288="","",G1288*H1288)</f>
        <v/>
      </c>
      <c r="J1288" s="7" t="n"/>
    </row>
    <row r="1289">
      <c r="A1289" s="6" t="n"/>
      <c r="B1289" s="7" t="n"/>
      <c r="C1289" s="7" t="n"/>
      <c r="D1289" s="7" t="n"/>
      <c r="E1289" s="7" t="n"/>
      <c r="F1289" s="7" t="n"/>
      <c r="G1289" s="8" t="n"/>
      <c r="H1289" s="9" t="n"/>
      <c r="I1289" s="10">
        <f>IF(G1289="","",G1289*H1289)</f>
        <v/>
      </c>
      <c r="J1289" s="7" t="n"/>
    </row>
    <row r="1290">
      <c r="A1290" s="6" t="n"/>
      <c r="B1290" s="7" t="n"/>
      <c r="C1290" s="7" t="n"/>
      <c r="D1290" s="7" t="n"/>
      <c r="E1290" s="7" t="n"/>
      <c r="F1290" s="7" t="n"/>
      <c r="G1290" s="8" t="n"/>
      <c r="H1290" s="9" t="n"/>
      <c r="I1290" s="10">
        <f>IF(G1290="","",G1290*H1290)</f>
        <v/>
      </c>
      <c r="J1290" s="7" t="n"/>
    </row>
    <row r="1291">
      <c r="A1291" s="6" t="n"/>
      <c r="B1291" s="7" t="n"/>
      <c r="C1291" s="7" t="n"/>
      <c r="D1291" s="7" t="n"/>
      <c r="E1291" s="7" t="n"/>
      <c r="F1291" s="7" t="n"/>
      <c r="G1291" s="8" t="n"/>
      <c r="H1291" s="9" t="n"/>
      <c r="I1291" s="10">
        <f>IF(G1291="","",G1291*H1291)</f>
        <v/>
      </c>
      <c r="J1291" s="7" t="n"/>
    </row>
    <row r="1292">
      <c r="A1292" s="6" t="n"/>
      <c r="B1292" s="7" t="n"/>
      <c r="C1292" s="7" t="n"/>
      <c r="D1292" s="7" t="n"/>
      <c r="E1292" s="7" t="n"/>
      <c r="F1292" s="7" t="n"/>
      <c r="G1292" s="8" t="n"/>
      <c r="H1292" s="9" t="n"/>
      <c r="I1292" s="10">
        <f>IF(G1292="","",G1292*H1292)</f>
        <v/>
      </c>
      <c r="J1292" s="7" t="n"/>
    </row>
    <row r="1293">
      <c r="A1293" s="6" t="n"/>
      <c r="B1293" s="7" t="n"/>
      <c r="C1293" s="7" t="n"/>
      <c r="D1293" s="7" t="n"/>
      <c r="E1293" s="7" t="n"/>
      <c r="F1293" s="7" t="n"/>
      <c r="G1293" s="8" t="n"/>
      <c r="H1293" s="9" t="n"/>
      <c r="I1293" s="10">
        <f>IF(G1293="","",G1293*H1293)</f>
        <v/>
      </c>
      <c r="J1293" s="7" t="n"/>
    </row>
    <row r="1294">
      <c r="A1294" s="6" t="n"/>
      <c r="B1294" s="7" t="n"/>
      <c r="C1294" s="7" t="n"/>
      <c r="D1294" s="7" t="n"/>
      <c r="E1294" s="7" t="n"/>
      <c r="F1294" s="7" t="n"/>
      <c r="G1294" s="8" t="n"/>
      <c r="H1294" s="9" t="n"/>
      <c r="I1294" s="10">
        <f>IF(G1294="","",G1294*H1294)</f>
        <v/>
      </c>
      <c r="J1294" s="7" t="n"/>
    </row>
    <row r="1295">
      <c r="A1295" s="6" t="n"/>
      <c r="B1295" s="7" t="n"/>
      <c r="C1295" s="7" t="n"/>
      <c r="D1295" s="7" t="n"/>
      <c r="E1295" s="7" t="n"/>
      <c r="F1295" s="7" t="n"/>
      <c r="G1295" s="8" t="n"/>
      <c r="H1295" s="9" t="n"/>
      <c r="I1295" s="10">
        <f>IF(G1295="","",G1295*H1295)</f>
        <v/>
      </c>
      <c r="J1295" s="7" t="n"/>
    </row>
    <row r="1296">
      <c r="A1296" s="6" t="n"/>
      <c r="B1296" s="7" t="n"/>
      <c r="C1296" s="7" t="n"/>
      <c r="D1296" s="7" t="n"/>
      <c r="E1296" s="7" t="n"/>
      <c r="F1296" s="7" t="n"/>
      <c r="G1296" s="8" t="n"/>
      <c r="H1296" s="9" t="n"/>
      <c r="I1296" s="10">
        <f>IF(G1296="","",G1296*H1296)</f>
        <v/>
      </c>
      <c r="J1296" s="7" t="n"/>
    </row>
    <row r="1297">
      <c r="A1297" s="6" t="n"/>
      <c r="B1297" s="7" t="n"/>
      <c r="C1297" s="7" t="n"/>
      <c r="D1297" s="7" t="n"/>
      <c r="E1297" s="7" t="n"/>
      <c r="F1297" s="7" t="n"/>
      <c r="G1297" s="8" t="n"/>
      <c r="H1297" s="9" t="n"/>
      <c r="I1297" s="10">
        <f>IF(G1297="","",G1297*H1297)</f>
        <v/>
      </c>
      <c r="J1297" s="7" t="n"/>
    </row>
    <row r="1298">
      <c r="A1298" s="6" t="n"/>
      <c r="B1298" s="7" t="n"/>
      <c r="C1298" s="7" t="n"/>
      <c r="D1298" s="7" t="n"/>
      <c r="E1298" s="7" t="n"/>
      <c r="F1298" s="7" t="n"/>
      <c r="G1298" s="8" t="n"/>
      <c r="H1298" s="9" t="n"/>
      <c r="I1298" s="10">
        <f>IF(G1298="","",G1298*H1298)</f>
        <v/>
      </c>
      <c r="J1298" s="7" t="n"/>
    </row>
    <row r="1299">
      <c r="A1299" s="6" t="n"/>
      <c r="B1299" s="7" t="n"/>
      <c r="C1299" s="7" t="n"/>
      <c r="D1299" s="7" t="n"/>
      <c r="E1299" s="7" t="n"/>
      <c r="F1299" s="7" t="n"/>
      <c r="G1299" s="8" t="n"/>
      <c r="H1299" s="9" t="n"/>
      <c r="I1299" s="10">
        <f>IF(G1299="","",G1299*H1299)</f>
        <v/>
      </c>
      <c r="J1299" s="7" t="n"/>
    </row>
    <row r="1300">
      <c r="A1300" s="6" t="n"/>
      <c r="B1300" s="7" t="n"/>
      <c r="C1300" s="7" t="n"/>
      <c r="D1300" s="7" t="n"/>
      <c r="E1300" s="7" t="n"/>
      <c r="F1300" s="7" t="n"/>
      <c r="G1300" s="8" t="n"/>
      <c r="H1300" s="9" t="n"/>
      <c r="I1300" s="10">
        <f>IF(G1300="","",G1300*H1300)</f>
        <v/>
      </c>
      <c r="J1300" s="7" t="n"/>
    </row>
    <row r="1301">
      <c r="A1301" s="6" t="n"/>
      <c r="B1301" s="7" t="n"/>
      <c r="C1301" s="7" t="n"/>
      <c r="D1301" s="7" t="n"/>
      <c r="E1301" s="7" t="n"/>
      <c r="F1301" s="7" t="n"/>
      <c r="G1301" s="8" t="n"/>
      <c r="H1301" s="9" t="n"/>
      <c r="I1301" s="10">
        <f>IF(G1301="","",G1301*H1301)</f>
        <v/>
      </c>
      <c r="J1301" s="7" t="n"/>
    </row>
    <row r="1302">
      <c r="A1302" s="6" t="n"/>
      <c r="B1302" s="7" t="n"/>
      <c r="C1302" s="7" t="n"/>
      <c r="D1302" s="7" t="n"/>
      <c r="E1302" s="7" t="n"/>
      <c r="F1302" s="7" t="n"/>
      <c r="G1302" s="8" t="n"/>
      <c r="H1302" s="9" t="n"/>
      <c r="I1302" s="10">
        <f>IF(G1302="","",G1302*H1302)</f>
        <v/>
      </c>
      <c r="J1302" s="7" t="n"/>
    </row>
    <row r="1303">
      <c r="A1303" s="6" t="n"/>
      <c r="B1303" s="7" t="n"/>
      <c r="C1303" s="7" t="n"/>
      <c r="D1303" s="7" t="n"/>
      <c r="E1303" s="7" t="n"/>
      <c r="F1303" s="7" t="n"/>
      <c r="G1303" s="8" t="n"/>
      <c r="H1303" s="9" t="n"/>
      <c r="I1303" s="10">
        <f>IF(G1303="","",G1303*H1303)</f>
        <v/>
      </c>
      <c r="J1303" s="7" t="n"/>
    </row>
    <row r="1304">
      <c r="A1304" s="6" t="n"/>
      <c r="B1304" s="7" t="n"/>
      <c r="C1304" s="7" t="n"/>
      <c r="D1304" s="7" t="n"/>
      <c r="E1304" s="7" t="n"/>
      <c r="F1304" s="7" t="n"/>
      <c r="G1304" s="8" t="n"/>
      <c r="H1304" s="9" t="n"/>
      <c r="I1304" s="10">
        <f>IF(G1304="","",G1304*H1304)</f>
        <v/>
      </c>
      <c r="J1304" s="7" t="n"/>
    </row>
    <row r="1305">
      <c r="A1305" s="6" t="n"/>
      <c r="B1305" s="7" t="n"/>
      <c r="C1305" s="7" t="n"/>
      <c r="D1305" s="7" t="n"/>
      <c r="E1305" s="7" t="n"/>
      <c r="F1305" s="7" t="n"/>
      <c r="G1305" s="8" t="n"/>
      <c r="H1305" s="9" t="n"/>
      <c r="I1305" s="10">
        <f>IF(G1305="","",G1305*H1305)</f>
        <v/>
      </c>
      <c r="J1305" s="7" t="n"/>
    </row>
    <row r="1306">
      <c r="A1306" s="6" t="n"/>
      <c r="B1306" s="7" t="n"/>
      <c r="C1306" s="7" t="n"/>
      <c r="D1306" s="7" t="n"/>
      <c r="E1306" s="7" t="n"/>
      <c r="F1306" s="7" t="n"/>
      <c r="G1306" s="8" t="n"/>
      <c r="H1306" s="9" t="n"/>
      <c r="I1306" s="10">
        <f>IF(G1306="","",G1306*H1306)</f>
        <v/>
      </c>
      <c r="J1306" s="7" t="n"/>
    </row>
    <row r="1307">
      <c r="A1307" s="6" t="n"/>
      <c r="B1307" s="7" t="n"/>
      <c r="C1307" s="7" t="n"/>
      <c r="D1307" s="7" t="n"/>
      <c r="E1307" s="7" t="n"/>
      <c r="F1307" s="7" t="n"/>
      <c r="G1307" s="8" t="n"/>
      <c r="H1307" s="9" t="n"/>
      <c r="I1307" s="10">
        <f>IF(G1307="","",G1307*H1307)</f>
        <v/>
      </c>
      <c r="J1307" s="7" t="n"/>
    </row>
    <row r="1308">
      <c r="A1308" s="6" t="n"/>
      <c r="B1308" s="7" t="n"/>
      <c r="C1308" s="7" t="n"/>
      <c r="D1308" s="7" t="n"/>
      <c r="E1308" s="7" t="n"/>
      <c r="F1308" s="7" t="n"/>
      <c r="G1308" s="8" t="n"/>
      <c r="H1308" s="9" t="n"/>
      <c r="I1308" s="10">
        <f>IF(G1308="","",G1308*H1308)</f>
        <v/>
      </c>
      <c r="J1308" s="7" t="n"/>
    </row>
    <row r="1309">
      <c r="A1309" s="6" t="n"/>
      <c r="B1309" s="7" t="n"/>
      <c r="C1309" s="7" t="n"/>
      <c r="D1309" s="7" t="n"/>
      <c r="E1309" s="7" t="n"/>
      <c r="F1309" s="7" t="n"/>
      <c r="G1309" s="8" t="n"/>
      <c r="H1309" s="9" t="n"/>
      <c r="I1309" s="10">
        <f>IF(G1309="","",G1309*H1309)</f>
        <v/>
      </c>
      <c r="J1309" s="7" t="n"/>
    </row>
    <row r="1310">
      <c r="A1310" s="6" t="n"/>
      <c r="B1310" s="7" t="n"/>
      <c r="C1310" s="7" t="n"/>
      <c r="D1310" s="7" t="n"/>
      <c r="E1310" s="7" t="n"/>
      <c r="F1310" s="7" t="n"/>
      <c r="G1310" s="8" t="n"/>
      <c r="H1310" s="9" t="n"/>
      <c r="I1310" s="10">
        <f>IF(G1310="","",G1310*H1310)</f>
        <v/>
      </c>
      <c r="J1310" s="7" t="n"/>
    </row>
    <row r="1311">
      <c r="A1311" s="6" t="n"/>
      <c r="B1311" s="7" t="n"/>
      <c r="C1311" s="7" t="n"/>
      <c r="D1311" s="7" t="n"/>
      <c r="E1311" s="7" t="n"/>
      <c r="F1311" s="7" t="n"/>
      <c r="G1311" s="8" t="n"/>
      <c r="H1311" s="9" t="n"/>
      <c r="I1311" s="10">
        <f>IF(G1311="","",G1311*H1311)</f>
        <v/>
      </c>
      <c r="J1311" s="7" t="n"/>
    </row>
    <row r="1312">
      <c r="A1312" s="6" t="n"/>
      <c r="B1312" s="7" t="n"/>
      <c r="C1312" s="7" t="n"/>
      <c r="D1312" s="7" t="n"/>
      <c r="E1312" s="7" t="n"/>
      <c r="F1312" s="7" t="n"/>
      <c r="G1312" s="8" t="n"/>
      <c r="H1312" s="9" t="n"/>
      <c r="I1312" s="10">
        <f>IF(G1312="","",G1312*H1312)</f>
        <v/>
      </c>
      <c r="J1312" s="7" t="n"/>
    </row>
    <row r="1313">
      <c r="A1313" s="6" t="n"/>
      <c r="B1313" s="7" t="n"/>
      <c r="C1313" s="7" t="n"/>
      <c r="D1313" s="7" t="n"/>
      <c r="E1313" s="7" t="n"/>
      <c r="F1313" s="7" t="n"/>
      <c r="G1313" s="8" t="n"/>
      <c r="H1313" s="9" t="n"/>
      <c r="I1313" s="10">
        <f>IF(G1313="","",G1313*H1313)</f>
        <v/>
      </c>
      <c r="J1313" s="7" t="n"/>
    </row>
    <row r="1314">
      <c r="A1314" s="6" t="n"/>
      <c r="B1314" s="7" t="n"/>
      <c r="C1314" s="7" t="n"/>
      <c r="D1314" s="7" t="n"/>
      <c r="E1314" s="7" t="n"/>
      <c r="F1314" s="7" t="n"/>
      <c r="G1314" s="8" t="n"/>
      <c r="H1314" s="9" t="n"/>
      <c r="I1314" s="10">
        <f>IF(G1314="","",G1314*H1314)</f>
        <v/>
      </c>
      <c r="J1314" s="7" t="n"/>
    </row>
    <row r="1315">
      <c r="A1315" s="6" t="n"/>
      <c r="B1315" s="7" t="n"/>
      <c r="C1315" s="7" t="n"/>
      <c r="D1315" s="7" t="n"/>
      <c r="E1315" s="7" t="n"/>
      <c r="F1315" s="7" t="n"/>
      <c r="G1315" s="8" t="n"/>
      <c r="H1315" s="9" t="n"/>
      <c r="I1315" s="10">
        <f>IF(G1315="","",G1315*H1315)</f>
        <v/>
      </c>
      <c r="J1315" s="7" t="n"/>
    </row>
    <row r="1316">
      <c r="A1316" s="6" t="n"/>
      <c r="B1316" s="7" t="n"/>
      <c r="C1316" s="7" t="n"/>
      <c r="D1316" s="7" t="n"/>
      <c r="E1316" s="7" t="n"/>
      <c r="F1316" s="7" t="n"/>
      <c r="G1316" s="8" t="n"/>
      <c r="H1316" s="9" t="n"/>
      <c r="I1316" s="10">
        <f>IF(G1316="","",G1316*H1316)</f>
        <v/>
      </c>
      <c r="J1316" s="7" t="n"/>
    </row>
    <row r="1317">
      <c r="A1317" s="6" t="n"/>
      <c r="B1317" s="7" t="n"/>
      <c r="C1317" s="7" t="n"/>
      <c r="D1317" s="7" t="n"/>
      <c r="E1317" s="7" t="n"/>
      <c r="F1317" s="7" t="n"/>
      <c r="G1317" s="8" t="n"/>
      <c r="H1317" s="9" t="n"/>
      <c r="I1317" s="10">
        <f>IF(G1317="","",G1317*H1317)</f>
        <v/>
      </c>
      <c r="J1317" s="7" t="n"/>
    </row>
    <row r="1318">
      <c r="A1318" s="6" t="n"/>
      <c r="B1318" s="7" t="n"/>
      <c r="C1318" s="7" t="n"/>
      <c r="D1318" s="7" t="n"/>
      <c r="E1318" s="7" t="n"/>
      <c r="F1318" s="7" t="n"/>
      <c r="G1318" s="8" t="n"/>
      <c r="H1318" s="9" t="n"/>
      <c r="I1318" s="10">
        <f>IF(G1318="","",G1318*H1318)</f>
        <v/>
      </c>
      <c r="J1318" s="7" t="n"/>
    </row>
    <row r="1319">
      <c r="A1319" s="6" t="n"/>
      <c r="B1319" s="7" t="n"/>
      <c r="C1319" s="7" t="n"/>
      <c r="D1319" s="7" t="n"/>
      <c r="E1319" s="7" t="n"/>
      <c r="F1319" s="7" t="n"/>
      <c r="G1319" s="8" t="n"/>
      <c r="H1319" s="9" t="n"/>
      <c r="I1319" s="10">
        <f>IF(G1319="","",G1319*H1319)</f>
        <v/>
      </c>
      <c r="J1319" s="7" t="n"/>
    </row>
    <row r="1320">
      <c r="A1320" s="6" t="n"/>
      <c r="B1320" s="7" t="n"/>
      <c r="C1320" s="7" t="n"/>
      <c r="D1320" s="7" t="n"/>
      <c r="E1320" s="7" t="n"/>
      <c r="F1320" s="7" t="n"/>
      <c r="G1320" s="8" t="n"/>
      <c r="H1320" s="9" t="n"/>
      <c r="I1320" s="10">
        <f>IF(G1320="","",G1320*H1320)</f>
        <v/>
      </c>
      <c r="J1320" s="7" t="n"/>
    </row>
    <row r="1321">
      <c r="A1321" s="6" t="n"/>
      <c r="B1321" s="7" t="n"/>
      <c r="C1321" s="7" t="n"/>
      <c r="D1321" s="7" t="n"/>
      <c r="E1321" s="7" t="n"/>
      <c r="F1321" s="7" t="n"/>
      <c r="G1321" s="8" t="n"/>
      <c r="H1321" s="9" t="n"/>
      <c r="I1321" s="10">
        <f>IF(G1321="","",G1321*H1321)</f>
        <v/>
      </c>
      <c r="J1321" s="7" t="n"/>
    </row>
    <row r="1322">
      <c r="A1322" s="6" t="n"/>
      <c r="B1322" s="7" t="n"/>
      <c r="C1322" s="7" t="n"/>
      <c r="D1322" s="7" t="n"/>
      <c r="E1322" s="7" t="n"/>
      <c r="F1322" s="7" t="n"/>
      <c r="G1322" s="8" t="n"/>
      <c r="H1322" s="9" t="n"/>
      <c r="I1322" s="10">
        <f>IF(G1322="","",G1322*H1322)</f>
        <v/>
      </c>
      <c r="J1322" s="7" t="n"/>
    </row>
    <row r="1323">
      <c r="A1323" s="6" t="n"/>
      <c r="B1323" s="7" t="n"/>
      <c r="C1323" s="7" t="n"/>
      <c r="D1323" s="7" t="n"/>
      <c r="E1323" s="7" t="n"/>
      <c r="F1323" s="7" t="n"/>
      <c r="G1323" s="8" t="n"/>
      <c r="H1323" s="9" t="n"/>
      <c r="I1323" s="10">
        <f>IF(G1323="","",G1323*H1323)</f>
        <v/>
      </c>
      <c r="J1323" s="7" t="n"/>
    </row>
    <row r="1324">
      <c r="A1324" s="6" t="n"/>
      <c r="B1324" s="7" t="n"/>
      <c r="C1324" s="7" t="n"/>
      <c r="D1324" s="7" t="n"/>
      <c r="E1324" s="7" t="n"/>
      <c r="F1324" s="7" t="n"/>
      <c r="G1324" s="8" t="n"/>
      <c r="H1324" s="9" t="n"/>
      <c r="I1324" s="10">
        <f>IF(G1324="","",G1324*H1324)</f>
        <v/>
      </c>
      <c r="J1324" s="7" t="n"/>
    </row>
    <row r="1325">
      <c r="A1325" s="6" t="n"/>
      <c r="B1325" s="7" t="n"/>
      <c r="C1325" s="7" t="n"/>
      <c r="D1325" s="7" t="n"/>
      <c r="E1325" s="7" t="n"/>
      <c r="F1325" s="7" t="n"/>
      <c r="G1325" s="8" t="n"/>
      <c r="H1325" s="9" t="n"/>
      <c r="I1325" s="10">
        <f>IF(G1325="","",G1325*H1325)</f>
        <v/>
      </c>
      <c r="J1325" s="7" t="n"/>
    </row>
    <row r="1326">
      <c r="A1326" s="6" t="n"/>
      <c r="B1326" s="7" t="n"/>
      <c r="C1326" s="7" t="n"/>
      <c r="D1326" s="7" t="n"/>
      <c r="E1326" s="7" t="n"/>
      <c r="F1326" s="7" t="n"/>
      <c r="G1326" s="8" t="n"/>
      <c r="H1326" s="9" t="n"/>
      <c r="I1326" s="10">
        <f>IF(G1326="","",G1326*H1326)</f>
        <v/>
      </c>
      <c r="J1326" s="7" t="n"/>
    </row>
    <row r="1327">
      <c r="A1327" s="6" t="n"/>
      <c r="B1327" s="7" t="n"/>
      <c r="C1327" s="7" t="n"/>
      <c r="D1327" s="7" t="n"/>
      <c r="E1327" s="7" t="n"/>
      <c r="F1327" s="7" t="n"/>
      <c r="G1327" s="8" t="n"/>
      <c r="H1327" s="9" t="n"/>
      <c r="I1327" s="10">
        <f>IF(G1327="","",G1327*H1327)</f>
        <v/>
      </c>
      <c r="J1327" s="7" t="n"/>
    </row>
    <row r="1328">
      <c r="A1328" s="6" t="n"/>
      <c r="B1328" s="7" t="n"/>
      <c r="C1328" s="7" t="n"/>
      <c r="D1328" s="7" t="n"/>
      <c r="E1328" s="7" t="n"/>
      <c r="F1328" s="7" t="n"/>
      <c r="G1328" s="8" t="n"/>
      <c r="H1328" s="9" t="n"/>
      <c r="I1328" s="10">
        <f>IF(G1328="","",G1328*H1328)</f>
        <v/>
      </c>
      <c r="J1328" s="7" t="n"/>
    </row>
    <row r="1329">
      <c r="A1329" s="6" t="n"/>
      <c r="B1329" s="7" t="n"/>
      <c r="C1329" s="7" t="n"/>
      <c r="D1329" s="7" t="n"/>
      <c r="E1329" s="7" t="n"/>
      <c r="F1329" s="7" t="n"/>
      <c r="G1329" s="8" t="n"/>
      <c r="H1329" s="9" t="n"/>
      <c r="I1329" s="10">
        <f>IF(G1329="","",G1329*H1329)</f>
        <v/>
      </c>
      <c r="J1329" s="7" t="n"/>
    </row>
    <row r="1330">
      <c r="A1330" s="6" t="n"/>
      <c r="B1330" s="7" t="n"/>
      <c r="C1330" s="7" t="n"/>
      <c r="D1330" s="7" t="n"/>
      <c r="E1330" s="7" t="n"/>
      <c r="F1330" s="7" t="n"/>
      <c r="G1330" s="8" t="n"/>
      <c r="H1330" s="9" t="n"/>
      <c r="I1330" s="10">
        <f>IF(G1330="","",G1330*H1330)</f>
        <v/>
      </c>
      <c r="J1330" s="7" t="n"/>
    </row>
    <row r="1331">
      <c r="A1331" s="6" t="n"/>
      <c r="B1331" s="7" t="n"/>
      <c r="C1331" s="7" t="n"/>
      <c r="D1331" s="7" t="n"/>
      <c r="E1331" s="7" t="n"/>
      <c r="F1331" s="7" t="n"/>
      <c r="G1331" s="8" t="n"/>
      <c r="H1331" s="9" t="n"/>
      <c r="I1331" s="10">
        <f>IF(G1331="","",G1331*H1331)</f>
        <v/>
      </c>
      <c r="J1331" s="7" t="n"/>
    </row>
    <row r="1332">
      <c r="A1332" s="6" t="n"/>
      <c r="B1332" s="7" t="n"/>
      <c r="C1332" s="7" t="n"/>
      <c r="D1332" s="7" t="n"/>
      <c r="E1332" s="7" t="n"/>
      <c r="F1332" s="7" t="n"/>
      <c r="G1332" s="8" t="n"/>
      <c r="H1332" s="9" t="n"/>
      <c r="I1332" s="10">
        <f>IF(G1332="","",G1332*H1332)</f>
        <v/>
      </c>
      <c r="J1332" s="7" t="n"/>
    </row>
    <row r="1333">
      <c r="A1333" s="6" t="n"/>
      <c r="B1333" s="7" t="n"/>
      <c r="C1333" s="7" t="n"/>
      <c r="D1333" s="7" t="n"/>
      <c r="E1333" s="7" t="n"/>
      <c r="F1333" s="7" t="n"/>
      <c r="G1333" s="8" t="n"/>
      <c r="H1333" s="9" t="n"/>
      <c r="I1333" s="10">
        <f>IF(G1333="","",G1333*H1333)</f>
        <v/>
      </c>
      <c r="J1333" s="7" t="n"/>
    </row>
    <row r="1334">
      <c r="A1334" s="6" t="n"/>
      <c r="B1334" s="7" t="n"/>
      <c r="C1334" s="7" t="n"/>
      <c r="D1334" s="7" t="n"/>
      <c r="E1334" s="7" t="n"/>
      <c r="F1334" s="7" t="n"/>
      <c r="G1334" s="8" t="n"/>
      <c r="H1334" s="9" t="n"/>
      <c r="I1334" s="10">
        <f>IF(G1334="","",G1334*H1334)</f>
        <v/>
      </c>
      <c r="J1334" s="7" t="n"/>
    </row>
    <row r="1335">
      <c r="A1335" s="6" t="n"/>
      <c r="B1335" s="7" t="n"/>
      <c r="C1335" s="7" t="n"/>
      <c r="D1335" s="7" t="n"/>
      <c r="E1335" s="7" t="n"/>
      <c r="F1335" s="7" t="n"/>
      <c r="G1335" s="8" t="n"/>
      <c r="H1335" s="9" t="n"/>
      <c r="I1335" s="10">
        <f>IF(G1335="","",G1335*H1335)</f>
        <v/>
      </c>
      <c r="J1335" s="7" t="n"/>
    </row>
    <row r="1336">
      <c r="A1336" s="6" t="n"/>
      <c r="B1336" s="7" t="n"/>
      <c r="C1336" s="7" t="n"/>
      <c r="D1336" s="7" t="n"/>
      <c r="E1336" s="7" t="n"/>
      <c r="F1336" s="7" t="n"/>
      <c r="G1336" s="8" t="n"/>
      <c r="H1336" s="9" t="n"/>
      <c r="I1336" s="10">
        <f>IF(G1336="","",G1336*H1336)</f>
        <v/>
      </c>
      <c r="J1336" s="7" t="n"/>
    </row>
    <row r="1337">
      <c r="A1337" s="6" t="n"/>
      <c r="B1337" s="7" t="n"/>
      <c r="C1337" s="7" t="n"/>
      <c r="D1337" s="7" t="n"/>
      <c r="E1337" s="7" t="n"/>
      <c r="F1337" s="7" t="n"/>
      <c r="G1337" s="8" t="n"/>
      <c r="H1337" s="9" t="n"/>
      <c r="I1337" s="10">
        <f>IF(G1337="","",G1337*H1337)</f>
        <v/>
      </c>
      <c r="J1337" s="7" t="n"/>
    </row>
    <row r="1338">
      <c r="A1338" s="6" t="n"/>
      <c r="B1338" s="7" t="n"/>
      <c r="C1338" s="7" t="n"/>
      <c r="D1338" s="7" t="n"/>
      <c r="E1338" s="7" t="n"/>
      <c r="F1338" s="7" t="n"/>
      <c r="G1338" s="8" t="n"/>
      <c r="H1338" s="9" t="n"/>
      <c r="I1338" s="10">
        <f>IF(G1338="","",G1338*H1338)</f>
        <v/>
      </c>
      <c r="J1338" s="7" t="n"/>
    </row>
    <row r="1339">
      <c r="A1339" s="6" t="n"/>
      <c r="B1339" s="7" t="n"/>
      <c r="C1339" s="7" t="n"/>
      <c r="D1339" s="7" t="n"/>
      <c r="E1339" s="7" t="n"/>
      <c r="F1339" s="7" t="n"/>
      <c r="G1339" s="8" t="n"/>
      <c r="H1339" s="9" t="n"/>
      <c r="I1339" s="10">
        <f>IF(G1339="","",G1339*H1339)</f>
        <v/>
      </c>
      <c r="J1339" s="7" t="n"/>
    </row>
    <row r="1340">
      <c r="A1340" s="6" t="n"/>
      <c r="B1340" s="7" t="n"/>
      <c r="C1340" s="7" t="n"/>
      <c r="D1340" s="7" t="n"/>
      <c r="E1340" s="7" t="n"/>
      <c r="F1340" s="7" t="n"/>
      <c r="G1340" s="8" t="n"/>
      <c r="H1340" s="9" t="n"/>
      <c r="I1340" s="10">
        <f>IF(G1340="","",G1340*H1340)</f>
        <v/>
      </c>
      <c r="J1340" s="7" t="n"/>
    </row>
    <row r="1341">
      <c r="A1341" s="6" t="n"/>
      <c r="B1341" s="7" t="n"/>
      <c r="C1341" s="7" t="n"/>
      <c r="D1341" s="7" t="n"/>
      <c r="E1341" s="7" t="n"/>
      <c r="F1341" s="7" t="n"/>
      <c r="G1341" s="8" t="n"/>
      <c r="H1341" s="9" t="n"/>
      <c r="I1341" s="10">
        <f>IF(G1341="","",G1341*H1341)</f>
        <v/>
      </c>
      <c r="J1341" s="7" t="n"/>
    </row>
    <row r="1342">
      <c r="A1342" s="6" t="n"/>
      <c r="B1342" s="7" t="n"/>
      <c r="C1342" s="7" t="n"/>
      <c r="D1342" s="7" t="n"/>
      <c r="E1342" s="7" t="n"/>
      <c r="F1342" s="7" t="n"/>
      <c r="G1342" s="8" t="n"/>
      <c r="H1342" s="9" t="n"/>
      <c r="I1342" s="10">
        <f>IF(G1342="","",G1342*H1342)</f>
        <v/>
      </c>
      <c r="J1342" s="7" t="n"/>
    </row>
    <row r="1343">
      <c r="A1343" s="6" t="n"/>
      <c r="B1343" s="7" t="n"/>
      <c r="C1343" s="7" t="n"/>
      <c r="D1343" s="7" t="n"/>
      <c r="E1343" s="7" t="n"/>
      <c r="F1343" s="7" t="n"/>
      <c r="G1343" s="8" t="n"/>
      <c r="H1343" s="9" t="n"/>
      <c r="I1343" s="10">
        <f>IF(G1343="","",G1343*H1343)</f>
        <v/>
      </c>
      <c r="J1343" s="7" t="n"/>
    </row>
    <row r="1344">
      <c r="A1344" s="6" t="n"/>
      <c r="B1344" s="7" t="n"/>
      <c r="C1344" s="7" t="n"/>
      <c r="D1344" s="7" t="n"/>
      <c r="E1344" s="7" t="n"/>
      <c r="F1344" s="7" t="n"/>
      <c r="G1344" s="8" t="n"/>
      <c r="H1344" s="9" t="n"/>
      <c r="I1344" s="10">
        <f>IF(G1344="","",G1344*H1344)</f>
        <v/>
      </c>
      <c r="J1344" s="7" t="n"/>
    </row>
    <row r="1345">
      <c r="A1345" s="6" t="n"/>
      <c r="B1345" s="7" t="n"/>
      <c r="C1345" s="7" t="n"/>
      <c r="D1345" s="7" t="n"/>
      <c r="E1345" s="7" t="n"/>
      <c r="F1345" s="7" t="n"/>
      <c r="G1345" s="8" t="n"/>
      <c r="H1345" s="9" t="n"/>
      <c r="I1345" s="10">
        <f>IF(G1345="","",G1345*H1345)</f>
        <v/>
      </c>
      <c r="J1345" s="7" t="n"/>
    </row>
    <row r="1346">
      <c r="A1346" s="6" t="n"/>
      <c r="B1346" s="7" t="n"/>
      <c r="C1346" s="7" t="n"/>
      <c r="D1346" s="7" t="n"/>
      <c r="E1346" s="7" t="n"/>
      <c r="F1346" s="7" t="n"/>
      <c r="G1346" s="8" t="n"/>
      <c r="H1346" s="9" t="n"/>
      <c r="I1346" s="10">
        <f>IF(G1346="","",G1346*H1346)</f>
        <v/>
      </c>
      <c r="J1346" s="7" t="n"/>
    </row>
    <row r="1347">
      <c r="A1347" s="6" t="n"/>
      <c r="B1347" s="7" t="n"/>
      <c r="C1347" s="7" t="n"/>
      <c r="D1347" s="7" t="n"/>
      <c r="E1347" s="7" t="n"/>
      <c r="F1347" s="7" t="n"/>
      <c r="G1347" s="8" t="n"/>
      <c r="H1347" s="9" t="n"/>
      <c r="I1347" s="10">
        <f>IF(G1347="","",G1347*H1347)</f>
        <v/>
      </c>
      <c r="J1347" s="7" t="n"/>
    </row>
    <row r="1348">
      <c r="A1348" s="6" t="n"/>
      <c r="B1348" s="7" t="n"/>
      <c r="C1348" s="7" t="n"/>
      <c r="D1348" s="7" t="n"/>
      <c r="E1348" s="7" t="n"/>
      <c r="F1348" s="7" t="n"/>
      <c r="G1348" s="8" t="n"/>
      <c r="H1348" s="9" t="n"/>
      <c r="I1348" s="10">
        <f>IF(G1348="","",G1348*H1348)</f>
        <v/>
      </c>
      <c r="J1348" s="7" t="n"/>
    </row>
    <row r="1349">
      <c r="A1349" s="6" t="n"/>
      <c r="B1349" s="7" t="n"/>
      <c r="C1349" s="7" t="n"/>
      <c r="D1349" s="7" t="n"/>
      <c r="E1349" s="7" t="n"/>
      <c r="F1349" s="7" t="n"/>
      <c r="G1349" s="8" t="n"/>
      <c r="H1349" s="9" t="n"/>
      <c r="I1349" s="10">
        <f>IF(G1349="","",G1349*H1349)</f>
        <v/>
      </c>
      <c r="J1349" s="7" t="n"/>
    </row>
    <row r="1350">
      <c r="A1350" s="6" t="n"/>
      <c r="B1350" s="7" t="n"/>
      <c r="C1350" s="7" t="n"/>
      <c r="D1350" s="7" t="n"/>
      <c r="E1350" s="7" t="n"/>
      <c r="F1350" s="7" t="n"/>
      <c r="G1350" s="8" t="n"/>
      <c r="H1350" s="9" t="n"/>
      <c r="I1350" s="10">
        <f>IF(G1350="","",G1350*H1350)</f>
        <v/>
      </c>
      <c r="J1350" s="7" t="n"/>
    </row>
    <row r="1351">
      <c r="A1351" s="6" t="n"/>
      <c r="B1351" s="7" t="n"/>
      <c r="C1351" s="7" t="n"/>
      <c r="D1351" s="7" t="n"/>
      <c r="E1351" s="7" t="n"/>
      <c r="F1351" s="7" t="n"/>
      <c r="G1351" s="8" t="n"/>
      <c r="H1351" s="9" t="n"/>
      <c r="I1351" s="10">
        <f>IF(G1351="","",G1351*H1351)</f>
        <v/>
      </c>
      <c r="J1351" s="7" t="n"/>
    </row>
    <row r="1352">
      <c r="A1352" s="6" t="n"/>
      <c r="B1352" s="7" t="n"/>
      <c r="C1352" s="7" t="n"/>
      <c r="D1352" s="7" t="n"/>
      <c r="E1352" s="7" t="n"/>
      <c r="F1352" s="7" t="n"/>
      <c r="G1352" s="8" t="n"/>
      <c r="H1352" s="9" t="n"/>
      <c r="I1352" s="10">
        <f>IF(G1352="","",G1352*H1352)</f>
        <v/>
      </c>
      <c r="J1352" s="7" t="n"/>
    </row>
    <row r="1353">
      <c r="A1353" s="6" t="n"/>
      <c r="B1353" s="7" t="n"/>
      <c r="C1353" s="7" t="n"/>
      <c r="D1353" s="7" t="n"/>
      <c r="E1353" s="7" t="n"/>
      <c r="F1353" s="7" t="n"/>
      <c r="G1353" s="8" t="n"/>
      <c r="H1353" s="9" t="n"/>
      <c r="I1353" s="10">
        <f>IF(G1353="","",G1353*H1353)</f>
        <v/>
      </c>
      <c r="J1353" s="7" t="n"/>
    </row>
    <row r="1354">
      <c r="A1354" s="6" t="n"/>
      <c r="B1354" s="7" t="n"/>
      <c r="C1354" s="7" t="n"/>
      <c r="D1354" s="7" t="n"/>
      <c r="E1354" s="7" t="n"/>
      <c r="F1354" s="7" t="n"/>
      <c r="G1354" s="8" t="n"/>
      <c r="H1354" s="9" t="n"/>
      <c r="I1354" s="10">
        <f>IF(G1354="","",G1354*H1354)</f>
        <v/>
      </c>
      <c r="J1354" s="7" t="n"/>
    </row>
    <row r="1355">
      <c r="A1355" s="6" t="n"/>
      <c r="B1355" s="7" t="n"/>
      <c r="C1355" s="7" t="n"/>
      <c r="D1355" s="7" t="n"/>
      <c r="E1355" s="7" t="n"/>
      <c r="F1355" s="7" t="n"/>
      <c r="G1355" s="8" t="n"/>
      <c r="H1355" s="9" t="n"/>
      <c r="I1355" s="10">
        <f>IF(G1355="","",G1355*H1355)</f>
        <v/>
      </c>
      <c r="J1355" s="7" t="n"/>
    </row>
    <row r="1356">
      <c r="A1356" s="6" t="n"/>
      <c r="B1356" s="7" t="n"/>
      <c r="C1356" s="7" t="n"/>
      <c r="D1356" s="7" t="n"/>
      <c r="E1356" s="7" t="n"/>
      <c r="F1356" s="7" t="n"/>
      <c r="G1356" s="8" t="n"/>
      <c r="H1356" s="9" t="n"/>
      <c r="I1356" s="10">
        <f>IF(G1356="","",G1356*H1356)</f>
        <v/>
      </c>
      <c r="J1356" s="7" t="n"/>
    </row>
    <row r="1357">
      <c r="A1357" s="6" t="n"/>
      <c r="B1357" s="7" t="n"/>
      <c r="C1357" s="7" t="n"/>
      <c r="D1357" s="7" t="n"/>
      <c r="E1357" s="7" t="n"/>
      <c r="F1357" s="7" t="n"/>
      <c r="G1357" s="8" t="n"/>
      <c r="H1357" s="9" t="n"/>
      <c r="I1357" s="10">
        <f>IF(G1357="","",G1357*H1357)</f>
        <v/>
      </c>
      <c r="J1357" s="7" t="n"/>
    </row>
    <row r="1358">
      <c r="A1358" s="6" t="n"/>
      <c r="B1358" s="7" t="n"/>
      <c r="C1358" s="7" t="n"/>
      <c r="D1358" s="7" t="n"/>
      <c r="E1358" s="7" t="n"/>
      <c r="F1358" s="7" t="n"/>
      <c r="G1358" s="8" t="n"/>
      <c r="H1358" s="9" t="n"/>
      <c r="I1358" s="10">
        <f>IF(G1358="","",G1358*H1358)</f>
        <v/>
      </c>
      <c r="J1358" s="7" t="n"/>
    </row>
    <row r="1359">
      <c r="A1359" s="6" t="n"/>
      <c r="B1359" s="7" t="n"/>
      <c r="C1359" s="7" t="n"/>
      <c r="D1359" s="7" t="n"/>
      <c r="E1359" s="7" t="n"/>
      <c r="F1359" s="7" t="n"/>
      <c r="G1359" s="8" t="n"/>
      <c r="H1359" s="9" t="n"/>
      <c r="I1359" s="10">
        <f>IF(G1359="","",G1359*H1359)</f>
        <v/>
      </c>
      <c r="J1359" s="7" t="n"/>
    </row>
    <row r="1360">
      <c r="A1360" s="6" t="n"/>
      <c r="B1360" s="7" t="n"/>
      <c r="C1360" s="7" t="n"/>
      <c r="D1360" s="7" t="n"/>
      <c r="E1360" s="7" t="n"/>
      <c r="F1360" s="7" t="n"/>
      <c r="G1360" s="8" t="n"/>
      <c r="H1360" s="9" t="n"/>
      <c r="I1360" s="10">
        <f>IF(G1360="","",G1360*H1360)</f>
        <v/>
      </c>
      <c r="J1360" s="7" t="n"/>
    </row>
    <row r="1361">
      <c r="A1361" s="6" t="n"/>
      <c r="B1361" s="7" t="n"/>
      <c r="C1361" s="7" t="n"/>
      <c r="D1361" s="7" t="n"/>
      <c r="E1361" s="7" t="n"/>
      <c r="F1361" s="7" t="n"/>
      <c r="G1361" s="8" t="n"/>
      <c r="H1361" s="9" t="n"/>
      <c r="I1361" s="10">
        <f>IF(G1361="","",G1361*H1361)</f>
        <v/>
      </c>
      <c r="J1361" s="7" t="n"/>
    </row>
    <row r="1362">
      <c r="A1362" s="6" t="n"/>
      <c r="B1362" s="7" t="n"/>
      <c r="C1362" s="7" t="n"/>
      <c r="D1362" s="7" t="n"/>
      <c r="E1362" s="7" t="n"/>
      <c r="F1362" s="7" t="n"/>
      <c r="G1362" s="8" t="n"/>
      <c r="H1362" s="9" t="n"/>
      <c r="I1362" s="10">
        <f>IF(G1362="","",G1362*H1362)</f>
        <v/>
      </c>
      <c r="J1362" s="7" t="n"/>
    </row>
    <row r="1363">
      <c r="A1363" s="6" t="n"/>
      <c r="B1363" s="7" t="n"/>
      <c r="C1363" s="7" t="n"/>
      <c r="D1363" s="7" t="n"/>
      <c r="E1363" s="7" t="n"/>
      <c r="F1363" s="7" t="n"/>
      <c r="G1363" s="8" t="n"/>
      <c r="H1363" s="9" t="n"/>
      <c r="I1363" s="10">
        <f>IF(G1363="","",G1363*H1363)</f>
        <v/>
      </c>
      <c r="J1363" s="7" t="n"/>
    </row>
    <row r="1364">
      <c r="A1364" s="6" t="n"/>
      <c r="B1364" s="7" t="n"/>
      <c r="C1364" s="7" t="n"/>
      <c r="D1364" s="7" t="n"/>
      <c r="E1364" s="7" t="n"/>
      <c r="F1364" s="7" t="n"/>
      <c r="G1364" s="8" t="n"/>
      <c r="H1364" s="9" t="n"/>
      <c r="I1364" s="10">
        <f>IF(G1364="","",G1364*H1364)</f>
        <v/>
      </c>
      <c r="J1364" s="7" t="n"/>
    </row>
    <row r="1365">
      <c r="A1365" s="6" t="n"/>
      <c r="B1365" s="7" t="n"/>
      <c r="C1365" s="7" t="n"/>
      <c r="D1365" s="7" t="n"/>
      <c r="E1365" s="7" t="n"/>
      <c r="F1365" s="7" t="n"/>
      <c r="G1365" s="8" t="n"/>
      <c r="H1365" s="9" t="n"/>
      <c r="I1365" s="10">
        <f>IF(G1365="","",G1365*H1365)</f>
        <v/>
      </c>
      <c r="J1365" s="7" t="n"/>
    </row>
    <row r="1366">
      <c r="A1366" s="6" t="n"/>
      <c r="B1366" s="7" t="n"/>
      <c r="C1366" s="7" t="n"/>
      <c r="D1366" s="7" t="n"/>
      <c r="E1366" s="7" t="n"/>
      <c r="F1366" s="7" t="n"/>
      <c r="G1366" s="8" t="n"/>
      <c r="H1366" s="9" t="n"/>
      <c r="I1366" s="10">
        <f>IF(G1366="","",G1366*H1366)</f>
        <v/>
      </c>
      <c r="J1366" s="7" t="n"/>
    </row>
    <row r="1367">
      <c r="A1367" s="6" t="n"/>
      <c r="B1367" s="7" t="n"/>
      <c r="C1367" s="7" t="n"/>
      <c r="D1367" s="7" t="n"/>
      <c r="E1367" s="7" t="n"/>
      <c r="F1367" s="7" t="n"/>
      <c r="G1367" s="8" t="n"/>
      <c r="H1367" s="9" t="n"/>
      <c r="I1367" s="10">
        <f>IF(G1367="","",G1367*H1367)</f>
        <v/>
      </c>
      <c r="J1367" s="7" t="n"/>
    </row>
    <row r="1368">
      <c r="A1368" s="6" t="n"/>
      <c r="B1368" s="7" t="n"/>
      <c r="C1368" s="7" t="n"/>
      <c r="D1368" s="7" t="n"/>
      <c r="E1368" s="7" t="n"/>
      <c r="F1368" s="7" t="n"/>
      <c r="G1368" s="8" t="n"/>
      <c r="H1368" s="9" t="n"/>
      <c r="I1368" s="10">
        <f>IF(G1368="","",G1368*H1368)</f>
        <v/>
      </c>
      <c r="J1368" s="7" t="n"/>
    </row>
    <row r="1369">
      <c r="A1369" s="6" t="n"/>
      <c r="B1369" s="7" t="n"/>
      <c r="C1369" s="7" t="n"/>
      <c r="D1369" s="7" t="n"/>
      <c r="E1369" s="7" t="n"/>
      <c r="F1369" s="7" t="n"/>
      <c r="G1369" s="8" t="n"/>
      <c r="H1369" s="9" t="n"/>
      <c r="I1369" s="10">
        <f>IF(G1369="","",G1369*H1369)</f>
        <v/>
      </c>
      <c r="J1369" s="7" t="n"/>
    </row>
    <row r="1370">
      <c r="A1370" s="6" t="n"/>
      <c r="B1370" s="7" t="n"/>
      <c r="C1370" s="7" t="n"/>
      <c r="D1370" s="7" t="n"/>
      <c r="E1370" s="7" t="n"/>
      <c r="F1370" s="7" t="n"/>
      <c r="G1370" s="8" t="n"/>
      <c r="H1370" s="9" t="n"/>
      <c r="I1370" s="10">
        <f>IF(G1370="","",G1370*H1370)</f>
        <v/>
      </c>
      <c r="J1370" s="7" t="n"/>
    </row>
    <row r="1371">
      <c r="A1371" s="6" t="n"/>
      <c r="B1371" s="7" t="n"/>
      <c r="C1371" s="7" t="n"/>
      <c r="D1371" s="7" t="n"/>
      <c r="E1371" s="7" t="n"/>
      <c r="F1371" s="7" t="n"/>
      <c r="G1371" s="8" t="n"/>
      <c r="H1371" s="9" t="n"/>
      <c r="I1371" s="10">
        <f>IF(G1371="","",G1371*H1371)</f>
        <v/>
      </c>
      <c r="J1371" s="7" t="n"/>
    </row>
    <row r="1372">
      <c r="A1372" s="6" t="n"/>
      <c r="B1372" s="7" t="n"/>
      <c r="C1372" s="7" t="n"/>
      <c r="D1372" s="7" t="n"/>
      <c r="E1372" s="7" t="n"/>
      <c r="F1372" s="7" t="n"/>
      <c r="G1372" s="8" t="n"/>
      <c r="H1372" s="9" t="n"/>
      <c r="I1372" s="10">
        <f>IF(G1372="","",G1372*H1372)</f>
        <v/>
      </c>
      <c r="J1372" s="7" t="n"/>
    </row>
    <row r="1373">
      <c r="A1373" s="6" t="n"/>
      <c r="B1373" s="7" t="n"/>
      <c r="C1373" s="7" t="n"/>
      <c r="D1373" s="7" t="n"/>
      <c r="E1373" s="7" t="n"/>
      <c r="F1373" s="7" t="n"/>
      <c r="G1373" s="8" t="n"/>
      <c r="H1373" s="9" t="n"/>
      <c r="I1373" s="10">
        <f>IF(G1373="","",G1373*H1373)</f>
        <v/>
      </c>
      <c r="J1373" s="7" t="n"/>
    </row>
    <row r="1374">
      <c r="A1374" s="6" t="n"/>
      <c r="B1374" s="7" t="n"/>
      <c r="C1374" s="7" t="n"/>
      <c r="D1374" s="7" t="n"/>
      <c r="E1374" s="7" t="n"/>
      <c r="F1374" s="7" t="n"/>
      <c r="G1374" s="8" t="n"/>
      <c r="H1374" s="9" t="n"/>
      <c r="I1374" s="10">
        <f>IF(G1374="","",G1374*H1374)</f>
        <v/>
      </c>
      <c r="J1374" s="7" t="n"/>
    </row>
    <row r="1375">
      <c r="A1375" s="6" t="n"/>
      <c r="B1375" s="7" t="n"/>
      <c r="C1375" s="7" t="n"/>
      <c r="D1375" s="7" t="n"/>
      <c r="E1375" s="7" t="n"/>
      <c r="F1375" s="7" t="n"/>
      <c r="G1375" s="8" t="n"/>
      <c r="H1375" s="9" t="n"/>
      <c r="I1375" s="10">
        <f>IF(G1375="","",G1375*H1375)</f>
        <v/>
      </c>
      <c r="J1375" s="7" t="n"/>
    </row>
    <row r="1376">
      <c r="A1376" s="6" t="n"/>
      <c r="B1376" s="7" t="n"/>
      <c r="C1376" s="7" t="n"/>
      <c r="D1376" s="7" t="n"/>
      <c r="E1376" s="7" t="n"/>
      <c r="F1376" s="7" t="n"/>
      <c r="G1376" s="8" t="n"/>
      <c r="H1376" s="9" t="n"/>
      <c r="I1376" s="10">
        <f>IF(G1376="","",G1376*H1376)</f>
        <v/>
      </c>
      <c r="J1376" s="7" t="n"/>
    </row>
    <row r="1377">
      <c r="A1377" s="6" t="n"/>
      <c r="B1377" s="7" t="n"/>
      <c r="C1377" s="7" t="n"/>
      <c r="D1377" s="7" t="n"/>
      <c r="E1377" s="7" t="n"/>
      <c r="F1377" s="7" t="n"/>
      <c r="G1377" s="8" t="n"/>
      <c r="H1377" s="9" t="n"/>
      <c r="I1377" s="10">
        <f>IF(G1377="","",G1377*H1377)</f>
        <v/>
      </c>
      <c r="J1377" s="7" t="n"/>
    </row>
    <row r="1378">
      <c r="A1378" s="6" t="n"/>
      <c r="B1378" s="7" t="n"/>
      <c r="C1378" s="7" t="n"/>
      <c r="D1378" s="7" t="n"/>
      <c r="E1378" s="7" t="n"/>
      <c r="F1378" s="7" t="n"/>
      <c r="G1378" s="8" t="n"/>
      <c r="H1378" s="9" t="n"/>
      <c r="I1378" s="10">
        <f>IF(G1378="","",G1378*H1378)</f>
        <v/>
      </c>
      <c r="J1378" s="7" t="n"/>
    </row>
    <row r="1379">
      <c r="A1379" s="6" t="n"/>
      <c r="B1379" s="7" t="n"/>
      <c r="C1379" s="7" t="n"/>
      <c r="D1379" s="7" t="n"/>
      <c r="E1379" s="7" t="n"/>
      <c r="F1379" s="7" t="n"/>
      <c r="G1379" s="8" t="n"/>
      <c r="H1379" s="9" t="n"/>
      <c r="I1379" s="10">
        <f>IF(G1379="","",G1379*H1379)</f>
        <v/>
      </c>
      <c r="J1379" s="7" t="n"/>
    </row>
    <row r="1380">
      <c r="A1380" s="6" t="n"/>
      <c r="B1380" s="7" t="n"/>
      <c r="C1380" s="7" t="n"/>
      <c r="D1380" s="7" t="n"/>
      <c r="E1380" s="7" t="n"/>
      <c r="F1380" s="7" t="n"/>
      <c r="G1380" s="8" t="n"/>
      <c r="H1380" s="9" t="n"/>
      <c r="I1380" s="10">
        <f>IF(G1380="","",G1380*H1380)</f>
        <v/>
      </c>
      <c r="J1380" s="7" t="n"/>
    </row>
    <row r="1381">
      <c r="A1381" s="6" t="n"/>
      <c r="B1381" s="7" t="n"/>
      <c r="C1381" s="7" t="n"/>
      <c r="D1381" s="7" t="n"/>
      <c r="E1381" s="7" t="n"/>
      <c r="F1381" s="7" t="n"/>
      <c r="G1381" s="8" t="n"/>
      <c r="H1381" s="9" t="n"/>
      <c r="I1381" s="10">
        <f>IF(G1381="","",G1381*H1381)</f>
        <v/>
      </c>
      <c r="J1381" s="7" t="n"/>
    </row>
    <row r="1382">
      <c r="A1382" s="6" t="n"/>
      <c r="B1382" s="7" t="n"/>
      <c r="C1382" s="7" t="n"/>
      <c r="D1382" s="7" t="n"/>
      <c r="E1382" s="7" t="n"/>
      <c r="F1382" s="7" t="n"/>
      <c r="G1382" s="8" t="n"/>
      <c r="H1382" s="9" t="n"/>
      <c r="I1382" s="10">
        <f>IF(G1382="","",G1382*H1382)</f>
        <v/>
      </c>
      <c r="J1382" s="7" t="n"/>
    </row>
    <row r="1383">
      <c r="A1383" s="6" t="n"/>
      <c r="B1383" s="7" t="n"/>
      <c r="C1383" s="7" t="n"/>
      <c r="D1383" s="7" t="n"/>
      <c r="E1383" s="7" t="n"/>
      <c r="F1383" s="7" t="n"/>
      <c r="G1383" s="8" t="n"/>
      <c r="H1383" s="9" t="n"/>
      <c r="I1383" s="10">
        <f>IF(G1383="","",G1383*H1383)</f>
        <v/>
      </c>
      <c r="J1383" s="7" t="n"/>
    </row>
    <row r="1384">
      <c r="A1384" s="6" t="n"/>
      <c r="B1384" s="7" t="n"/>
      <c r="C1384" s="7" t="n"/>
      <c r="D1384" s="7" t="n"/>
      <c r="E1384" s="7" t="n"/>
      <c r="F1384" s="7" t="n"/>
      <c r="G1384" s="8" t="n"/>
      <c r="H1384" s="9" t="n"/>
      <c r="I1384" s="10">
        <f>IF(G1384="","",G1384*H1384)</f>
        <v/>
      </c>
      <c r="J1384" s="7" t="n"/>
    </row>
    <row r="1385">
      <c r="A1385" s="6" t="n"/>
      <c r="B1385" s="7" t="n"/>
      <c r="C1385" s="7" t="n"/>
      <c r="D1385" s="7" t="n"/>
      <c r="E1385" s="7" t="n"/>
      <c r="F1385" s="7" t="n"/>
      <c r="G1385" s="8" t="n"/>
      <c r="H1385" s="9" t="n"/>
      <c r="I1385" s="10">
        <f>IF(G1385="","",G1385*H1385)</f>
        <v/>
      </c>
      <c r="J1385" s="7" t="n"/>
    </row>
    <row r="1386">
      <c r="A1386" s="6" t="n"/>
      <c r="B1386" s="7" t="n"/>
      <c r="C1386" s="7" t="n"/>
      <c r="D1386" s="7" t="n"/>
      <c r="E1386" s="7" t="n"/>
      <c r="F1386" s="7" t="n"/>
      <c r="G1386" s="8" t="n"/>
      <c r="H1386" s="9" t="n"/>
      <c r="I1386" s="10">
        <f>IF(G1386="","",G1386*H1386)</f>
        <v/>
      </c>
      <c r="J1386" s="7" t="n"/>
    </row>
    <row r="1387">
      <c r="A1387" s="6" t="n"/>
      <c r="B1387" s="7" t="n"/>
      <c r="C1387" s="7" t="n"/>
      <c r="D1387" s="7" t="n"/>
      <c r="E1387" s="7" t="n"/>
      <c r="F1387" s="7" t="n"/>
      <c r="G1387" s="8" t="n"/>
      <c r="H1387" s="9" t="n"/>
      <c r="I1387" s="10">
        <f>IF(G1387="","",G1387*H1387)</f>
        <v/>
      </c>
      <c r="J1387" s="7" t="n"/>
    </row>
    <row r="1388">
      <c r="A1388" s="6" t="n"/>
      <c r="B1388" s="7" t="n"/>
      <c r="C1388" s="7" t="n"/>
      <c r="D1388" s="7" t="n"/>
      <c r="E1388" s="7" t="n"/>
      <c r="F1388" s="7" t="n"/>
      <c r="G1388" s="8" t="n"/>
      <c r="H1388" s="9" t="n"/>
      <c r="I1388" s="10">
        <f>IF(G1388="","",G1388*H1388)</f>
        <v/>
      </c>
      <c r="J1388" s="7" t="n"/>
    </row>
    <row r="1389">
      <c r="A1389" s="6" t="n"/>
      <c r="B1389" s="7" t="n"/>
      <c r="C1389" s="7" t="n"/>
      <c r="D1389" s="7" t="n"/>
      <c r="E1389" s="7" t="n"/>
      <c r="F1389" s="7" t="n"/>
      <c r="G1389" s="8" t="n"/>
      <c r="H1389" s="9" t="n"/>
      <c r="I1389" s="10">
        <f>IF(G1389="","",G1389*H1389)</f>
        <v/>
      </c>
      <c r="J1389" s="7" t="n"/>
    </row>
    <row r="1390">
      <c r="A1390" s="6" t="n"/>
      <c r="B1390" s="7" t="n"/>
      <c r="C1390" s="7" t="n"/>
      <c r="D1390" s="7" t="n"/>
      <c r="E1390" s="7" t="n"/>
      <c r="F1390" s="7" t="n"/>
      <c r="G1390" s="8" t="n"/>
      <c r="H1390" s="9" t="n"/>
      <c r="I1390" s="10">
        <f>IF(G1390="","",G1390*H1390)</f>
        <v/>
      </c>
      <c r="J1390" s="7" t="n"/>
    </row>
    <row r="1391">
      <c r="A1391" s="6" t="n"/>
      <c r="B1391" s="7" t="n"/>
      <c r="C1391" s="7" t="n"/>
      <c r="D1391" s="7" t="n"/>
      <c r="E1391" s="7" t="n"/>
      <c r="F1391" s="7" t="n"/>
      <c r="G1391" s="8" t="n"/>
      <c r="H1391" s="9" t="n"/>
      <c r="I1391" s="10">
        <f>IF(G1391="","",G1391*H1391)</f>
        <v/>
      </c>
      <c r="J1391" s="7" t="n"/>
    </row>
    <row r="1392">
      <c r="A1392" s="6" t="n"/>
      <c r="B1392" s="7" t="n"/>
      <c r="C1392" s="7" t="n"/>
      <c r="D1392" s="7" t="n"/>
      <c r="E1392" s="7" t="n"/>
      <c r="F1392" s="7" t="n"/>
      <c r="G1392" s="8" t="n"/>
      <c r="H1392" s="9" t="n"/>
      <c r="I1392" s="10">
        <f>IF(G1392="","",G1392*H1392)</f>
        <v/>
      </c>
      <c r="J1392" s="7" t="n"/>
    </row>
    <row r="1393">
      <c r="A1393" s="6" t="n"/>
      <c r="B1393" s="7" t="n"/>
      <c r="C1393" s="7" t="n"/>
      <c r="D1393" s="7" t="n"/>
      <c r="E1393" s="7" t="n"/>
      <c r="F1393" s="7" t="n"/>
      <c r="G1393" s="8" t="n"/>
      <c r="H1393" s="9" t="n"/>
      <c r="I1393" s="10">
        <f>IF(G1393="","",G1393*H1393)</f>
        <v/>
      </c>
      <c r="J1393" s="7" t="n"/>
    </row>
    <row r="1394">
      <c r="A1394" s="6" t="n"/>
      <c r="B1394" s="7" t="n"/>
      <c r="C1394" s="7" t="n"/>
      <c r="D1394" s="7" t="n"/>
      <c r="E1394" s="7" t="n"/>
      <c r="F1394" s="7" t="n"/>
      <c r="G1394" s="8" t="n"/>
      <c r="H1394" s="9" t="n"/>
      <c r="I1394" s="10">
        <f>IF(G1394="","",G1394*H1394)</f>
        <v/>
      </c>
      <c r="J1394" s="7" t="n"/>
    </row>
    <row r="1395">
      <c r="A1395" s="6" t="n"/>
      <c r="B1395" s="7" t="n"/>
      <c r="C1395" s="7" t="n"/>
      <c r="D1395" s="7" t="n"/>
      <c r="E1395" s="7" t="n"/>
      <c r="F1395" s="7" t="n"/>
      <c r="G1395" s="8" t="n"/>
      <c r="H1395" s="9" t="n"/>
      <c r="I1395" s="10">
        <f>IF(G1395="","",G1395*H1395)</f>
        <v/>
      </c>
      <c r="J1395" s="7" t="n"/>
    </row>
    <row r="1396">
      <c r="A1396" s="6" t="n"/>
      <c r="B1396" s="7" t="n"/>
      <c r="C1396" s="7" t="n"/>
      <c r="D1396" s="7" t="n"/>
      <c r="E1396" s="7" t="n"/>
      <c r="F1396" s="7" t="n"/>
      <c r="G1396" s="8" t="n"/>
      <c r="H1396" s="9" t="n"/>
      <c r="I1396" s="10">
        <f>IF(G1396="","",G1396*H1396)</f>
        <v/>
      </c>
      <c r="J1396" s="7" t="n"/>
    </row>
    <row r="1397">
      <c r="A1397" s="6" t="n"/>
      <c r="B1397" s="7" t="n"/>
      <c r="C1397" s="7" t="n"/>
      <c r="D1397" s="7" t="n"/>
      <c r="E1397" s="7" t="n"/>
      <c r="F1397" s="7" t="n"/>
      <c r="G1397" s="8" t="n"/>
      <c r="H1397" s="9" t="n"/>
      <c r="I1397" s="10">
        <f>IF(G1397="","",G1397*H1397)</f>
        <v/>
      </c>
      <c r="J1397" s="7" t="n"/>
    </row>
    <row r="1398">
      <c r="A1398" s="6" t="n"/>
      <c r="B1398" s="7" t="n"/>
      <c r="C1398" s="7" t="n"/>
      <c r="D1398" s="7" t="n"/>
      <c r="E1398" s="7" t="n"/>
      <c r="F1398" s="7" t="n"/>
      <c r="G1398" s="8" t="n"/>
      <c r="H1398" s="9" t="n"/>
      <c r="I1398" s="10">
        <f>IF(G1398="","",G1398*H1398)</f>
        <v/>
      </c>
      <c r="J1398" s="7" t="n"/>
    </row>
    <row r="1399">
      <c r="A1399" s="6" t="n"/>
      <c r="B1399" s="7" t="n"/>
      <c r="C1399" s="7" t="n"/>
      <c r="D1399" s="7" t="n"/>
      <c r="E1399" s="7" t="n"/>
      <c r="F1399" s="7" t="n"/>
      <c r="G1399" s="8" t="n"/>
      <c r="H1399" s="9" t="n"/>
      <c r="I1399" s="10">
        <f>IF(G1399="","",G1399*H1399)</f>
        <v/>
      </c>
      <c r="J1399" s="7" t="n"/>
    </row>
    <row r="1400">
      <c r="A1400" s="6" t="n"/>
      <c r="B1400" s="7" t="n"/>
      <c r="C1400" s="7" t="n"/>
      <c r="D1400" s="7" t="n"/>
      <c r="E1400" s="7" t="n"/>
      <c r="F1400" s="7" t="n"/>
      <c r="G1400" s="8" t="n"/>
      <c r="H1400" s="9" t="n"/>
      <c r="I1400" s="10">
        <f>IF(G1400="","",G1400*H1400)</f>
        <v/>
      </c>
      <c r="J1400" s="7" t="n"/>
    </row>
    <row r="1401">
      <c r="A1401" s="6" t="n"/>
      <c r="B1401" s="7" t="n"/>
      <c r="C1401" s="7" t="n"/>
      <c r="D1401" s="7" t="n"/>
      <c r="E1401" s="7" t="n"/>
      <c r="F1401" s="7" t="n"/>
      <c r="G1401" s="8" t="n"/>
      <c r="H1401" s="9" t="n"/>
      <c r="I1401" s="10">
        <f>IF(G1401="","",G1401*H1401)</f>
        <v/>
      </c>
      <c r="J1401" s="7" t="n"/>
    </row>
    <row r="1402">
      <c r="A1402" s="6" t="n"/>
      <c r="B1402" s="7" t="n"/>
      <c r="C1402" s="7" t="n"/>
      <c r="D1402" s="7" t="n"/>
      <c r="E1402" s="7" t="n"/>
      <c r="F1402" s="7" t="n"/>
      <c r="G1402" s="8" t="n"/>
      <c r="H1402" s="9" t="n"/>
      <c r="I1402" s="10">
        <f>IF(G1402="","",G1402*H1402)</f>
        <v/>
      </c>
      <c r="J1402" s="7" t="n"/>
    </row>
    <row r="1403">
      <c r="A1403" s="6" t="n"/>
      <c r="B1403" s="7" t="n"/>
      <c r="C1403" s="7" t="n"/>
      <c r="D1403" s="7" t="n"/>
      <c r="E1403" s="7" t="n"/>
      <c r="F1403" s="7" t="n"/>
      <c r="G1403" s="8" t="n"/>
      <c r="H1403" s="9" t="n"/>
      <c r="I1403" s="10">
        <f>IF(G1403="","",G1403*H1403)</f>
        <v/>
      </c>
      <c r="J1403" s="7" t="n"/>
    </row>
    <row r="1404">
      <c r="A1404" s="6" t="n"/>
      <c r="B1404" s="7" t="n"/>
      <c r="C1404" s="7" t="n"/>
      <c r="D1404" s="7" t="n"/>
      <c r="E1404" s="7" t="n"/>
      <c r="F1404" s="7" t="n"/>
      <c r="G1404" s="8" t="n"/>
      <c r="H1404" s="9" t="n"/>
      <c r="I1404" s="10">
        <f>IF(G1404="","",G1404*H1404)</f>
        <v/>
      </c>
      <c r="J1404" s="7" t="n"/>
    </row>
    <row r="1405">
      <c r="A1405" s="6" t="n"/>
      <c r="B1405" s="7" t="n"/>
      <c r="C1405" s="7" t="n"/>
      <c r="D1405" s="7" t="n"/>
      <c r="E1405" s="7" t="n"/>
      <c r="F1405" s="7" t="n"/>
      <c r="G1405" s="8" t="n"/>
      <c r="H1405" s="9" t="n"/>
      <c r="I1405" s="10">
        <f>IF(G1405="","",G1405*H1405)</f>
        <v/>
      </c>
      <c r="J1405" s="7" t="n"/>
    </row>
    <row r="1406">
      <c r="A1406" s="6" t="n"/>
      <c r="B1406" s="7" t="n"/>
      <c r="C1406" s="7" t="n"/>
      <c r="D1406" s="7" t="n"/>
      <c r="E1406" s="7" t="n"/>
      <c r="F1406" s="7" t="n"/>
      <c r="G1406" s="8" t="n"/>
      <c r="H1406" s="9" t="n"/>
      <c r="I1406" s="10">
        <f>IF(G1406="","",G1406*H1406)</f>
        <v/>
      </c>
      <c r="J1406" s="7" t="n"/>
    </row>
    <row r="1407">
      <c r="A1407" s="6" t="n"/>
      <c r="B1407" s="7" t="n"/>
      <c r="C1407" s="7" t="n"/>
      <c r="D1407" s="7" t="n"/>
      <c r="E1407" s="7" t="n"/>
      <c r="F1407" s="7" t="n"/>
      <c r="G1407" s="8" t="n"/>
      <c r="H1407" s="9" t="n"/>
      <c r="I1407" s="10">
        <f>IF(G1407="","",G1407*H1407)</f>
        <v/>
      </c>
      <c r="J1407" s="7" t="n"/>
    </row>
    <row r="1408">
      <c r="A1408" s="6" t="n"/>
      <c r="B1408" s="7" t="n"/>
      <c r="C1408" s="7" t="n"/>
      <c r="D1408" s="7" t="n"/>
      <c r="E1408" s="7" t="n"/>
      <c r="F1408" s="7" t="n"/>
      <c r="G1408" s="8" t="n"/>
      <c r="H1408" s="9" t="n"/>
      <c r="I1408" s="10">
        <f>IF(G1408="","",G1408*H1408)</f>
        <v/>
      </c>
      <c r="J1408" s="7" t="n"/>
    </row>
    <row r="1409">
      <c r="A1409" s="6" t="n"/>
      <c r="B1409" s="7" t="n"/>
      <c r="C1409" s="7" t="n"/>
      <c r="D1409" s="7" t="n"/>
      <c r="E1409" s="7" t="n"/>
      <c r="F1409" s="7" t="n"/>
      <c r="G1409" s="8" t="n"/>
      <c r="H1409" s="9" t="n"/>
      <c r="I1409" s="10">
        <f>IF(G1409="","",G1409*H1409)</f>
        <v/>
      </c>
      <c r="J1409" s="7" t="n"/>
    </row>
    <row r="1410">
      <c r="A1410" s="6" t="n"/>
      <c r="B1410" s="7" t="n"/>
      <c r="C1410" s="7" t="n"/>
      <c r="D1410" s="7" t="n"/>
      <c r="E1410" s="7" t="n"/>
      <c r="F1410" s="7" t="n"/>
      <c r="G1410" s="8" t="n"/>
      <c r="H1410" s="9" t="n"/>
      <c r="I1410" s="10">
        <f>IF(G1410="","",G1410*H1410)</f>
        <v/>
      </c>
      <c r="J1410" s="7" t="n"/>
    </row>
    <row r="1411">
      <c r="A1411" s="6" t="n"/>
      <c r="B1411" s="7" t="n"/>
      <c r="C1411" s="7" t="n"/>
      <c r="D1411" s="7" t="n"/>
      <c r="E1411" s="7" t="n"/>
      <c r="F1411" s="7" t="n"/>
      <c r="G1411" s="8" t="n"/>
      <c r="H1411" s="9" t="n"/>
      <c r="I1411" s="10">
        <f>IF(G1411="","",G1411*H1411)</f>
        <v/>
      </c>
      <c r="J1411" s="7" t="n"/>
    </row>
    <row r="1412">
      <c r="A1412" s="6" t="n"/>
      <c r="B1412" s="7" t="n"/>
      <c r="C1412" s="7" t="n"/>
      <c r="D1412" s="7" t="n"/>
      <c r="E1412" s="7" t="n"/>
      <c r="F1412" s="7" t="n"/>
      <c r="G1412" s="8" t="n"/>
      <c r="H1412" s="9" t="n"/>
      <c r="I1412" s="10">
        <f>IF(G1412="","",G1412*H1412)</f>
        <v/>
      </c>
      <c r="J1412" s="7" t="n"/>
    </row>
    <row r="1413">
      <c r="A1413" s="6" t="n"/>
      <c r="B1413" s="7" t="n"/>
      <c r="C1413" s="7" t="n"/>
      <c r="D1413" s="7" t="n"/>
      <c r="E1413" s="7" t="n"/>
      <c r="F1413" s="7" t="n"/>
      <c r="G1413" s="8" t="n"/>
      <c r="H1413" s="9" t="n"/>
      <c r="I1413" s="10">
        <f>IF(G1413="","",G1413*H1413)</f>
        <v/>
      </c>
      <c r="J1413" s="7" t="n"/>
    </row>
    <row r="1414">
      <c r="A1414" s="6" t="n"/>
      <c r="B1414" s="7" t="n"/>
      <c r="C1414" s="7" t="n"/>
      <c r="D1414" s="7" t="n"/>
      <c r="E1414" s="7" t="n"/>
      <c r="F1414" s="7" t="n"/>
      <c r="G1414" s="8" t="n"/>
      <c r="H1414" s="9" t="n"/>
      <c r="I1414" s="10">
        <f>IF(G1414="","",G1414*H1414)</f>
        <v/>
      </c>
      <c r="J1414" s="7" t="n"/>
    </row>
    <row r="1415">
      <c r="A1415" s="6" t="n"/>
      <c r="B1415" s="7" t="n"/>
      <c r="C1415" s="7" t="n"/>
      <c r="D1415" s="7" t="n"/>
      <c r="E1415" s="7" t="n"/>
      <c r="F1415" s="7" t="n"/>
      <c r="G1415" s="8" t="n"/>
      <c r="H1415" s="9" t="n"/>
      <c r="I1415" s="10">
        <f>IF(G1415="","",G1415*H1415)</f>
        <v/>
      </c>
      <c r="J1415" s="7" t="n"/>
    </row>
    <row r="1416">
      <c r="A1416" s="6" t="n"/>
      <c r="B1416" s="7" t="n"/>
      <c r="C1416" s="7" t="n"/>
      <c r="D1416" s="7" t="n"/>
      <c r="E1416" s="7" t="n"/>
      <c r="F1416" s="7" t="n"/>
      <c r="G1416" s="8" t="n"/>
      <c r="H1416" s="9" t="n"/>
      <c r="I1416" s="10">
        <f>IF(G1416="","",G1416*H1416)</f>
        <v/>
      </c>
      <c r="J1416" s="7" t="n"/>
    </row>
    <row r="1417">
      <c r="A1417" s="6" t="n"/>
      <c r="B1417" s="7" t="n"/>
      <c r="C1417" s="7" t="n"/>
      <c r="D1417" s="7" t="n"/>
      <c r="E1417" s="7" t="n"/>
      <c r="F1417" s="7" t="n"/>
      <c r="G1417" s="8" t="n"/>
      <c r="H1417" s="9" t="n"/>
      <c r="I1417" s="10">
        <f>IF(G1417="","",G1417*H1417)</f>
        <v/>
      </c>
      <c r="J1417" s="7" t="n"/>
    </row>
    <row r="1418">
      <c r="A1418" s="6" t="n"/>
      <c r="B1418" s="7" t="n"/>
      <c r="C1418" s="7" t="n"/>
      <c r="D1418" s="7" t="n"/>
      <c r="E1418" s="7" t="n"/>
      <c r="F1418" s="7" t="n"/>
      <c r="G1418" s="8" t="n"/>
      <c r="H1418" s="9" t="n"/>
      <c r="I1418" s="10">
        <f>IF(G1418="","",G1418*H1418)</f>
        <v/>
      </c>
      <c r="J1418" s="7" t="n"/>
    </row>
    <row r="1419">
      <c r="A1419" s="6" t="n"/>
      <c r="B1419" s="7" t="n"/>
      <c r="C1419" s="7" t="n"/>
      <c r="D1419" s="7" t="n"/>
      <c r="E1419" s="7" t="n"/>
      <c r="F1419" s="7" t="n"/>
      <c r="G1419" s="8" t="n"/>
      <c r="H1419" s="9" t="n"/>
      <c r="I1419" s="10">
        <f>IF(G1419="","",G1419*H1419)</f>
        <v/>
      </c>
      <c r="J1419" s="7" t="n"/>
    </row>
    <row r="1420">
      <c r="A1420" s="6" t="n"/>
      <c r="B1420" s="7" t="n"/>
      <c r="C1420" s="7" t="n"/>
      <c r="D1420" s="7" t="n"/>
      <c r="E1420" s="7" t="n"/>
      <c r="F1420" s="7" t="n"/>
      <c r="G1420" s="8" t="n"/>
      <c r="H1420" s="9" t="n"/>
      <c r="I1420" s="10">
        <f>IF(G1420="","",G1420*H1420)</f>
        <v/>
      </c>
      <c r="J1420" s="7" t="n"/>
    </row>
    <row r="1421">
      <c r="A1421" s="6" t="n"/>
      <c r="B1421" s="7" t="n"/>
      <c r="C1421" s="7" t="n"/>
      <c r="D1421" s="7" t="n"/>
      <c r="E1421" s="7" t="n"/>
      <c r="F1421" s="7" t="n"/>
      <c r="G1421" s="8" t="n"/>
      <c r="H1421" s="9" t="n"/>
      <c r="I1421" s="10">
        <f>IF(G1421="","",G1421*H1421)</f>
        <v/>
      </c>
      <c r="J1421" s="7" t="n"/>
    </row>
    <row r="1422">
      <c r="A1422" s="6" t="n"/>
      <c r="B1422" s="7" t="n"/>
      <c r="C1422" s="7" t="n"/>
      <c r="D1422" s="7" t="n"/>
      <c r="E1422" s="7" t="n"/>
      <c r="F1422" s="7" t="n"/>
      <c r="G1422" s="8" t="n"/>
      <c r="H1422" s="9" t="n"/>
      <c r="I1422" s="10">
        <f>IF(G1422="","",G1422*H1422)</f>
        <v/>
      </c>
      <c r="J1422" s="7" t="n"/>
    </row>
    <row r="1423">
      <c r="A1423" s="6" t="n"/>
      <c r="B1423" s="7" t="n"/>
      <c r="C1423" s="7" t="n"/>
      <c r="D1423" s="7" t="n"/>
      <c r="E1423" s="7" t="n"/>
      <c r="F1423" s="7" t="n"/>
      <c r="G1423" s="8" t="n"/>
      <c r="H1423" s="9" t="n"/>
      <c r="I1423" s="10">
        <f>IF(G1423="","",G1423*H1423)</f>
        <v/>
      </c>
      <c r="J1423" s="7" t="n"/>
    </row>
    <row r="1424">
      <c r="A1424" s="6" t="n"/>
      <c r="B1424" s="7" t="n"/>
      <c r="C1424" s="7" t="n"/>
      <c r="D1424" s="7" t="n"/>
      <c r="E1424" s="7" t="n"/>
      <c r="F1424" s="7" t="n"/>
      <c r="G1424" s="8" t="n"/>
      <c r="H1424" s="9" t="n"/>
      <c r="I1424" s="10">
        <f>IF(G1424="","",G1424*H1424)</f>
        <v/>
      </c>
      <c r="J1424" s="7" t="n"/>
    </row>
    <row r="1425">
      <c r="A1425" s="6" t="n"/>
      <c r="B1425" s="7" t="n"/>
      <c r="C1425" s="7" t="n"/>
      <c r="D1425" s="7" t="n"/>
      <c r="E1425" s="7" t="n"/>
      <c r="F1425" s="7" t="n"/>
      <c r="G1425" s="8" t="n"/>
      <c r="H1425" s="9" t="n"/>
      <c r="I1425" s="10">
        <f>IF(G1425="","",G1425*H1425)</f>
        <v/>
      </c>
      <c r="J1425" s="7" t="n"/>
    </row>
    <row r="1426">
      <c r="A1426" s="6" t="n"/>
      <c r="B1426" s="7" t="n"/>
      <c r="C1426" s="7" t="n"/>
      <c r="D1426" s="7" t="n"/>
      <c r="E1426" s="7" t="n"/>
      <c r="F1426" s="7" t="n"/>
      <c r="G1426" s="8" t="n"/>
      <c r="H1426" s="9" t="n"/>
      <c r="I1426" s="10">
        <f>IF(G1426="","",G1426*H1426)</f>
        <v/>
      </c>
      <c r="J1426" s="7" t="n"/>
    </row>
    <row r="1427">
      <c r="A1427" s="6" t="n"/>
      <c r="B1427" s="7" t="n"/>
      <c r="C1427" s="7" t="n"/>
      <c r="D1427" s="7" t="n"/>
      <c r="E1427" s="7" t="n"/>
      <c r="F1427" s="7" t="n"/>
      <c r="G1427" s="8" t="n"/>
      <c r="H1427" s="9" t="n"/>
      <c r="I1427" s="10">
        <f>IF(G1427="","",G1427*H1427)</f>
        <v/>
      </c>
      <c r="J1427" s="7" t="n"/>
    </row>
    <row r="1428">
      <c r="A1428" s="6" t="n"/>
      <c r="B1428" s="7" t="n"/>
      <c r="C1428" s="7" t="n"/>
      <c r="D1428" s="7" t="n"/>
      <c r="E1428" s="7" t="n"/>
      <c r="F1428" s="7" t="n"/>
      <c r="G1428" s="8" t="n"/>
      <c r="H1428" s="9" t="n"/>
      <c r="I1428" s="10">
        <f>IF(G1428="","",G1428*H1428)</f>
        <v/>
      </c>
      <c r="J1428" s="7" t="n"/>
    </row>
    <row r="1429">
      <c r="A1429" s="6" t="n"/>
      <c r="B1429" s="7" t="n"/>
      <c r="C1429" s="7" t="n"/>
      <c r="D1429" s="7" t="n"/>
      <c r="E1429" s="7" t="n"/>
      <c r="F1429" s="7" t="n"/>
      <c r="G1429" s="8" t="n"/>
      <c r="H1429" s="9" t="n"/>
      <c r="I1429" s="10">
        <f>IF(G1429="","",G1429*H1429)</f>
        <v/>
      </c>
      <c r="J1429" s="7" t="n"/>
    </row>
    <row r="1430">
      <c r="A1430" s="6" t="n"/>
      <c r="B1430" s="7" t="n"/>
      <c r="C1430" s="7" t="n"/>
      <c r="D1430" s="7" t="n"/>
      <c r="E1430" s="7" t="n"/>
      <c r="F1430" s="7" t="n"/>
      <c r="G1430" s="8" t="n"/>
      <c r="H1430" s="9" t="n"/>
      <c r="I1430" s="10">
        <f>IF(G1430="","",G1430*H1430)</f>
        <v/>
      </c>
      <c r="J1430" s="7" t="n"/>
    </row>
    <row r="1431">
      <c r="A1431" s="6" t="n"/>
      <c r="B1431" s="7" t="n"/>
      <c r="C1431" s="7" t="n"/>
      <c r="D1431" s="7" t="n"/>
      <c r="E1431" s="7" t="n"/>
      <c r="F1431" s="7" t="n"/>
      <c r="G1431" s="8" t="n"/>
      <c r="H1431" s="9" t="n"/>
      <c r="I1431" s="10">
        <f>IF(G1431="","",G1431*H1431)</f>
        <v/>
      </c>
      <c r="J1431" s="7" t="n"/>
    </row>
    <row r="1432">
      <c r="A1432" s="6" t="n"/>
      <c r="B1432" s="7" t="n"/>
      <c r="C1432" s="7" t="n"/>
      <c r="D1432" s="7" t="n"/>
      <c r="E1432" s="7" t="n"/>
      <c r="F1432" s="7" t="n"/>
      <c r="G1432" s="8" t="n"/>
      <c r="H1432" s="9" t="n"/>
      <c r="I1432" s="10">
        <f>IF(G1432="","",G1432*H1432)</f>
        <v/>
      </c>
      <c r="J1432" s="7" t="n"/>
    </row>
    <row r="1433">
      <c r="A1433" s="6" t="n"/>
      <c r="B1433" s="7" t="n"/>
      <c r="C1433" s="7" t="n"/>
      <c r="D1433" s="7" t="n"/>
      <c r="E1433" s="7" t="n"/>
      <c r="F1433" s="7" t="n"/>
      <c r="G1433" s="8" t="n"/>
      <c r="H1433" s="9" t="n"/>
      <c r="I1433" s="10">
        <f>IF(G1433="","",G1433*H1433)</f>
        <v/>
      </c>
      <c r="J1433" s="7" t="n"/>
    </row>
    <row r="1434">
      <c r="A1434" s="6" t="n"/>
      <c r="B1434" s="7" t="n"/>
      <c r="C1434" s="7" t="n"/>
      <c r="D1434" s="7" t="n"/>
      <c r="E1434" s="7" t="n"/>
      <c r="F1434" s="7" t="n"/>
      <c r="G1434" s="8" t="n"/>
      <c r="H1434" s="9" t="n"/>
      <c r="I1434" s="10">
        <f>IF(G1434="","",G1434*H1434)</f>
        <v/>
      </c>
      <c r="J1434" s="7" t="n"/>
    </row>
    <row r="1435">
      <c r="A1435" s="6" t="n"/>
      <c r="B1435" s="7" t="n"/>
      <c r="C1435" s="7" t="n"/>
      <c r="D1435" s="7" t="n"/>
      <c r="E1435" s="7" t="n"/>
      <c r="F1435" s="7" t="n"/>
      <c r="G1435" s="8" t="n"/>
      <c r="H1435" s="9" t="n"/>
      <c r="I1435" s="10">
        <f>IF(G1435="","",G1435*H1435)</f>
        <v/>
      </c>
      <c r="J1435" s="7" t="n"/>
    </row>
    <row r="1436">
      <c r="A1436" s="6" t="n"/>
      <c r="B1436" s="7" t="n"/>
      <c r="C1436" s="7" t="n"/>
      <c r="D1436" s="7" t="n"/>
      <c r="E1436" s="7" t="n"/>
      <c r="F1436" s="7" t="n"/>
      <c r="G1436" s="8" t="n"/>
      <c r="H1436" s="9" t="n"/>
      <c r="I1436" s="10">
        <f>IF(G1436="","",G1436*H1436)</f>
        <v/>
      </c>
      <c r="J1436" s="7" t="n"/>
    </row>
    <row r="1437">
      <c r="A1437" s="6" t="n"/>
      <c r="B1437" s="7" t="n"/>
      <c r="C1437" s="7" t="n"/>
      <c r="D1437" s="7" t="n"/>
      <c r="E1437" s="7" t="n"/>
      <c r="F1437" s="7" t="n"/>
      <c r="G1437" s="8" t="n"/>
      <c r="H1437" s="9" t="n"/>
      <c r="I1437" s="10">
        <f>IF(G1437="","",G1437*H1437)</f>
        <v/>
      </c>
      <c r="J1437" s="7" t="n"/>
    </row>
    <row r="1438">
      <c r="A1438" s="6" t="n"/>
      <c r="B1438" s="7" t="n"/>
      <c r="C1438" s="7" t="n"/>
      <c r="D1438" s="7" t="n"/>
      <c r="E1438" s="7" t="n"/>
      <c r="F1438" s="7" t="n"/>
      <c r="G1438" s="8" t="n"/>
      <c r="H1438" s="9" t="n"/>
      <c r="I1438" s="10">
        <f>IF(G1438="","",G1438*H1438)</f>
        <v/>
      </c>
      <c r="J1438" s="7" t="n"/>
    </row>
    <row r="1439">
      <c r="A1439" s="6" t="n"/>
      <c r="B1439" s="7" t="n"/>
      <c r="C1439" s="7" t="n"/>
      <c r="D1439" s="7" t="n"/>
      <c r="E1439" s="7" t="n"/>
      <c r="F1439" s="7" t="n"/>
      <c r="G1439" s="8" t="n"/>
      <c r="H1439" s="9" t="n"/>
      <c r="I1439" s="10">
        <f>IF(G1439="","",G1439*H1439)</f>
        <v/>
      </c>
      <c r="J1439" s="7" t="n"/>
    </row>
    <row r="1440">
      <c r="A1440" s="6" t="n"/>
      <c r="B1440" s="7" t="n"/>
      <c r="C1440" s="7" t="n"/>
      <c r="D1440" s="7" t="n"/>
      <c r="E1440" s="7" t="n"/>
      <c r="F1440" s="7" t="n"/>
      <c r="G1440" s="8" t="n"/>
      <c r="H1440" s="9" t="n"/>
      <c r="I1440" s="10">
        <f>IF(G1440="","",G1440*H1440)</f>
        <v/>
      </c>
      <c r="J1440" s="7" t="n"/>
    </row>
    <row r="1441">
      <c r="A1441" s="6" t="n"/>
      <c r="B1441" s="7" t="n"/>
      <c r="C1441" s="7" t="n"/>
      <c r="D1441" s="7" t="n"/>
      <c r="E1441" s="7" t="n"/>
      <c r="F1441" s="7" t="n"/>
      <c r="G1441" s="8" t="n"/>
      <c r="H1441" s="9" t="n"/>
      <c r="I1441" s="10">
        <f>IF(G1441="","",G1441*H1441)</f>
        <v/>
      </c>
      <c r="J1441" s="7" t="n"/>
    </row>
    <row r="1442">
      <c r="A1442" s="6" t="n"/>
      <c r="B1442" s="7" t="n"/>
      <c r="C1442" s="7" t="n"/>
      <c r="D1442" s="7" t="n"/>
      <c r="E1442" s="7" t="n"/>
      <c r="F1442" s="7" t="n"/>
      <c r="G1442" s="8" t="n"/>
      <c r="H1442" s="9" t="n"/>
      <c r="I1442" s="10">
        <f>IF(G1442="","",G1442*H1442)</f>
        <v/>
      </c>
      <c r="J1442" s="7" t="n"/>
    </row>
    <row r="1443">
      <c r="A1443" s="6" t="n"/>
      <c r="B1443" s="7" t="n"/>
      <c r="C1443" s="7" t="n"/>
      <c r="D1443" s="7" t="n"/>
      <c r="E1443" s="7" t="n"/>
      <c r="F1443" s="7" t="n"/>
      <c r="G1443" s="8" t="n"/>
      <c r="H1443" s="9" t="n"/>
      <c r="I1443" s="10">
        <f>IF(G1443="","",G1443*H1443)</f>
        <v/>
      </c>
      <c r="J1443" s="7" t="n"/>
    </row>
    <row r="1444">
      <c r="A1444" s="6" t="n"/>
      <c r="B1444" s="7" t="n"/>
      <c r="C1444" s="7" t="n"/>
      <c r="D1444" s="7" t="n"/>
      <c r="E1444" s="7" t="n"/>
      <c r="F1444" s="7" t="n"/>
      <c r="G1444" s="8" t="n"/>
      <c r="H1444" s="9" t="n"/>
      <c r="I1444" s="10">
        <f>IF(G1444="","",G1444*H1444)</f>
        <v/>
      </c>
      <c r="J1444" s="7" t="n"/>
    </row>
    <row r="1445">
      <c r="A1445" s="6" t="n"/>
      <c r="B1445" s="7" t="n"/>
      <c r="C1445" s="7" t="n"/>
      <c r="D1445" s="7" t="n"/>
      <c r="E1445" s="7" t="n"/>
      <c r="F1445" s="7" t="n"/>
      <c r="G1445" s="8" t="n"/>
      <c r="H1445" s="9" t="n"/>
      <c r="I1445" s="10">
        <f>IF(G1445="","",G1445*H1445)</f>
        <v/>
      </c>
      <c r="J1445" s="7" t="n"/>
    </row>
    <row r="1446">
      <c r="A1446" s="6" t="n"/>
      <c r="B1446" s="7" t="n"/>
      <c r="C1446" s="7" t="n"/>
      <c r="D1446" s="7" t="n"/>
      <c r="E1446" s="7" t="n"/>
      <c r="F1446" s="7" t="n"/>
      <c r="G1446" s="8" t="n"/>
      <c r="H1446" s="9" t="n"/>
      <c r="I1446" s="10">
        <f>IF(G1446="","",G1446*H1446)</f>
        <v/>
      </c>
      <c r="J1446" s="7" t="n"/>
    </row>
    <row r="1447">
      <c r="A1447" s="6" t="n"/>
      <c r="B1447" s="7" t="n"/>
      <c r="C1447" s="7" t="n"/>
      <c r="D1447" s="7" t="n"/>
      <c r="E1447" s="7" t="n"/>
      <c r="F1447" s="7" t="n"/>
      <c r="G1447" s="8" t="n"/>
      <c r="H1447" s="9" t="n"/>
      <c r="I1447" s="10">
        <f>IF(G1447="","",G1447*H1447)</f>
        <v/>
      </c>
      <c r="J1447" s="7" t="n"/>
    </row>
    <row r="1448">
      <c r="A1448" s="6" t="n"/>
      <c r="B1448" s="7" t="n"/>
      <c r="C1448" s="7" t="n"/>
      <c r="D1448" s="7" t="n"/>
      <c r="E1448" s="7" t="n"/>
      <c r="F1448" s="7" t="n"/>
      <c r="G1448" s="8" t="n"/>
      <c r="H1448" s="9" t="n"/>
      <c r="I1448" s="10">
        <f>IF(G1448="","",G1448*H1448)</f>
        <v/>
      </c>
      <c r="J1448" s="7" t="n"/>
    </row>
    <row r="1449">
      <c r="A1449" s="6" t="n"/>
      <c r="B1449" s="7" t="n"/>
      <c r="C1449" s="7" t="n"/>
      <c r="D1449" s="7" t="n"/>
      <c r="E1449" s="7" t="n"/>
      <c r="F1449" s="7" t="n"/>
      <c r="G1449" s="8" t="n"/>
      <c r="H1449" s="9" t="n"/>
      <c r="I1449" s="10">
        <f>IF(G1449="","",G1449*H1449)</f>
        <v/>
      </c>
      <c r="J1449" s="7" t="n"/>
    </row>
    <row r="1450">
      <c r="A1450" s="6" t="n"/>
      <c r="B1450" s="7" t="n"/>
      <c r="C1450" s="7" t="n"/>
      <c r="D1450" s="7" t="n"/>
      <c r="E1450" s="7" t="n"/>
      <c r="F1450" s="7" t="n"/>
      <c r="G1450" s="8" t="n"/>
      <c r="H1450" s="9" t="n"/>
      <c r="I1450" s="10">
        <f>IF(G1450="","",G1450*H1450)</f>
        <v/>
      </c>
      <c r="J1450" s="7" t="n"/>
    </row>
    <row r="1451">
      <c r="A1451" s="6" t="n"/>
      <c r="B1451" s="7" t="n"/>
      <c r="C1451" s="7" t="n"/>
      <c r="D1451" s="7" t="n"/>
      <c r="E1451" s="7" t="n"/>
      <c r="F1451" s="7" t="n"/>
      <c r="G1451" s="8" t="n"/>
      <c r="H1451" s="9" t="n"/>
      <c r="I1451" s="10">
        <f>IF(G1451="","",G1451*H1451)</f>
        <v/>
      </c>
      <c r="J1451" s="7" t="n"/>
    </row>
    <row r="1452">
      <c r="A1452" s="6" t="n"/>
      <c r="B1452" s="7" t="n"/>
      <c r="C1452" s="7" t="n"/>
      <c r="D1452" s="7" t="n"/>
      <c r="E1452" s="7" t="n"/>
      <c r="F1452" s="7" t="n"/>
      <c r="G1452" s="8" t="n"/>
      <c r="H1452" s="9" t="n"/>
      <c r="I1452" s="10">
        <f>IF(G1452="","",G1452*H1452)</f>
        <v/>
      </c>
      <c r="J1452" s="7" t="n"/>
    </row>
    <row r="1453">
      <c r="A1453" s="6" t="n"/>
      <c r="B1453" s="7" t="n"/>
      <c r="C1453" s="7" t="n"/>
      <c r="D1453" s="7" t="n"/>
      <c r="E1453" s="7" t="n"/>
      <c r="F1453" s="7" t="n"/>
      <c r="G1453" s="8" t="n"/>
      <c r="H1453" s="9" t="n"/>
      <c r="I1453" s="10">
        <f>IF(G1453="","",G1453*H1453)</f>
        <v/>
      </c>
      <c r="J1453" s="7" t="n"/>
    </row>
    <row r="1454">
      <c r="A1454" s="6" t="n"/>
      <c r="B1454" s="7" t="n"/>
      <c r="C1454" s="7" t="n"/>
      <c r="D1454" s="7" t="n"/>
      <c r="E1454" s="7" t="n"/>
      <c r="F1454" s="7" t="n"/>
      <c r="G1454" s="8" t="n"/>
      <c r="H1454" s="9" t="n"/>
      <c r="I1454" s="10">
        <f>IF(G1454="","",G1454*H1454)</f>
        <v/>
      </c>
      <c r="J1454" s="7" t="n"/>
    </row>
    <row r="1455">
      <c r="A1455" s="6" t="n"/>
      <c r="B1455" s="7" t="n"/>
      <c r="C1455" s="7" t="n"/>
      <c r="D1455" s="7" t="n"/>
      <c r="E1455" s="7" t="n"/>
      <c r="F1455" s="7" t="n"/>
      <c r="G1455" s="8" t="n"/>
      <c r="H1455" s="9" t="n"/>
      <c r="I1455" s="10">
        <f>IF(G1455="","",G1455*H1455)</f>
        <v/>
      </c>
      <c r="J1455" s="7" t="n"/>
    </row>
    <row r="1456">
      <c r="A1456" s="6" t="n"/>
      <c r="B1456" s="7" t="n"/>
      <c r="C1456" s="7" t="n"/>
      <c r="D1456" s="7" t="n"/>
      <c r="E1456" s="7" t="n"/>
      <c r="F1456" s="7" t="n"/>
      <c r="G1456" s="8" t="n"/>
      <c r="H1456" s="9" t="n"/>
      <c r="I1456" s="10">
        <f>IF(G1456="","",G1456*H1456)</f>
        <v/>
      </c>
      <c r="J1456" s="7" t="n"/>
    </row>
    <row r="1457">
      <c r="A1457" s="6" t="n"/>
      <c r="B1457" s="7" t="n"/>
      <c r="C1457" s="7" t="n"/>
      <c r="D1457" s="7" t="n"/>
      <c r="E1457" s="7" t="n"/>
      <c r="F1457" s="7" t="n"/>
      <c r="G1457" s="8" t="n"/>
      <c r="H1457" s="9" t="n"/>
      <c r="I1457" s="10">
        <f>IF(G1457="","",G1457*H1457)</f>
        <v/>
      </c>
      <c r="J1457" s="7" t="n"/>
    </row>
    <row r="1458">
      <c r="A1458" s="6" t="n"/>
      <c r="B1458" s="7" t="n"/>
      <c r="C1458" s="7" t="n"/>
      <c r="D1458" s="7" t="n"/>
      <c r="E1458" s="7" t="n"/>
      <c r="F1458" s="7" t="n"/>
      <c r="G1458" s="8" t="n"/>
      <c r="H1458" s="9" t="n"/>
      <c r="I1458" s="10">
        <f>IF(G1458="","",G1458*H1458)</f>
        <v/>
      </c>
      <c r="J1458" s="7" t="n"/>
    </row>
    <row r="1459">
      <c r="A1459" s="6" t="n"/>
      <c r="B1459" s="7" t="n"/>
      <c r="C1459" s="7" t="n"/>
      <c r="D1459" s="7" t="n"/>
      <c r="E1459" s="7" t="n"/>
      <c r="F1459" s="7" t="n"/>
      <c r="G1459" s="8" t="n"/>
      <c r="H1459" s="9" t="n"/>
      <c r="I1459" s="10">
        <f>IF(G1459="","",G1459*H1459)</f>
        <v/>
      </c>
      <c r="J1459" s="7" t="n"/>
    </row>
    <row r="1460">
      <c r="A1460" s="6" t="n"/>
      <c r="B1460" s="7" t="n"/>
      <c r="C1460" s="7" t="n"/>
      <c r="D1460" s="7" t="n"/>
      <c r="E1460" s="7" t="n"/>
      <c r="F1460" s="7" t="n"/>
      <c r="G1460" s="8" t="n"/>
      <c r="H1460" s="9" t="n"/>
      <c r="I1460" s="10">
        <f>IF(G1460="","",G1460*H1460)</f>
        <v/>
      </c>
      <c r="J1460" s="7" t="n"/>
    </row>
    <row r="1461">
      <c r="A1461" s="6" t="n"/>
      <c r="B1461" s="7" t="n"/>
      <c r="C1461" s="7" t="n"/>
      <c r="D1461" s="7" t="n"/>
      <c r="E1461" s="7" t="n"/>
      <c r="F1461" s="7" t="n"/>
      <c r="G1461" s="8" t="n"/>
      <c r="H1461" s="9" t="n"/>
      <c r="I1461" s="10">
        <f>IF(G1461="","",G1461*H1461)</f>
        <v/>
      </c>
      <c r="J1461" s="7" t="n"/>
    </row>
    <row r="1462">
      <c r="A1462" s="6" t="n"/>
      <c r="B1462" s="7" t="n"/>
      <c r="C1462" s="7" t="n"/>
      <c r="D1462" s="7" t="n"/>
      <c r="E1462" s="7" t="n"/>
      <c r="F1462" s="7" t="n"/>
      <c r="G1462" s="8" t="n"/>
      <c r="H1462" s="9" t="n"/>
      <c r="I1462" s="10">
        <f>IF(G1462="","",G1462*H1462)</f>
        <v/>
      </c>
      <c r="J1462" s="7" t="n"/>
    </row>
    <row r="1463">
      <c r="A1463" s="6" t="n"/>
      <c r="B1463" s="7" t="n"/>
      <c r="C1463" s="7" t="n"/>
      <c r="D1463" s="7" t="n"/>
      <c r="E1463" s="7" t="n"/>
      <c r="F1463" s="7" t="n"/>
      <c r="G1463" s="8" t="n"/>
      <c r="H1463" s="9" t="n"/>
      <c r="I1463" s="10">
        <f>IF(G1463="","",G1463*H1463)</f>
        <v/>
      </c>
      <c r="J1463" s="7" t="n"/>
    </row>
    <row r="1464">
      <c r="A1464" s="6" t="n"/>
      <c r="B1464" s="7" t="n"/>
      <c r="C1464" s="7" t="n"/>
      <c r="D1464" s="7" t="n"/>
      <c r="E1464" s="7" t="n"/>
      <c r="F1464" s="7" t="n"/>
      <c r="G1464" s="8" t="n"/>
      <c r="H1464" s="9" t="n"/>
      <c r="I1464" s="10">
        <f>IF(G1464="","",G1464*H1464)</f>
        <v/>
      </c>
      <c r="J1464" s="7" t="n"/>
    </row>
    <row r="1465">
      <c r="A1465" s="6" t="n"/>
      <c r="B1465" s="7" t="n"/>
      <c r="C1465" s="7" t="n"/>
      <c r="D1465" s="7" t="n"/>
      <c r="E1465" s="7" t="n"/>
      <c r="F1465" s="7" t="n"/>
      <c r="G1465" s="8" t="n"/>
      <c r="H1465" s="9" t="n"/>
      <c r="I1465" s="10">
        <f>IF(G1465="","",G1465*H1465)</f>
        <v/>
      </c>
      <c r="J1465" s="7" t="n"/>
    </row>
    <row r="1466">
      <c r="A1466" s="6" t="n"/>
      <c r="B1466" s="7" t="n"/>
      <c r="C1466" s="7" t="n"/>
      <c r="D1466" s="7" t="n"/>
      <c r="E1466" s="7" t="n"/>
      <c r="F1466" s="7" t="n"/>
      <c r="G1466" s="8" t="n"/>
      <c r="H1466" s="9" t="n"/>
      <c r="I1466" s="10">
        <f>IF(G1466="","",G1466*H1466)</f>
        <v/>
      </c>
      <c r="J1466" s="7" t="n"/>
    </row>
    <row r="1467">
      <c r="A1467" s="6" t="n"/>
      <c r="B1467" s="7" t="n"/>
      <c r="C1467" s="7" t="n"/>
      <c r="D1467" s="7" t="n"/>
      <c r="E1467" s="7" t="n"/>
      <c r="F1467" s="7" t="n"/>
      <c r="G1467" s="8" t="n"/>
      <c r="H1467" s="9" t="n"/>
      <c r="I1467" s="10">
        <f>IF(G1467="","",G1467*H1467)</f>
        <v/>
      </c>
      <c r="J1467" s="7" t="n"/>
    </row>
    <row r="1468">
      <c r="A1468" s="6" t="n"/>
      <c r="B1468" s="7" t="n"/>
      <c r="C1468" s="7" t="n"/>
      <c r="D1468" s="7" t="n"/>
      <c r="E1468" s="7" t="n"/>
      <c r="F1468" s="7" t="n"/>
      <c r="G1468" s="8" t="n"/>
      <c r="H1468" s="9" t="n"/>
      <c r="I1468" s="10">
        <f>IF(G1468="","",G1468*H1468)</f>
        <v/>
      </c>
      <c r="J1468" s="7" t="n"/>
    </row>
    <row r="1469">
      <c r="A1469" s="6" t="n"/>
      <c r="B1469" s="7" t="n"/>
      <c r="C1469" s="7" t="n"/>
      <c r="D1469" s="7" t="n"/>
      <c r="E1469" s="7" t="n"/>
      <c r="F1469" s="7" t="n"/>
      <c r="G1469" s="8" t="n"/>
      <c r="H1469" s="9" t="n"/>
      <c r="I1469" s="10">
        <f>IF(G1469="","",G1469*H1469)</f>
        <v/>
      </c>
      <c r="J1469" s="7" t="n"/>
    </row>
    <row r="1470">
      <c r="A1470" s="6" t="n"/>
      <c r="B1470" s="7" t="n"/>
      <c r="C1470" s="7" t="n"/>
      <c r="D1470" s="7" t="n"/>
      <c r="E1470" s="7" t="n"/>
      <c r="F1470" s="7" t="n"/>
      <c r="G1470" s="8" t="n"/>
      <c r="H1470" s="9" t="n"/>
      <c r="I1470" s="10">
        <f>IF(G1470="","",G1470*H1470)</f>
        <v/>
      </c>
      <c r="J1470" s="7" t="n"/>
    </row>
    <row r="1471">
      <c r="A1471" s="6" t="n"/>
      <c r="B1471" s="7" t="n"/>
      <c r="C1471" s="7" t="n"/>
      <c r="D1471" s="7" t="n"/>
      <c r="E1471" s="7" t="n"/>
      <c r="F1471" s="7" t="n"/>
      <c r="G1471" s="8" t="n"/>
      <c r="H1471" s="9" t="n"/>
      <c r="I1471" s="10">
        <f>IF(G1471="","",G1471*H1471)</f>
        <v/>
      </c>
      <c r="J1471" s="7" t="n"/>
    </row>
    <row r="1472">
      <c r="A1472" s="6" t="n"/>
      <c r="B1472" s="7" t="n"/>
      <c r="C1472" s="7" t="n"/>
      <c r="D1472" s="7" t="n"/>
      <c r="E1472" s="7" t="n"/>
      <c r="F1472" s="7" t="n"/>
      <c r="G1472" s="8" t="n"/>
      <c r="H1472" s="9" t="n"/>
      <c r="I1472" s="10">
        <f>IF(G1472="","",G1472*H1472)</f>
        <v/>
      </c>
      <c r="J1472" s="7" t="n"/>
    </row>
    <row r="1473">
      <c r="A1473" s="6" t="n"/>
      <c r="B1473" s="7" t="n"/>
      <c r="C1473" s="7" t="n"/>
      <c r="D1473" s="7" t="n"/>
      <c r="E1473" s="7" t="n"/>
      <c r="F1473" s="7" t="n"/>
      <c r="G1473" s="8" t="n"/>
      <c r="H1473" s="9" t="n"/>
      <c r="I1473" s="10">
        <f>IF(G1473="","",G1473*H1473)</f>
        <v/>
      </c>
      <c r="J1473" s="7" t="n"/>
    </row>
    <row r="1474">
      <c r="A1474" s="6" t="n"/>
      <c r="B1474" s="7" t="n"/>
      <c r="C1474" s="7" t="n"/>
      <c r="D1474" s="7" t="n"/>
      <c r="E1474" s="7" t="n"/>
      <c r="F1474" s="7" t="n"/>
      <c r="G1474" s="8" t="n"/>
      <c r="H1474" s="9" t="n"/>
      <c r="I1474" s="10">
        <f>IF(G1474="","",G1474*H1474)</f>
        <v/>
      </c>
      <c r="J1474" s="7" t="n"/>
    </row>
    <row r="1475">
      <c r="A1475" s="6" t="n"/>
      <c r="B1475" s="7" t="n"/>
      <c r="C1475" s="7" t="n"/>
      <c r="D1475" s="7" t="n"/>
      <c r="E1475" s="7" t="n"/>
      <c r="F1475" s="7" t="n"/>
      <c r="G1475" s="8" t="n"/>
      <c r="H1475" s="9" t="n"/>
      <c r="I1475" s="10">
        <f>IF(G1475="","",G1475*H1475)</f>
        <v/>
      </c>
      <c r="J1475" s="7" t="n"/>
    </row>
    <row r="1476">
      <c r="A1476" s="6" t="n"/>
      <c r="B1476" s="7" t="n"/>
      <c r="C1476" s="7" t="n"/>
      <c r="D1476" s="7" t="n"/>
      <c r="E1476" s="7" t="n"/>
      <c r="F1476" s="7" t="n"/>
      <c r="G1476" s="8" t="n"/>
      <c r="H1476" s="9" t="n"/>
      <c r="I1476" s="10">
        <f>IF(G1476="","",G1476*H1476)</f>
        <v/>
      </c>
      <c r="J1476" s="7" t="n"/>
    </row>
    <row r="1477">
      <c r="A1477" s="6" t="n"/>
      <c r="B1477" s="7" t="n"/>
      <c r="C1477" s="7" t="n"/>
      <c r="D1477" s="7" t="n"/>
      <c r="E1477" s="7" t="n"/>
      <c r="F1477" s="7" t="n"/>
      <c r="G1477" s="8" t="n"/>
      <c r="H1477" s="9" t="n"/>
      <c r="I1477" s="10">
        <f>IF(G1477="","",G1477*H1477)</f>
        <v/>
      </c>
      <c r="J1477" s="7" t="n"/>
    </row>
    <row r="1478">
      <c r="A1478" s="6" t="n"/>
      <c r="B1478" s="7" t="n"/>
      <c r="C1478" s="7" t="n"/>
      <c r="D1478" s="7" t="n"/>
      <c r="E1478" s="7" t="n"/>
      <c r="F1478" s="7" t="n"/>
      <c r="G1478" s="8" t="n"/>
      <c r="H1478" s="9" t="n"/>
      <c r="I1478" s="10">
        <f>IF(G1478="","",G1478*H1478)</f>
        <v/>
      </c>
      <c r="J1478" s="7" t="n"/>
    </row>
    <row r="1479">
      <c r="A1479" s="6" t="n"/>
      <c r="B1479" s="7" t="n"/>
      <c r="C1479" s="7" t="n"/>
      <c r="D1479" s="7" t="n"/>
      <c r="E1479" s="7" t="n"/>
      <c r="F1479" s="7" t="n"/>
      <c r="G1479" s="8" t="n"/>
      <c r="H1479" s="9" t="n"/>
      <c r="I1479" s="10">
        <f>IF(G1479="","",G1479*H1479)</f>
        <v/>
      </c>
      <c r="J1479" s="7" t="n"/>
    </row>
    <row r="1480">
      <c r="A1480" s="6" t="n"/>
      <c r="B1480" s="7" t="n"/>
      <c r="C1480" s="7" t="n"/>
      <c r="D1480" s="7" t="n"/>
      <c r="E1480" s="7" t="n"/>
      <c r="F1480" s="7" t="n"/>
      <c r="G1480" s="8" t="n"/>
      <c r="H1480" s="9" t="n"/>
      <c r="I1480" s="10">
        <f>IF(G1480="","",G1480*H1480)</f>
        <v/>
      </c>
      <c r="J1480" s="7" t="n"/>
    </row>
    <row r="1481">
      <c r="A1481" s="6" t="n"/>
      <c r="B1481" s="7" t="n"/>
      <c r="C1481" s="7" t="n"/>
      <c r="D1481" s="7" t="n"/>
      <c r="E1481" s="7" t="n"/>
      <c r="F1481" s="7" t="n"/>
      <c r="G1481" s="8" t="n"/>
      <c r="H1481" s="9" t="n"/>
      <c r="I1481" s="10">
        <f>IF(G1481="","",G1481*H1481)</f>
        <v/>
      </c>
      <c r="J1481" s="7" t="n"/>
    </row>
    <row r="1482">
      <c r="A1482" s="6" t="n"/>
      <c r="B1482" s="7" t="n"/>
      <c r="C1482" s="7" t="n"/>
      <c r="D1482" s="7" t="n"/>
      <c r="E1482" s="7" t="n"/>
      <c r="F1482" s="7" t="n"/>
      <c r="G1482" s="8" t="n"/>
      <c r="H1482" s="9" t="n"/>
      <c r="I1482" s="10">
        <f>IF(G1482="","",G1482*H1482)</f>
        <v/>
      </c>
      <c r="J1482" s="7" t="n"/>
    </row>
    <row r="1483">
      <c r="A1483" s="6" t="n"/>
      <c r="B1483" s="7" t="n"/>
      <c r="C1483" s="7" t="n"/>
      <c r="D1483" s="7" t="n"/>
      <c r="E1483" s="7" t="n"/>
      <c r="F1483" s="7" t="n"/>
      <c r="G1483" s="8" t="n"/>
      <c r="H1483" s="9" t="n"/>
      <c r="I1483" s="10">
        <f>IF(G1483="","",G1483*H1483)</f>
        <v/>
      </c>
      <c r="J1483" s="7" t="n"/>
    </row>
    <row r="1484">
      <c r="A1484" s="6" t="n"/>
      <c r="B1484" s="7" t="n"/>
      <c r="C1484" s="7" t="n"/>
      <c r="D1484" s="7" t="n"/>
      <c r="E1484" s="7" t="n"/>
      <c r="F1484" s="7" t="n"/>
      <c r="G1484" s="8" t="n"/>
      <c r="H1484" s="9" t="n"/>
      <c r="I1484" s="10">
        <f>IF(G1484="","",G1484*H1484)</f>
        <v/>
      </c>
      <c r="J1484" s="7" t="n"/>
    </row>
    <row r="1485">
      <c r="A1485" s="6" t="n"/>
      <c r="B1485" s="7" t="n"/>
      <c r="C1485" s="7" t="n"/>
      <c r="D1485" s="7" t="n"/>
      <c r="E1485" s="7" t="n"/>
      <c r="F1485" s="7" t="n"/>
      <c r="G1485" s="8" t="n"/>
      <c r="H1485" s="9" t="n"/>
      <c r="I1485" s="10">
        <f>IF(G1485="","",G1485*H1485)</f>
        <v/>
      </c>
      <c r="J1485" s="7" t="n"/>
    </row>
    <row r="1486">
      <c r="A1486" s="6" t="n"/>
      <c r="B1486" s="7" t="n"/>
      <c r="C1486" s="7" t="n"/>
      <c r="D1486" s="7" t="n"/>
      <c r="E1486" s="7" t="n"/>
      <c r="F1486" s="7" t="n"/>
      <c r="G1486" s="8" t="n"/>
      <c r="H1486" s="9" t="n"/>
      <c r="I1486" s="10">
        <f>IF(G1486="","",G1486*H1486)</f>
        <v/>
      </c>
      <c r="J1486" s="7" t="n"/>
    </row>
    <row r="1487">
      <c r="A1487" s="6" t="n"/>
      <c r="B1487" s="7" t="n"/>
      <c r="C1487" s="7" t="n"/>
      <c r="D1487" s="7" t="n"/>
      <c r="E1487" s="7" t="n"/>
      <c r="F1487" s="7" t="n"/>
      <c r="G1487" s="8" t="n"/>
      <c r="H1487" s="9" t="n"/>
      <c r="I1487" s="10">
        <f>IF(G1487="","",G1487*H1487)</f>
        <v/>
      </c>
      <c r="J1487" s="7" t="n"/>
    </row>
    <row r="1488">
      <c r="A1488" s="6" t="n"/>
      <c r="B1488" s="7" t="n"/>
      <c r="C1488" s="7" t="n"/>
      <c r="D1488" s="7" t="n"/>
      <c r="E1488" s="7" t="n"/>
      <c r="F1488" s="7" t="n"/>
      <c r="G1488" s="8" t="n"/>
      <c r="H1488" s="9" t="n"/>
      <c r="I1488" s="10">
        <f>IF(G1488="","",G1488*H1488)</f>
        <v/>
      </c>
      <c r="J1488" s="7" t="n"/>
    </row>
    <row r="1489">
      <c r="A1489" s="6" t="n"/>
      <c r="B1489" s="7" t="n"/>
      <c r="C1489" s="7" t="n"/>
      <c r="D1489" s="7" t="n"/>
      <c r="E1489" s="7" t="n"/>
      <c r="F1489" s="7" t="n"/>
      <c r="G1489" s="8" t="n"/>
      <c r="H1489" s="9" t="n"/>
      <c r="I1489" s="10">
        <f>IF(G1489="","",G1489*H1489)</f>
        <v/>
      </c>
      <c r="J1489" s="7" t="n"/>
    </row>
    <row r="1490">
      <c r="A1490" s="6" t="n"/>
      <c r="B1490" s="7" t="n"/>
      <c r="C1490" s="7" t="n"/>
      <c r="D1490" s="7" t="n"/>
      <c r="E1490" s="7" t="n"/>
      <c r="F1490" s="7" t="n"/>
      <c r="G1490" s="8" t="n"/>
      <c r="H1490" s="9" t="n"/>
      <c r="I1490" s="10">
        <f>IF(G1490="","",G1490*H1490)</f>
        <v/>
      </c>
      <c r="J1490" s="7" t="n"/>
    </row>
    <row r="1491">
      <c r="A1491" s="6" t="n"/>
      <c r="B1491" s="7" t="n"/>
      <c r="C1491" s="7" t="n"/>
      <c r="D1491" s="7" t="n"/>
      <c r="E1491" s="7" t="n"/>
      <c r="F1491" s="7" t="n"/>
      <c r="G1491" s="8" t="n"/>
      <c r="H1491" s="9" t="n"/>
      <c r="I1491" s="10">
        <f>IF(G1491="","",G1491*H1491)</f>
        <v/>
      </c>
      <c r="J1491" s="7" t="n"/>
    </row>
    <row r="1492">
      <c r="A1492" s="6" t="n"/>
      <c r="B1492" s="7" t="n"/>
      <c r="C1492" s="7" t="n"/>
      <c r="D1492" s="7" t="n"/>
      <c r="E1492" s="7" t="n"/>
      <c r="F1492" s="7" t="n"/>
      <c r="G1492" s="8" t="n"/>
      <c r="H1492" s="9" t="n"/>
      <c r="I1492" s="10">
        <f>IF(G1492="","",G1492*H1492)</f>
        <v/>
      </c>
      <c r="J1492" s="7" t="n"/>
    </row>
    <row r="1493">
      <c r="A1493" s="6" t="n"/>
      <c r="B1493" s="7" t="n"/>
      <c r="C1493" s="7" t="n"/>
      <c r="D1493" s="7" t="n"/>
      <c r="E1493" s="7" t="n"/>
      <c r="F1493" s="7" t="n"/>
      <c r="G1493" s="8" t="n"/>
      <c r="H1493" s="9" t="n"/>
      <c r="I1493" s="10">
        <f>IF(G1493="","",G1493*H1493)</f>
        <v/>
      </c>
      <c r="J1493" s="7" t="n"/>
    </row>
    <row r="1494">
      <c r="A1494" s="6" t="n"/>
      <c r="B1494" s="7" t="n"/>
      <c r="C1494" s="7" t="n"/>
      <c r="D1494" s="7" t="n"/>
      <c r="E1494" s="7" t="n"/>
      <c r="F1494" s="7" t="n"/>
      <c r="G1494" s="8" t="n"/>
      <c r="H1494" s="9" t="n"/>
      <c r="I1494" s="10">
        <f>IF(G1494="","",G1494*H1494)</f>
        <v/>
      </c>
      <c r="J1494" s="7" t="n"/>
    </row>
    <row r="1495">
      <c r="A1495" s="6" t="n"/>
      <c r="B1495" s="7" t="n"/>
      <c r="C1495" s="7" t="n"/>
      <c r="D1495" s="7" t="n"/>
      <c r="E1495" s="7" t="n"/>
      <c r="F1495" s="7" t="n"/>
      <c r="G1495" s="8" t="n"/>
      <c r="H1495" s="9" t="n"/>
      <c r="I1495" s="10">
        <f>IF(G1495="","",G1495*H1495)</f>
        <v/>
      </c>
      <c r="J1495" s="7" t="n"/>
    </row>
    <row r="1496">
      <c r="A1496" s="6" t="n"/>
      <c r="B1496" s="7" t="n"/>
      <c r="C1496" s="7" t="n"/>
      <c r="D1496" s="7" t="n"/>
      <c r="E1496" s="7" t="n"/>
      <c r="F1496" s="7" t="n"/>
      <c r="G1496" s="8" t="n"/>
      <c r="H1496" s="9" t="n"/>
      <c r="I1496" s="10">
        <f>IF(G1496="","",G1496*H1496)</f>
        <v/>
      </c>
      <c r="J1496" s="7" t="n"/>
    </row>
    <row r="1497">
      <c r="A1497" s="6" t="n"/>
      <c r="B1497" s="7" t="n"/>
      <c r="C1497" s="7" t="n"/>
      <c r="D1497" s="7" t="n"/>
      <c r="E1497" s="7" t="n"/>
      <c r="F1497" s="7" t="n"/>
      <c r="G1497" s="8" t="n"/>
      <c r="H1497" s="9" t="n"/>
      <c r="I1497" s="10">
        <f>IF(G1497="","",G1497*H1497)</f>
        <v/>
      </c>
      <c r="J1497" s="7" t="n"/>
    </row>
    <row r="1498">
      <c r="A1498" s="6" t="n"/>
      <c r="B1498" s="7" t="n"/>
      <c r="C1498" s="7" t="n"/>
      <c r="D1498" s="7" t="n"/>
      <c r="E1498" s="7" t="n"/>
      <c r="F1498" s="7" t="n"/>
      <c r="G1498" s="8" t="n"/>
      <c r="H1498" s="9" t="n"/>
      <c r="I1498" s="10">
        <f>IF(G1498="","",G1498*H1498)</f>
        <v/>
      </c>
      <c r="J1498" s="7" t="n"/>
    </row>
    <row r="1499">
      <c r="A1499" s="6" t="n"/>
      <c r="B1499" s="7" t="n"/>
      <c r="C1499" s="7" t="n"/>
      <c r="D1499" s="7" t="n"/>
      <c r="E1499" s="7" t="n"/>
      <c r="F1499" s="7" t="n"/>
      <c r="G1499" s="8" t="n"/>
      <c r="H1499" s="9" t="n"/>
      <c r="I1499" s="10">
        <f>IF(G1499="","",G1499*H1499)</f>
        <v/>
      </c>
      <c r="J1499" s="7" t="n"/>
    </row>
    <row r="1500">
      <c r="A1500" s="6" t="n"/>
      <c r="B1500" s="7" t="n"/>
      <c r="C1500" s="7" t="n"/>
      <c r="D1500" s="7" t="n"/>
      <c r="E1500" s="7" t="n"/>
      <c r="F1500" s="7" t="n"/>
      <c r="G1500" s="8" t="n"/>
      <c r="H1500" s="9" t="n"/>
      <c r="I1500" s="10">
        <f>IF(G1500="","",G1500*H1500)</f>
        <v/>
      </c>
      <c r="J1500" s="7" t="n"/>
    </row>
    <row r="1501">
      <c r="A1501" s="6" t="n"/>
      <c r="B1501" s="7" t="n"/>
      <c r="C1501" s="7" t="n"/>
      <c r="D1501" s="7" t="n"/>
      <c r="E1501" s="7" t="n"/>
      <c r="F1501" s="7" t="n"/>
      <c r="G1501" s="8" t="n"/>
      <c r="H1501" s="9" t="n"/>
      <c r="I1501" s="10">
        <f>IF(G1501="","",G1501*H1501)</f>
        <v/>
      </c>
      <c r="J1501" s="7" t="n"/>
    </row>
    <row r="1502">
      <c r="A1502" s="6" t="n"/>
      <c r="B1502" s="7" t="n"/>
      <c r="C1502" s="7" t="n"/>
      <c r="D1502" s="7" t="n"/>
      <c r="E1502" s="7" t="n"/>
      <c r="F1502" s="7" t="n"/>
      <c r="G1502" s="8" t="n"/>
      <c r="H1502" s="9" t="n"/>
      <c r="I1502" s="10">
        <f>IF(G1502="","",G1502*H1502)</f>
        <v/>
      </c>
      <c r="J1502" s="7" t="n"/>
    </row>
    <row r="1503">
      <c r="A1503" s="6" t="n"/>
      <c r="B1503" s="7" t="n"/>
      <c r="C1503" s="7" t="n"/>
      <c r="D1503" s="7" t="n"/>
      <c r="E1503" s="7" t="n"/>
      <c r="F1503" s="7" t="n"/>
      <c r="G1503" s="8" t="n"/>
      <c r="H1503" s="9" t="n"/>
      <c r="I1503" s="10">
        <f>IF(G1503="","",G1503*H1503)</f>
        <v/>
      </c>
      <c r="J1503" s="7" t="n"/>
    </row>
    <row r="1504">
      <c r="A1504" s="6" t="n"/>
      <c r="B1504" s="7" t="n"/>
      <c r="C1504" s="7" t="n"/>
      <c r="D1504" s="7" t="n"/>
      <c r="E1504" s="7" t="n"/>
      <c r="F1504" s="7" t="n"/>
      <c r="G1504" s="8" t="n"/>
      <c r="H1504" s="9" t="n"/>
      <c r="I1504" s="10">
        <f>IF(G1504="","",G1504*H1504)</f>
        <v/>
      </c>
      <c r="J1504" s="7" t="n"/>
    </row>
    <row r="1505">
      <c r="A1505" s="6" t="n"/>
      <c r="B1505" s="7" t="n"/>
      <c r="C1505" s="7" t="n"/>
      <c r="D1505" s="7" t="n"/>
      <c r="E1505" s="7" t="n"/>
      <c r="F1505" s="7" t="n"/>
      <c r="G1505" s="8" t="n"/>
      <c r="H1505" s="9" t="n"/>
      <c r="I1505" s="10">
        <f>IF(G1505="","",G1505*H1505)</f>
        <v/>
      </c>
      <c r="J1505" s="7" t="n"/>
    </row>
    <row r="1506">
      <c r="A1506" s="6" t="n"/>
      <c r="B1506" s="7" t="n"/>
      <c r="C1506" s="7" t="n"/>
      <c r="D1506" s="7" t="n"/>
      <c r="E1506" s="7" t="n"/>
      <c r="F1506" s="7" t="n"/>
      <c r="G1506" s="8" t="n"/>
      <c r="H1506" s="9" t="n"/>
      <c r="I1506" s="10">
        <f>IF(G1506="","",G1506*H1506)</f>
        <v/>
      </c>
      <c r="J1506" s="7" t="n"/>
    </row>
    <row r="1507">
      <c r="A1507" s="6" t="n"/>
      <c r="B1507" s="7" t="n"/>
      <c r="C1507" s="7" t="n"/>
      <c r="D1507" s="7" t="n"/>
      <c r="E1507" s="7" t="n"/>
      <c r="F1507" s="7" t="n"/>
      <c r="G1507" s="8" t="n"/>
      <c r="H1507" s="9" t="n"/>
      <c r="I1507" s="10">
        <f>IF(G1507="","",G1507*H1507)</f>
        <v/>
      </c>
      <c r="J1507" s="7" t="n"/>
    </row>
    <row r="1508">
      <c r="A1508" s="6" t="n"/>
      <c r="B1508" s="7" t="n"/>
      <c r="C1508" s="7" t="n"/>
      <c r="D1508" s="7" t="n"/>
      <c r="E1508" s="7" t="n"/>
      <c r="F1508" s="7" t="n"/>
      <c r="G1508" s="8" t="n"/>
      <c r="H1508" s="9" t="n"/>
      <c r="I1508" s="10">
        <f>IF(G1508="","",G1508*H1508)</f>
        <v/>
      </c>
      <c r="J1508" s="7" t="n"/>
    </row>
    <row r="1509">
      <c r="A1509" s="6" t="n"/>
      <c r="B1509" s="7" t="n"/>
      <c r="C1509" s="7" t="n"/>
      <c r="D1509" s="7" t="n"/>
      <c r="E1509" s="7" t="n"/>
      <c r="F1509" s="7" t="n"/>
      <c r="G1509" s="8" t="n"/>
      <c r="H1509" s="9" t="n"/>
      <c r="I1509" s="10">
        <f>IF(G1509="","",G1509*H1509)</f>
        <v/>
      </c>
      <c r="J1509" s="7" t="n"/>
    </row>
    <row r="1510">
      <c r="A1510" s="6" t="n"/>
      <c r="B1510" s="7" t="n"/>
      <c r="C1510" s="7" t="n"/>
      <c r="D1510" s="7" t="n"/>
      <c r="E1510" s="7" t="n"/>
      <c r="F1510" s="7" t="n"/>
      <c r="G1510" s="8" t="n"/>
      <c r="H1510" s="9" t="n"/>
      <c r="I1510" s="10">
        <f>IF(G1510="","",G1510*H1510)</f>
        <v/>
      </c>
      <c r="J1510" s="7" t="n"/>
    </row>
    <row r="1511">
      <c r="A1511" s="6" t="n"/>
      <c r="B1511" s="7" t="n"/>
      <c r="C1511" s="7" t="n"/>
      <c r="D1511" s="7" t="n"/>
      <c r="E1511" s="7" t="n"/>
      <c r="F1511" s="7" t="n"/>
      <c r="G1511" s="8" t="n"/>
      <c r="H1511" s="9" t="n"/>
      <c r="I1511" s="10">
        <f>IF(G1511="","",G1511*H1511)</f>
        <v/>
      </c>
      <c r="J1511" s="7" t="n"/>
    </row>
    <row r="1512">
      <c r="A1512" s="6" t="n"/>
      <c r="B1512" s="7" t="n"/>
      <c r="C1512" s="7" t="n"/>
      <c r="D1512" s="7" t="n"/>
      <c r="E1512" s="7" t="n"/>
      <c r="F1512" s="7" t="n"/>
      <c r="G1512" s="8" t="n"/>
      <c r="H1512" s="9" t="n"/>
      <c r="I1512" s="10">
        <f>IF(G1512="","",G1512*H1512)</f>
        <v/>
      </c>
      <c r="J1512" s="7" t="n"/>
    </row>
    <row r="1513">
      <c r="A1513" s="6" t="n"/>
      <c r="B1513" s="7" t="n"/>
      <c r="C1513" s="7" t="n"/>
      <c r="D1513" s="7" t="n"/>
      <c r="E1513" s="7" t="n"/>
      <c r="F1513" s="7" t="n"/>
      <c r="G1513" s="8" t="n"/>
      <c r="H1513" s="9" t="n"/>
      <c r="I1513" s="10">
        <f>IF(G1513="","",G1513*H1513)</f>
        <v/>
      </c>
      <c r="J1513" s="7" t="n"/>
    </row>
    <row r="1514">
      <c r="A1514" s="6" t="n"/>
      <c r="B1514" s="7" t="n"/>
      <c r="C1514" s="7" t="n"/>
      <c r="D1514" s="7" t="n"/>
      <c r="E1514" s="7" t="n"/>
      <c r="F1514" s="7" t="n"/>
      <c r="G1514" s="8" t="n"/>
      <c r="H1514" s="9" t="n"/>
      <c r="I1514" s="10">
        <f>IF(G1514="","",G1514*H1514)</f>
        <v/>
      </c>
      <c r="J1514" s="7" t="n"/>
    </row>
    <row r="1515">
      <c r="A1515" s="6" t="n"/>
      <c r="B1515" s="7" t="n"/>
      <c r="C1515" s="7" t="n"/>
      <c r="D1515" s="7" t="n"/>
      <c r="E1515" s="7" t="n"/>
      <c r="F1515" s="7" t="n"/>
      <c r="G1515" s="8" t="n"/>
      <c r="H1515" s="9" t="n"/>
      <c r="I1515" s="10">
        <f>IF(G1515="","",G1515*H1515)</f>
        <v/>
      </c>
      <c r="J1515" s="7" t="n"/>
    </row>
    <row r="1516">
      <c r="A1516" s="6" t="n"/>
      <c r="B1516" s="7" t="n"/>
      <c r="C1516" s="7" t="n"/>
      <c r="D1516" s="7" t="n"/>
      <c r="E1516" s="7" t="n"/>
      <c r="F1516" s="7" t="n"/>
      <c r="G1516" s="8" t="n"/>
      <c r="H1516" s="9" t="n"/>
      <c r="I1516" s="10">
        <f>IF(G1516="","",G1516*H1516)</f>
        <v/>
      </c>
      <c r="J1516" s="7" t="n"/>
    </row>
    <row r="1517">
      <c r="A1517" s="6" t="n"/>
      <c r="B1517" s="7" t="n"/>
      <c r="C1517" s="7" t="n"/>
      <c r="D1517" s="7" t="n"/>
      <c r="E1517" s="7" t="n"/>
      <c r="F1517" s="7" t="n"/>
      <c r="G1517" s="8" t="n"/>
      <c r="H1517" s="9" t="n"/>
      <c r="I1517" s="10">
        <f>IF(G1517="","",G1517*H1517)</f>
        <v/>
      </c>
      <c r="J1517" s="7" t="n"/>
    </row>
    <row r="1518">
      <c r="A1518" s="6" t="n"/>
      <c r="B1518" s="7" t="n"/>
      <c r="C1518" s="7" t="n"/>
      <c r="D1518" s="7" t="n"/>
      <c r="E1518" s="7" t="n"/>
      <c r="F1518" s="7" t="n"/>
      <c r="G1518" s="8" t="n"/>
      <c r="H1518" s="9" t="n"/>
      <c r="I1518" s="10">
        <f>IF(G1518="","",G1518*H1518)</f>
        <v/>
      </c>
      <c r="J1518" s="7" t="n"/>
    </row>
    <row r="1519">
      <c r="A1519" s="6" t="n"/>
      <c r="B1519" s="7" t="n"/>
      <c r="C1519" s="7" t="n"/>
      <c r="D1519" s="7" t="n"/>
      <c r="E1519" s="7" t="n"/>
      <c r="F1519" s="7" t="n"/>
      <c r="G1519" s="8" t="n"/>
      <c r="H1519" s="9" t="n"/>
      <c r="I1519" s="10">
        <f>IF(G1519="","",G1519*H1519)</f>
        <v/>
      </c>
      <c r="J1519" s="7" t="n"/>
    </row>
    <row r="1520">
      <c r="A1520" s="6" t="n"/>
      <c r="B1520" s="7" t="n"/>
      <c r="C1520" s="7" t="n"/>
      <c r="D1520" s="7" t="n"/>
      <c r="E1520" s="7" t="n"/>
      <c r="F1520" s="7" t="n"/>
      <c r="G1520" s="8" t="n"/>
      <c r="H1520" s="9" t="n"/>
      <c r="I1520" s="10">
        <f>IF(G1520="","",G1520*H1520)</f>
        <v/>
      </c>
      <c r="J1520" s="7" t="n"/>
    </row>
    <row r="1521">
      <c r="A1521" s="6" t="n"/>
      <c r="B1521" s="7" t="n"/>
      <c r="C1521" s="7" t="n"/>
      <c r="D1521" s="7" t="n"/>
      <c r="E1521" s="7" t="n"/>
      <c r="F1521" s="7" t="n"/>
      <c r="G1521" s="8" t="n"/>
      <c r="H1521" s="9" t="n"/>
      <c r="I1521" s="10">
        <f>IF(G1521="","",G1521*H1521)</f>
        <v/>
      </c>
      <c r="J1521" s="7" t="n"/>
    </row>
    <row r="1522">
      <c r="A1522" s="6" t="n"/>
      <c r="B1522" s="7" t="n"/>
      <c r="C1522" s="7" t="n"/>
      <c r="D1522" s="7" t="n"/>
      <c r="E1522" s="7" t="n"/>
      <c r="F1522" s="7" t="n"/>
      <c r="G1522" s="8" t="n"/>
      <c r="H1522" s="9" t="n"/>
      <c r="I1522" s="10">
        <f>IF(G1522="","",G1522*H1522)</f>
        <v/>
      </c>
      <c r="J1522" s="7" t="n"/>
    </row>
    <row r="1523">
      <c r="A1523" s="6" t="n"/>
      <c r="B1523" s="7" t="n"/>
      <c r="C1523" s="7" t="n"/>
      <c r="D1523" s="7" t="n"/>
      <c r="E1523" s="7" t="n"/>
      <c r="F1523" s="7" t="n"/>
      <c r="G1523" s="8" t="n"/>
      <c r="H1523" s="9" t="n"/>
      <c r="I1523" s="10">
        <f>IF(G1523="","",G1523*H1523)</f>
        <v/>
      </c>
      <c r="J1523" s="7" t="n"/>
    </row>
    <row r="1524">
      <c r="A1524" s="6" t="n"/>
      <c r="B1524" s="7" t="n"/>
      <c r="C1524" s="7" t="n"/>
      <c r="D1524" s="7" t="n"/>
      <c r="E1524" s="7" t="n"/>
      <c r="F1524" s="7" t="n"/>
      <c r="G1524" s="8" t="n"/>
      <c r="H1524" s="9" t="n"/>
      <c r="I1524" s="10">
        <f>IF(G1524="","",G1524*H1524)</f>
        <v/>
      </c>
      <c r="J1524" s="7" t="n"/>
    </row>
    <row r="1525">
      <c r="A1525" s="6" t="n"/>
      <c r="B1525" s="7" t="n"/>
      <c r="C1525" s="7" t="n"/>
      <c r="D1525" s="7" t="n"/>
      <c r="E1525" s="7" t="n"/>
      <c r="F1525" s="7" t="n"/>
      <c r="G1525" s="8" t="n"/>
      <c r="H1525" s="9" t="n"/>
      <c r="I1525" s="10">
        <f>IF(G1525="","",G1525*H1525)</f>
        <v/>
      </c>
      <c r="J1525" s="7" t="n"/>
    </row>
    <row r="1526">
      <c r="A1526" s="6" t="n"/>
      <c r="B1526" s="7" t="n"/>
      <c r="C1526" s="7" t="n"/>
      <c r="D1526" s="7" t="n"/>
      <c r="E1526" s="7" t="n"/>
      <c r="F1526" s="7" t="n"/>
      <c r="G1526" s="8" t="n"/>
      <c r="H1526" s="9" t="n"/>
      <c r="I1526" s="10">
        <f>IF(G1526="","",G1526*H1526)</f>
        <v/>
      </c>
      <c r="J1526" s="7" t="n"/>
    </row>
    <row r="1527">
      <c r="A1527" s="6" t="n"/>
      <c r="B1527" s="7" t="n"/>
      <c r="C1527" s="7" t="n"/>
      <c r="D1527" s="7" t="n"/>
      <c r="E1527" s="7" t="n"/>
      <c r="F1527" s="7" t="n"/>
      <c r="G1527" s="8" t="n"/>
      <c r="H1527" s="9" t="n"/>
      <c r="I1527" s="10">
        <f>IF(G1527="","",G1527*H1527)</f>
        <v/>
      </c>
      <c r="J1527" s="7" t="n"/>
    </row>
    <row r="1528">
      <c r="A1528" s="6" t="n"/>
      <c r="B1528" s="7" t="n"/>
      <c r="C1528" s="7" t="n"/>
      <c r="D1528" s="7" t="n"/>
      <c r="E1528" s="7" t="n"/>
      <c r="F1528" s="7" t="n"/>
      <c r="G1528" s="8" t="n"/>
      <c r="H1528" s="9" t="n"/>
      <c r="I1528" s="10">
        <f>IF(G1528="","",G1528*H1528)</f>
        <v/>
      </c>
      <c r="J1528" s="7" t="n"/>
    </row>
    <row r="1529">
      <c r="A1529" s="6" t="n"/>
      <c r="B1529" s="7" t="n"/>
      <c r="C1529" s="7" t="n"/>
      <c r="D1529" s="7" t="n"/>
      <c r="E1529" s="7" t="n"/>
      <c r="F1529" s="7" t="n"/>
      <c r="G1529" s="8" t="n"/>
      <c r="H1529" s="9" t="n"/>
      <c r="I1529" s="10">
        <f>IF(G1529="","",G1529*H1529)</f>
        <v/>
      </c>
      <c r="J1529" s="7" t="n"/>
    </row>
    <row r="1530">
      <c r="A1530" s="6" t="n"/>
      <c r="B1530" s="7" t="n"/>
      <c r="C1530" s="7" t="n"/>
      <c r="D1530" s="7" t="n"/>
      <c r="E1530" s="7" t="n"/>
      <c r="F1530" s="7" t="n"/>
      <c r="G1530" s="8" t="n"/>
      <c r="H1530" s="9" t="n"/>
      <c r="I1530" s="10">
        <f>IF(G1530="","",G1530*H1530)</f>
        <v/>
      </c>
      <c r="J1530" s="7" t="n"/>
    </row>
    <row r="1531">
      <c r="A1531" s="6" t="n"/>
      <c r="B1531" s="7" t="n"/>
      <c r="C1531" s="7" t="n"/>
      <c r="D1531" s="7" t="n"/>
      <c r="E1531" s="7" t="n"/>
      <c r="F1531" s="7" t="n"/>
      <c r="G1531" s="8" t="n"/>
      <c r="H1531" s="9" t="n"/>
      <c r="I1531" s="10">
        <f>IF(G1531="","",G1531*H1531)</f>
        <v/>
      </c>
      <c r="J1531" s="7" t="n"/>
    </row>
    <row r="1532">
      <c r="A1532" s="6" t="n"/>
      <c r="B1532" s="7" t="n"/>
      <c r="C1532" s="7" t="n"/>
      <c r="D1532" s="7" t="n"/>
      <c r="E1532" s="7" t="n"/>
      <c r="F1532" s="7" t="n"/>
      <c r="G1532" s="8" t="n"/>
      <c r="H1532" s="9" t="n"/>
      <c r="I1532" s="10">
        <f>IF(G1532="","",G1532*H1532)</f>
        <v/>
      </c>
      <c r="J1532" s="7" t="n"/>
    </row>
    <row r="1533">
      <c r="A1533" s="6" t="n"/>
      <c r="B1533" s="7" t="n"/>
      <c r="C1533" s="7" t="n"/>
      <c r="D1533" s="7" t="n"/>
      <c r="E1533" s="7" t="n"/>
      <c r="F1533" s="7" t="n"/>
      <c r="G1533" s="8" t="n"/>
      <c r="H1533" s="9" t="n"/>
      <c r="I1533" s="10">
        <f>IF(G1533="","",G1533*H1533)</f>
        <v/>
      </c>
      <c r="J1533" s="7" t="n"/>
    </row>
    <row r="1534">
      <c r="A1534" s="6" t="n"/>
      <c r="B1534" s="7" t="n"/>
      <c r="C1534" s="7" t="n"/>
      <c r="D1534" s="7" t="n"/>
      <c r="E1534" s="7" t="n"/>
      <c r="F1534" s="7" t="n"/>
      <c r="G1534" s="8" t="n"/>
      <c r="H1534" s="9" t="n"/>
      <c r="I1534" s="10">
        <f>IF(G1534="","",G1534*H1534)</f>
        <v/>
      </c>
      <c r="J1534" s="7" t="n"/>
    </row>
    <row r="1535">
      <c r="A1535" s="6" t="n"/>
      <c r="B1535" s="7" t="n"/>
      <c r="C1535" s="7" t="n"/>
      <c r="D1535" s="7" t="n"/>
      <c r="E1535" s="7" t="n"/>
      <c r="F1535" s="7" t="n"/>
      <c r="G1535" s="8" t="n"/>
      <c r="H1535" s="9" t="n"/>
      <c r="I1535" s="10">
        <f>IF(G1535="","",G1535*H1535)</f>
        <v/>
      </c>
      <c r="J1535" s="7" t="n"/>
    </row>
    <row r="1536">
      <c r="A1536" s="6" t="n"/>
      <c r="B1536" s="7" t="n"/>
      <c r="C1536" s="7" t="n"/>
      <c r="D1536" s="7" t="n"/>
      <c r="E1536" s="7" t="n"/>
      <c r="F1536" s="7" t="n"/>
      <c r="G1536" s="8" t="n"/>
      <c r="H1536" s="9" t="n"/>
      <c r="I1536" s="10">
        <f>IF(G1536="","",G1536*H1536)</f>
        <v/>
      </c>
      <c r="J1536" s="7" t="n"/>
    </row>
    <row r="1537">
      <c r="A1537" s="6" t="n"/>
      <c r="B1537" s="7" t="n"/>
      <c r="C1537" s="7" t="n"/>
      <c r="D1537" s="7" t="n"/>
      <c r="E1537" s="7" t="n"/>
      <c r="F1537" s="7" t="n"/>
      <c r="G1537" s="8" t="n"/>
      <c r="H1537" s="9" t="n"/>
      <c r="I1537" s="10">
        <f>IF(G1537="","",G1537*H1537)</f>
        <v/>
      </c>
      <c r="J1537" s="7" t="n"/>
    </row>
    <row r="1538">
      <c r="A1538" s="6" t="n"/>
      <c r="B1538" s="7" t="n"/>
      <c r="C1538" s="7" t="n"/>
      <c r="D1538" s="7" t="n"/>
      <c r="E1538" s="7" t="n"/>
      <c r="F1538" s="7" t="n"/>
      <c r="G1538" s="8" t="n"/>
      <c r="H1538" s="9" t="n"/>
      <c r="I1538" s="10">
        <f>IF(G1538="","",G1538*H1538)</f>
        <v/>
      </c>
      <c r="J1538" s="7" t="n"/>
    </row>
    <row r="1539">
      <c r="A1539" s="6" t="n"/>
      <c r="B1539" s="7" t="n"/>
      <c r="C1539" s="7" t="n"/>
      <c r="D1539" s="7" t="n"/>
      <c r="E1539" s="7" t="n"/>
      <c r="F1539" s="7" t="n"/>
      <c r="G1539" s="8" t="n"/>
      <c r="H1539" s="9" t="n"/>
      <c r="I1539" s="10">
        <f>IF(G1539="","",G1539*H1539)</f>
        <v/>
      </c>
      <c r="J1539" s="7" t="n"/>
    </row>
    <row r="1540">
      <c r="A1540" s="6" t="n"/>
      <c r="B1540" s="7" t="n"/>
      <c r="C1540" s="7" t="n"/>
      <c r="D1540" s="7" t="n"/>
      <c r="E1540" s="7" t="n"/>
      <c r="F1540" s="7" t="n"/>
      <c r="G1540" s="8" t="n"/>
      <c r="H1540" s="9" t="n"/>
      <c r="I1540" s="10">
        <f>IF(G1540="","",G1540*H1540)</f>
        <v/>
      </c>
      <c r="J1540" s="7" t="n"/>
    </row>
    <row r="1541">
      <c r="A1541" s="6" t="n"/>
      <c r="B1541" s="7" t="n"/>
      <c r="C1541" s="7" t="n"/>
      <c r="D1541" s="7" t="n"/>
      <c r="E1541" s="7" t="n"/>
      <c r="F1541" s="7" t="n"/>
      <c r="G1541" s="8" t="n"/>
      <c r="H1541" s="9" t="n"/>
      <c r="I1541" s="10">
        <f>IF(G1541="","",G1541*H1541)</f>
        <v/>
      </c>
      <c r="J1541" s="7" t="n"/>
    </row>
    <row r="1542">
      <c r="A1542" s="6" t="n"/>
      <c r="B1542" s="7" t="n"/>
      <c r="C1542" s="7" t="n"/>
      <c r="D1542" s="7" t="n"/>
      <c r="E1542" s="7" t="n"/>
      <c r="F1542" s="7" t="n"/>
      <c r="G1542" s="8" t="n"/>
      <c r="H1542" s="9" t="n"/>
      <c r="I1542" s="10">
        <f>IF(G1542="","",G1542*H1542)</f>
        <v/>
      </c>
      <c r="J1542" s="7" t="n"/>
    </row>
    <row r="1543">
      <c r="A1543" s="6" t="n"/>
      <c r="B1543" s="7" t="n"/>
      <c r="C1543" s="7" t="n"/>
      <c r="D1543" s="7" t="n"/>
      <c r="E1543" s="7" t="n"/>
      <c r="F1543" s="7" t="n"/>
      <c r="G1543" s="8" t="n"/>
      <c r="H1543" s="9" t="n"/>
      <c r="I1543" s="10">
        <f>IF(G1543="","",G1543*H1543)</f>
        <v/>
      </c>
      <c r="J1543" s="7" t="n"/>
    </row>
    <row r="1544">
      <c r="A1544" s="6" t="n"/>
      <c r="B1544" s="7" t="n"/>
      <c r="C1544" s="7" t="n"/>
      <c r="D1544" s="7" t="n"/>
      <c r="E1544" s="7" t="n"/>
      <c r="F1544" s="7" t="n"/>
      <c r="G1544" s="8" t="n"/>
      <c r="H1544" s="9" t="n"/>
      <c r="I1544" s="10">
        <f>IF(G1544="","",G1544*H1544)</f>
        <v/>
      </c>
      <c r="J1544" s="7" t="n"/>
    </row>
    <row r="1545">
      <c r="A1545" s="6" t="n"/>
      <c r="B1545" s="7" t="n"/>
      <c r="C1545" s="7" t="n"/>
      <c r="D1545" s="7" t="n"/>
      <c r="E1545" s="7" t="n"/>
      <c r="F1545" s="7" t="n"/>
      <c r="G1545" s="8" t="n"/>
      <c r="H1545" s="9" t="n"/>
      <c r="I1545" s="10">
        <f>IF(G1545="","",G1545*H1545)</f>
        <v/>
      </c>
      <c r="J1545" s="7" t="n"/>
    </row>
    <row r="1546">
      <c r="A1546" s="6" t="n"/>
      <c r="B1546" s="7" t="n"/>
      <c r="C1546" s="7" t="n"/>
      <c r="D1546" s="7" t="n"/>
      <c r="E1546" s="7" t="n"/>
      <c r="F1546" s="7" t="n"/>
      <c r="G1546" s="8" t="n"/>
      <c r="H1546" s="9" t="n"/>
      <c r="I1546" s="10">
        <f>IF(G1546="","",G1546*H1546)</f>
        <v/>
      </c>
      <c r="J1546" s="7" t="n"/>
    </row>
    <row r="1547">
      <c r="A1547" s="6" t="n"/>
      <c r="B1547" s="7" t="n"/>
      <c r="C1547" s="7" t="n"/>
      <c r="D1547" s="7" t="n"/>
      <c r="E1547" s="7" t="n"/>
      <c r="F1547" s="7" t="n"/>
      <c r="G1547" s="8" t="n"/>
      <c r="H1547" s="9" t="n"/>
      <c r="I1547" s="10">
        <f>IF(G1547="","",G1547*H1547)</f>
        <v/>
      </c>
      <c r="J1547" s="7" t="n"/>
    </row>
    <row r="1548">
      <c r="A1548" s="6" t="n"/>
      <c r="B1548" s="7" t="n"/>
      <c r="C1548" s="7" t="n"/>
      <c r="D1548" s="7" t="n"/>
      <c r="E1548" s="7" t="n"/>
      <c r="F1548" s="7" t="n"/>
      <c r="G1548" s="8" t="n"/>
      <c r="H1548" s="9" t="n"/>
      <c r="I1548" s="10">
        <f>IF(G1548="","",G1548*H1548)</f>
        <v/>
      </c>
      <c r="J1548" s="7" t="n"/>
    </row>
    <row r="1549">
      <c r="A1549" s="6" t="n"/>
      <c r="B1549" s="7" t="n"/>
      <c r="C1549" s="7" t="n"/>
      <c r="D1549" s="7" t="n"/>
      <c r="E1549" s="7" t="n"/>
      <c r="F1549" s="7" t="n"/>
      <c r="G1549" s="8" t="n"/>
      <c r="H1549" s="9" t="n"/>
      <c r="I1549" s="10">
        <f>IF(G1549="","",G1549*H1549)</f>
        <v/>
      </c>
      <c r="J1549" s="7" t="n"/>
    </row>
    <row r="1550">
      <c r="A1550" s="6" t="n"/>
      <c r="B1550" s="7" t="n"/>
      <c r="C1550" s="7" t="n"/>
      <c r="D1550" s="7" t="n"/>
      <c r="E1550" s="7" t="n"/>
      <c r="F1550" s="7" t="n"/>
      <c r="G1550" s="8" t="n"/>
      <c r="H1550" s="9" t="n"/>
      <c r="I1550" s="10">
        <f>IF(G1550="","",G1550*H1550)</f>
        <v/>
      </c>
      <c r="J1550" s="7" t="n"/>
    </row>
    <row r="1551">
      <c r="A1551" s="6" t="n"/>
      <c r="B1551" s="7" t="n"/>
      <c r="C1551" s="7" t="n"/>
      <c r="D1551" s="7" t="n"/>
      <c r="E1551" s="7" t="n"/>
      <c r="F1551" s="7" t="n"/>
      <c r="G1551" s="8" t="n"/>
      <c r="H1551" s="9" t="n"/>
      <c r="I1551" s="10">
        <f>IF(G1551="","",G1551*H1551)</f>
        <v/>
      </c>
      <c r="J1551" s="7" t="n"/>
    </row>
    <row r="1552">
      <c r="A1552" s="6" t="n"/>
      <c r="B1552" s="7" t="n"/>
      <c r="C1552" s="7" t="n"/>
      <c r="D1552" s="7" t="n"/>
      <c r="E1552" s="7" t="n"/>
      <c r="F1552" s="7" t="n"/>
      <c r="G1552" s="8" t="n"/>
      <c r="H1552" s="9" t="n"/>
      <c r="I1552" s="10">
        <f>IF(G1552="","",G1552*H1552)</f>
        <v/>
      </c>
      <c r="J1552" s="7" t="n"/>
    </row>
    <row r="1553">
      <c r="A1553" s="6" t="n"/>
      <c r="B1553" s="7" t="n"/>
      <c r="C1553" s="7" t="n"/>
      <c r="D1553" s="7" t="n"/>
      <c r="E1553" s="7" t="n"/>
      <c r="F1553" s="7" t="n"/>
      <c r="G1553" s="8" t="n"/>
      <c r="H1553" s="9" t="n"/>
      <c r="I1553" s="10">
        <f>IF(G1553="","",G1553*H1553)</f>
        <v/>
      </c>
      <c r="J1553" s="7" t="n"/>
    </row>
    <row r="1554">
      <c r="A1554" s="6" t="n"/>
      <c r="B1554" s="7" t="n"/>
      <c r="C1554" s="7" t="n"/>
      <c r="D1554" s="7" t="n"/>
      <c r="E1554" s="7" t="n"/>
      <c r="F1554" s="7" t="n"/>
      <c r="G1554" s="8" t="n"/>
      <c r="H1554" s="9" t="n"/>
      <c r="I1554" s="10">
        <f>IF(G1554="","",G1554*H1554)</f>
        <v/>
      </c>
      <c r="J1554" s="7" t="n"/>
    </row>
    <row r="1555">
      <c r="A1555" s="6" t="n"/>
      <c r="B1555" s="7" t="n"/>
      <c r="C1555" s="7" t="n"/>
      <c r="D1555" s="7" t="n"/>
      <c r="E1555" s="7" t="n"/>
      <c r="F1555" s="7" t="n"/>
      <c r="G1555" s="8" t="n"/>
      <c r="H1555" s="9" t="n"/>
      <c r="I1555" s="10">
        <f>IF(G1555="","",G1555*H1555)</f>
        <v/>
      </c>
      <c r="J1555" s="7" t="n"/>
    </row>
    <row r="1556">
      <c r="A1556" s="6" t="n"/>
      <c r="B1556" s="7" t="n"/>
      <c r="C1556" s="7" t="n"/>
      <c r="D1556" s="7" t="n"/>
      <c r="E1556" s="7" t="n"/>
      <c r="F1556" s="7" t="n"/>
      <c r="G1556" s="8" t="n"/>
      <c r="H1556" s="9" t="n"/>
      <c r="I1556" s="10">
        <f>IF(G1556="","",G1556*H1556)</f>
        <v/>
      </c>
      <c r="J1556" s="7" t="n"/>
    </row>
    <row r="1557">
      <c r="A1557" s="6" t="n"/>
      <c r="B1557" s="7" t="n"/>
      <c r="C1557" s="7" t="n"/>
      <c r="D1557" s="7" t="n"/>
      <c r="E1557" s="7" t="n"/>
      <c r="F1557" s="7" t="n"/>
      <c r="G1557" s="8" t="n"/>
      <c r="H1557" s="9" t="n"/>
      <c r="I1557" s="10">
        <f>IF(G1557="","",G1557*H1557)</f>
        <v/>
      </c>
      <c r="J1557" s="7" t="n"/>
    </row>
    <row r="1558">
      <c r="A1558" s="6" t="n"/>
      <c r="B1558" s="7" t="n"/>
      <c r="C1558" s="7" t="n"/>
      <c r="D1558" s="7" t="n"/>
      <c r="E1558" s="7" t="n"/>
      <c r="F1558" s="7" t="n"/>
      <c r="G1558" s="8" t="n"/>
      <c r="H1558" s="9" t="n"/>
      <c r="I1558" s="10">
        <f>IF(G1558="","",G1558*H1558)</f>
        <v/>
      </c>
      <c r="J1558" s="7" t="n"/>
    </row>
    <row r="1559">
      <c r="A1559" s="6" t="n"/>
      <c r="B1559" s="7" t="n"/>
      <c r="C1559" s="7" t="n"/>
      <c r="D1559" s="7" t="n"/>
      <c r="E1559" s="7" t="n"/>
      <c r="F1559" s="7" t="n"/>
      <c r="G1559" s="8" t="n"/>
      <c r="H1559" s="9" t="n"/>
      <c r="I1559" s="10">
        <f>IF(G1559="","",G1559*H1559)</f>
        <v/>
      </c>
      <c r="J1559" s="7" t="n"/>
    </row>
    <row r="1560">
      <c r="A1560" s="6" t="n"/>
      <c r="B1560" s="7" t="n"/>
      <c r="C1560" s="7" t="n"/>
      <c r="D1560" s="7" t="n"/>
      <c r="E1560" s="7" t="n"/>
      <c r="F1560" s="7" t="n"/>
      <c r="G1560" s="8" t="n"/>
      <c r="H1560" s="9" t="n"/>
      <c r="I1560" s="10">
        <f>IF(G1560="","",G1560*H1560)</f>
        <v/>
      </c>
      <c r="J1560" s="7" t="n"/>
    </row>
    <row r="1561">
      <c r="A1561" s="6" t="n"/>
      <c r="B1561" s="7" t="n"/>
      <c r="C1561" s="7" t="n"/>
      <c r="D1561" s="7" t="n"/>
      <c r="E1561" s="7" t="n"/>
      <c r="F1561" s="7" t="n"/>
      <c r="G1561" s="8" t="n"/>
      <c r="H1561" s="9" t="n"/>
      <c r="I1561" s="10">
        <f>IF(G1561="","",G1561*H1561)</f>
        <v/>
      </c>
      <c r="J1561" s="7" t="n"/>
    </row>
    <row r="1562">
      <c r="A1562" s="6" t="n"/>
      <c r="B1562" s="7" t="n"/>
      <c r="C1562" s="7" t="n"/>
      <c r="D1562" s="7" t="n"/>
      <c r="E1562" s="7" t="n"/>
      <c r="F1562" s="7" t="n"/>
      <c r="G1562" s="8" t="n"/>
      <c r="H1562" s="9" t="n"/>
      <c r="I1562" s="10">
        <f>IF(G1562="","",G1562*H1562)</f>
        <v/>
      </c>
      <c r="J1562" s="7" t="n"/>
    </row>
    <row r="1563">
      <c r="A1563" s="6" t="n"/>
      <c r="B1563" s="7" t="n"/>
      <c r="C1563" s="7" t="n"/>
      <c r="D1563" s="7" t="n"/>
      <c r="E1563" s="7" t="n"/>
      <c r="F1563" s="7" t="n"/>
      <c r="G1563" s="8" t="n"/>
      <c r="H1563" s="9" t="n"/>
      <c r="I1563" s="10">
        <f>IF(G1563="","",G1563*H1563)</f>
        <v/>
      </c>
      <c r="J1563" s="7" t="n"/>
    </row>
    <row r="1564">
      <c r="A1564" s="6" t="n"/>
      <c r="B1564" s="7" t="n"/>
      <c r="C1564" s="7" t="n"/>
      <c r="D1564" s="7" t="n"/>
      <c r="E1564" s="7" t="n"/>
      <c r="F1564" s="7" t="n"/>
      <c r="G1564" s="8" t="n"/>
      <c r="H1564" s="9" t="n"/>
      <c r="I1564" s="10">
        <f>IF(G1564="","",G1564*H1564)</f>
        <v/>
      </c>
      <c r="J1564" s="7" t="n"/>
    </row>
    <row r="1565">
      <c r="A1565" s="6" t="n"/>
      <c r="B1565" s="7" t="n"/>
      <c r="C1565" s="7" t="n"/>
      <c r="D1565" s="7" t="n"/>
      <c r="E1565" s="7" t="n"/>
      <c r="F1565" s="7" t="n"/>
      <c r="G1565" s="8" t="n"/>
      <c r="H1565" s="9" t="n"/>
      <c r="I1565" s="10">
        <f>IF(G1565="","",G1565*H1565)</f>
        <v/>
      </c>
      <c r="J1565" s="7" t="n"/>
    </row>
    <row r="1566">
      <c r="A1566" s="6" t="n"/>
      <c r="B1566" s="7" t="n"/>
      <c r="C1566" s="7" t="n"/>
      <c r="D1566" s="7" t="n"/>
      <c r="E1566" s="7" t="n"/>
      <c r="F1566" s="7" t="n"/>
      <c r="G1566" s="8" t="n"/>
      <c r="H1566" s="9" t="n"/>
      <c r="I1566" s="10">
        <f>IF(G1566="","",G1566*H1566)</f>
        <v/>
      </c>
      <c r="J1566" s="7" t="n"/>
    </row>
    <row r="1567">
      <c r="A1567" s="6" t="n"/>
      <c r="B1567" s="7" t="n"/>
      <c r="C1567" s="7" t="n"/>
      <c r="D1567" s="7" t="n"/>
      <c r="E1567" s="7" t="n"/>
      <c r="F1567" s="7" t="n"/>
      <c r="G1567" s="8" t="n"/>
      <c r="H1567" s="9" t="n"/>
      <c r="I1567" s="10">
        <f>IF(G1567="","",G1567*H1567)</f>
        <v/>
      </c>
      <c r="J1567" s="7" t="n"/>
    </row>
    <row r="1568">
      <c r="A1568" s="6" t="n"/>
      <c r="B1568" s="7" t="n"/>
      <c r="C1568" s="7" t="n"/>
      <c r="D1568" s="7" t="n"/>
      <c r="E1568" s="7" t="n"/>
      <c r="F1568" s="7" t="n"/>
      <c r="G1568" s="8" t="n"/>
      <c r="H1568" s="9" t="n"/>
      <c r="I1568" s="10">
        <f>IF(G1568="","",G1568*H1568)</f>
        <v/>
      </c>
      <c r="J1568" s="7" t="n"/>
    </row>
    <row r="1569">
      <c r="A1569" s="6" t="n"/>
      <c r="B1569" s="7" t="n"/>
      <c r="C1569" s="7" t="n"/>
      <c r="D1569" s="7" t="n"/>
      <c r="E1569" s="7" t="n"/>
      <c r="F1569" s="7" t="n"/>
      <c r="G1569" s="8" t="n"/>
      <c r="H1569" s="9" t="n"/>
      <c r="I1569" s="10">
        <f>IF(G1569="","",G1569*H1569)</f>
        <v/>
      </c>
      <c r="J1569" s="7" t="n"/>
    </row>
    <row r="1570">
      <c r="A1570" s="6" t="n"/>
      <c r="B1570" s="7" t="n"/>
      <c r="C1570" s="7" t="n"/>
      <c r="D1570" s="7" t="n"/>
      <c r="E1570" s="7" t="n"/>
      <c r="F1570" s="7" t="n"/>
      <c r="G1570" s="8" t="n"/>
      <c r="H1570" s="9" t="n"/>
      <c r="I1570" s="10">
        <f>IF(G1570="","",G1570*H1570)</f>
        <v/>
      </c>
      <c r="J1570" s="7" t="n"/>
    </row>
    <row r="1571">
      <c r="A1571" s="6" t="n"/>
      <c r="B1571" s="7" t="n"/>
      <c r="C1571" s="7" t="n"/>
      <c r="D1571" s="7" t="n"/>
      <c r="E1571" s="7" t="n"/>
      <c r="F1571" s="7" t="n"/>
      <c r="G1571" s="8" t="n"/>
      <c r="H1571" s="9" t="n"/>
      <c r="I1571" s="10">
        <f>IF(G1571="","",G1571*H1571)</f>
        <v/>
      </c>
      <c r="J1571" s="7" t="n"/>
    </row>
    <row r="1572">
      <c r="A1572" s="6" t="n"/>
      <c r="B1572" s="7" t="n"/>
      <c r="C1572" s="7" t="n"/>
      <c r="D1572" s="7" t="n"/>
      <c r="E1572" s="7" t="n"/>
      <c r="F1572" s="7" t="n"/>
      <c r="G1572" s="8" t="n"/>
      <c r="H1572" s="9" t="n"/>
      <c r="I1572" s="10">
        <f>IF(G1572="","",G1572*H1572)</f>
        <v/>
      </c>
      <c r="J1572" s="7" t="n"/>
    </row>
    <row r="1573">
      <c r="A1573" s="6" t="n"/>
      <c r="B1573" s="7" t="n"/>
      <c r="C1573" s="7" t="n"/>
      <c r="D1573" s="7" t="n"/>
      <c r="E1573" s="7" t="n"/>
      <c r="F1573" s="7" t="n"/>
      <c r="G1573" s="8" t="n"/>
      <c r="H1573" s="9" t="n"/>
      <c r="I1573" s="10">
        <f>IF(G1573="","",G1573*H1573)</f>
        <v/>
      </c>
      <c r="J1573" s="7" t="n"/>
    </row>
    <row r="1574">
      <c r="A1574" s="6" t="n"/>
      <c r="B1574" s="7" t="n"/>
      <c r="C1574" s="7" t="n"/>
      <c r="D1574" s="7" t="n"/>
      <c r="E1574" s="7" t="n"/>
      <c r="F1574" s="7" t="n"/>
      <c r="G1574" s="8" t="n"/>
      <c r="H1574" s="9" t="n"/>
      <c r="I1574" s="10">
        <f>IF(G1574="","",G1574*H1574)</f>
        <v/>
      </c>
      <c r="J1574" s="7" t="n"/>
    </row>
    <row r="1575">
      <c r="A1575" s="6" t="n"/>
      <c r="B1575" s="7" t="n"/>
      <c r="C1575" s="7" t="n"/>
      <c r="D1575" s="7" t="n"/>
      <c r="E1575" s="7" t="n"/>
      <c r="F1575" s="7" t="n"/>
      <c r="G1575" s="8" t="n"/>
      <c r="H1575" s="9" t="n"/>
      <c r="I1575" s="10">
        <f>IF(G1575="","",G1575*H1575)</f>
        <v/>
      </c>
      <c r="J1575" s="7" t="n"/>
    </row>
    <row r="1576">
      <c r="A1576" s="6" t="n"/>
      <c r="B1576" s="7" t="n"/>
      <c r="C1576" s="7" t="n"/>
      <c r="D1576" s="7" t="n"/>
      <c r="E1576" s="7" t="n"/>
      <c r="F1576" s="7" t="n"/>
      <c r="G1576" s="8" t="n"/>
      <c r="H1576" s="9" t="n"/>
      <c r="I1576" s="10">
        <f>IF(G1576="","",G1576*H1576)</f>
        <v/>
      </c>
      <c r="J1576" s="7" t="n"/>
    </row>
    <row r="1577">
      <c r="A1577" s="6" t="n"/>
      <c r="B1577" s="7" t="n"/>
      <c r="C1577" s="7" t="n"/>
      <c r="D1577" s="7" t="n"/>
      <c r="E1577" s="7" t="n"/>
      <c r="F1577" s="7" t="n"/>
      <c r="G1577" s="8" t="n"/>
      <c r="H1577" s="9" t="n"/>
      <c r="I1577" s="10">
        <f>IF(G1577="","",G1577*H1577)</f>
        <v/>
      </c>
      <c r="J1577" s="7" t="n"/>
    </row>
    <row r="1578">
      <c r="A1578" s="6" t="n"/>
      <c r="B1578" s="7" t="n"/>
      <c r="C1578" s="7" t="n"/>
      <c r="D1578" s="7" t="n"/>
      <c r="E1578" s="7" t="n"/>
      <c r="F1578" s="7" t="n"/>
      <c r="G1578" s="8" t="n"/>
      <c r="H1578" s="9" t="n"/>
      <c r="I1578" s="10">
        <f>IF(G1578="","",G1578*H1578)</f>
        <v/>
      </c>
      <c r="J1578" s="7" t="n"/>
    </row>
    <row r="1579">
      <c r="A1579" s="6" t="n"/>
      <c r="B1579" s="7" t="n"/>
      <c r="C1579" s="7" t="n"/>
      <c r="D1579" s="7" t="n"/>
      <c r="E1579" s="7" t="n"/>
      <c r="F1579" s="7" t="n"/>
      <c r="G1579" s="8" t="n"/>
      <c r="H1579" s="9" t="n"/>
      <c r="I1579" s="10">
        <f>IF(G1579="","",G1579*H1579)</f>
        <v/>
      </c>
      <c r="J1579" s="7" t="n"/>
    </row>
    <row r="1580">
      <c r="A1580" s="6" t="n"/>
      <c r="B1580" s="7" t="n"/>
      <c r="C1580" s="7" t="n"/>
      <c r="D1580" s="7" t="n"/>
      <c r="E1580" s="7" t="n"/>
      <c r="F1580" s="7" t="n"/>
      <c r="G1580" s="8" t="n"/>
      <c r="H1580" s="9" t="n"/>
      <c r="I1580" s="10">
        <f>IF(G1580="","",G1580*H1580)</f>
        <v/>
      </c>
      <c r="J1580" s="7" t="n"/>
    </row>
    <row r="1581">
      <c r="A1581" s="6" t="n"/>
      <c r="B1581" s="7" t="n"/>
      <c r="C1581" s="7" t="n"/>
      <c r="D1581" s="7" t="n"/>
      <c r="E1581" s="7" t="n"/>
      <c r="F1581" s="7" t="n"/>
      <c r="G1581" s="8" t="n"/>
      <c r="H1581" s="9" t="n"/>
      <c r="I1581" s="10">
        <f>IF(G1581="","",G1581*H1581)</f>
        <v/>
      </c>
      <c r="J1581" s="7" t="n"/>
    </row>
    <row r="1582">
      <c r="A1582" s="6" t="n"/>
      <c r="B1582" s="7" t="n"/>
      <c r="C1582" s="7" t="n"/>
      <c r="D1582" s="7" t="n"/>
      <c r="E1582" s="7" t="n"/>
      <c r="F1582" s="7" t="n"/>
      <c r="G1582" s="8" t="n"/>
      <c r="H1582" s="9" t="n"/>
      <c r="I1582" s="10">
        <f>IF(G1582="","",G1582*H1582)</f>
        <v/>
      </c>
      <c r="J1582" s="7" t="n"/>
    </row>
    <row r="1583">
      <c r="A1583" s="6" t="n"/>
      <c r="B1583" s="7" t="n"/>
      <c r="C1583" s="7" t="n"/>
      <c r="D1583" s="7" t="n"/>
      <c r="E1583" s="7" t="n"/>
      <c r="F1583" s="7" t="n"/>
      <c r="G1583" s="8" t="n"/>
      <c r="H1583" s="9" t="n"/>
      <c r="I1583" s="10">
        <f>IF(G1583="","",G1583*H1583)</f>
        <v/>
      </c>
      <c r="J1583" s="7" t="n"/>
    </row>
    <row r="1584">
      <c r="A1584" s="6" t="n"/>
      <c r="B1584" s="7" t="n"/>
      <c r="C1584" s="7" t="n"/>
      <c r="D1584" s="7" t="n"/>
      <c r="E1584" s="7" t="n"/>
      <c r="F1584" s="7" t="n"/>
      <c r="G1584" s="8" t="n"/>
      <c r="H1584" s="9" t="n"/>
      <c r="I1584" s="10">
        <f>IF(G1584="","",G1584*H1584)</f>
        <v/>
      </c>
      <c r="J1584" s="7" t="n"/>
    </row>
    <row r="1585">
      <c r="A1585" s="6" t="n"/>
      <c r="B1585" s="7" t="n"/>
      <c r="C1585" s="7" t="n"/>
      <c r="D1585" s="7" t="n"/>
      <c r="E1585" s="7" t="n"/>
      <c r="F1585" s="7" t="n"/>
      <c r="G1585" s="8" t="n"/>
      <c r="H1585" s="9" t="n"/>
      <c r="I1585" s="10">
        <f>IF(G1585="","",G1585*H1585)</f>
        <v/>
      </c>
      <c r="J1585" s="7" t="n"/>
    </row>
    <row r="1586">
      <c r="A1586" s="6" t="n"/>
      <c r="B1586" s="7" t="n"/>
      <c r="C1586" s="7" t="n"/>
      <c r="D1586" s="7" t="n"/>
      <c r="E1586" s="7" t="n"/>
      <c r="F1586" s="7" t="n"/>
      <c r="G1586" s="8" t="n"/>
      <c r="H1586" s="9" t="n"/>
      <c r="I1586" s="10">
        <f>IF(G1586="","",G1586*H1586)</f>
        <v/>
      </c>
      <c r="J1586" s="7" t="n"/>
    </row>
    <row r="1587">
      <c r="A1587" s="6" t="n"/>
      <c r="B1587" s="7" t="n"/>
      <c r="C1587" s="7" t="n"/>
      <c r="D1587" s="7" t="n"/>
      <c r="E1587" s="7" t="n"/>
      <c r="F1587" s="7" t="n"/>
      <c r="G1587" s="8" t="n"/>
      <c r="H1587" s="9" t="n"/>
      <c r="I1587" s="10">
        <f>IF(G1587="","",G1587*H1587)</f>
        <v/>
      </c>
      <c r="J1587" s="7" t="n"/>
    </row>
    <row r="1588">
      <c r="A1588" s="6" t="n"/>
      <c r="B1588" s="7" t="n"/>
      <c r="C1588" s="7" t="n"/>
      <c r="D1588" s="7" t="n"/>
      <c r="E1588" s="7" t="n"/>
      <c r="F1588" s="7" t="n"/>
      <c r="G1588" s="8" t="n"/>
      <c r="H1588" s="9" t="n"/>
      <c r="I1588" s="10">
        <f>IF(G1588="","",G1588*H1588)</f>
        <v/>
      </c>
      <c r="J1588" s="7" t="n"/>
    </row>
    <row r="1589">
      <c r="A1589" s="6" t="n"/>
      <c r="B1589" s="7" t="n"/>
      <c r="C1589" s="7" t="n"/>
      <c r="D1589" s="7" t="n"/>
      <c r="E1589" s="7" t="n"/>
      <c r="F1589" s="7" t="n"/>
      <c r="G1589" s="8" t="n"/>
      <c r="H1589" s="9" t="n"/>
      <c r="I1589" s="10">
        <f>IF(G1589="","",G1589*H1589)</f>
        <v/>
      </c>
      <c r="J1589" s="7" t="n"/>
    </row>
    <row r="1590">
      <c r="A1590" s="6" t="n"/>
      <c r="B1590" s="7" t="n"/>
      <c r="C1590" s="7" t="n"/>
      <c r="D1590" s="7" t="n"/>
      <c r="E1590" s="7" t="n"/>
      <c r="F1590" s="7" t="n"/>
      <c r="G1590" s="8" t="n"/>
      <c r="H1590" s="9" t="n"/>
      <c r="I1590" s="10">
        <f>IF(G1590="","",G1590*H1590)</f>
        <v/>
      </c>
      <c r="J1590" s="7" t="n"/>
    </row>
    <row r="1591">
      <c r="A1591" s="6" t="n"/>
      <c r="B1591" s="7" t="n"/>
      <c r="C1591" s="7" t="n"/>
      <c r="D1591" s="7" t="n"/>
      <c r="E1591" s="7" t="n"/>
      <c r="F1591" s="7" t="n"/>
      <c r="G1591" s="8" t="n"/>
      <c r="H1591" s="9" t="n"/>
      <c r="I1591" s="10">
        <f>IF(G1591="","",G1591*H1591)</f>
        <v/>
      </c>
      <c r="J1591" s="7" t="n"/>
    </row>
    <row r="1592">
      <c r="A1592" s="6" t="n"/>
      <c r="B1592" s="7" t="n"/>
      <c r="C1592" s="7" t="n"/>
      <c r="D1592" s="7" t="n"/>
      <c r="E1592" s="7" t="n"/>
      <c r="F1592" s="7" t="n"/>
      <c r="G1592" s="8" t="n"/>
      <c r="H1592" s="9" t="n"/>
      <c r="I1592" s="10">
        <f>IF(G1592="","",G1592*H1592)</f>
        <v/>
      </c>
      <c r="J1592" s="7" t="n"/>
    </row>
    <row r="1593">
      <c r="A1593" s="6" t="n"/>
      <c r="B1593" s="7" t="n"/>
      <c r="C1593" s="7" t="n"/>
      <c r="D1593" s="7" t="n"/>
      <c r="E1593" s="7" t="n"/>
      <c r="F1593" s="7" t="n"/>
      <c r="G1593" s="8" t="n"/>
      <c r="H1593" s="9" t="n"/>
      <c r="I1593" s="10">
        <f>IF(G1593="","",G1593*H1593)</f>
        <v/>
      </c>
      <c r="J1593" s="7" t="n"/>
    </row>
    <row r="1594">
      <c r="A1594" s="6" t="n"/>
      <c r="B1594" s="7" t="n"/>
      <c r="C1594" s="7" t="n"/>
      <c r="D1594" s="7" t="n"/>
      <c r="E1594" s="7" t="n"/>
      <c r="F1594" s="7" t="n"/>
      <c r="G1594" s="8" t="n"/>
      <c r="H1594" s="9" t="n"/>
      <c r="I1594" s="10">
        <f>IF(G1594="","",G1594*H1594)</f>
        <v/>
      </c>
      <c r="J1594" s="7" t="n"/>
    </row>
    <row r="1595">
      <c r="A1595" s="6" t="n"/>
      <c r="B1595" s="7" t="n"/>
      <c r="C1595" s="7" t="n"/>
      <c r="D1595" s="7" t="n"/>
      <c r="E1595" s="7" t="n"/>
      <c r="F1595" s="7" t="n"/>
      <c r="G1595" s="8" t="n"/>
      <c r="H1595" s="9" t="n"/>
      <c r="I1595" s="10">
        <f>IF(G1595="","",G1595*H1595)</f>
        <v/>
      </c>
      <c r="J1595" s="7" t="n"/>
    </row>
    <row r="1596">
      <c r="A1596" s="6" t="n"/>
      <c r="B1596" s="7" t="n"/>
      <c r="C1596" s="7" t="n"/>
      <c r="D1596" s="7" t="n"/>
      <c r="E1596" s="7" t="n"/>
      <c r="F1596" s="7" t="n"/>
      <c r="G1596" s="8" t="n"/>
      <c r="H1596" s="9" t="n"/>
      <c r="I1596" s="10">
        <f>IF(G1596="","",G1596*H1596)</f>
        <v/>
      </c>
      <c r="J1596" s="7" t="n"/>
    </row>
    <row r="1597">
      <c r="A1597" s="6" t="n"/>
      <c r="B1597" s="7" t="n"/>
      <c r="C1597" s="7" t="n"/>
      <c r="D1597" s="7" t="n"/>
      <c r="E1597" s="7" t="n"/>
      <c r="F1597" s="7" t="n"/>
      <c r="G1597" s="8" t="n"/>
      <c r="H1597" s="9" t="n"/>
      <c r="I1597" s="10">
        <f>IF(G1597="","",G1597*H1597)</f>
        <v/>
      </c>
      <c r="J1597" s="7" t="n"/>
    </row>
    <row r="1598">
      <c r="A1598" s="6" t="n"/>
      <c r="B1598" s="7" t="n"/>
      <c r="C1598" s="7" t="n"/>
      <c r="D1598" s="7" t="n"/>
      <c r="E1598" s="7" t="n"/>
      <c r="F1598" s="7" t="n"/>
      <c r="G1598" s="8" t="n"/>
      <c r="H1598" s="9" t="n"/>
      <c r="I1598" s="10">
        <f>IF(G1598="","",G1598*H1598)</f>
        <v/>
      </c>
      <c r="J1598" s="7" t="n"/>
    </row>
    <row r="1599">
      <c r="A1599" s="6" t="n"/>
      <c r="B1599" s="7" t="n"/>
      <c r="C1599" s="7" t="n"/>
      <c r="D1599" s="7" t="n"/>
      <c r="E1599" s="7" t="n"/>
      <c r="F1599" s="7" t="n"/>
      <c r="G1599" s="8" t="n"/>
      <c r="H1599" s="9" t="n"/>
      <c r="I1599" s="10">
        <f>IF(G1599="","",G1599*H1599)</f>
        <v/>
      </c>
      <c r="J1599" s="7" t="n"/>
    </row>
    <row r="1600">
      <c r="A1600" s="6" t="n"/>
      <c r="B1600" s="7" t="n"/>
      <c r="C1600" s="7" t="n"/>
      <c r="D1600" s="7" t="n"/>
      <c r="E1600" s="7" t="n"/>
      <c r="F1600" s="7" t="n"/>
      <c r="G1600" s="8" t="n"/>
      <c r="H1600" s="9" t="n"/>
      <c r="I1600" s="10">
        <f>IF(G1600="","",G1600*H1600)</f>
        <v/>
      </c>
      <c r="J1600" s="7" t="n"/>
    </row>
    <row r="1601">
      <c r="A1601" s="6" t="n"/>
      <c r="B1601" s="7" t="n"/>
      <c r="C1601" s="7" t="n"/>
      <c r="D1601" s="7" t="n"/>
      <c r="E1601" s="7" t="n"/>
      <c r="F1601" s="7" t="n"/>
      <c r="G1601" s="8" t="n"/>
      <c r="H1601" s="9" t="n"/>
      <c r="I1601" s="10">
        <f>IF(G1601="","",G1601*H1601)</f>
        <v/>
      </c>
      <c r="J1601" s="7" t="n"/>
    </row>
    <row r="1602">
      <c r="A1602" s="6" t="n"/>
      <c r="B1602" s="7" t="n"/>
      <c r="C1602" s="7" t="n"/>
      <c r="D1602" s="7" t="n"/>
      <c r="E1602" s="7" t="n"/>
      <c r="F1602" s="7" t="n"/>
      <c r="G1602" s="8" t="n"/>
      <c r="H1602" s="9" t="n"/>
      <c r="I1602" s="10">
        <f>IF(G1602="","",G1602*H1602)</f>
        <v/>
      </c>
      <c r="J1602" s="7" t="n"/>
    </row>
    <row r="1603">
      <c r="A1603" s="6" t="n"/>
      <c r="B1603" s="7" t="n"/>
      <c r="C1603" s="7" t="n"/>
      <c r="D1603" s="7" t="n"/>
      <c r="E1603" s="7" t="n"/>
      <c r="F1603" s="7" t="n"/>
      <c r="G1603" s="8" t="n"/>
      <c r="H1603" s="9" t="n"/>
      <c r="I1603" s="10">
        <f>IF(G1603="","",G1603*H1603)</f>
        <v/>
      </c>
      <c r="J1603" s="7" t="n"/>
    </row>
    <row r="1604">
      <c r="A1604" s="6" t="n"/>
      <c r="B1604" s="7" t="n"/>
      <c r="C1604" s="7" t="n"/>
      <c r="D1604" s="7" t="n"/>
      <c r="E1604" s="7" t="n"/>
      <c r="F1604" s="7" t="n"/>
      <c r="G1604" s="8" t="n"/>
      <c r="H1604" s="9" t="n"/>
      <c r="I1604" s="10">
        <f>IF(G1604="","",G1604*H1604)</f>
        <v/>
      </c>
      <c r="J1604" s="7" t="n"/>
    </row>
    <row r="1605">
      <c r="A1605" s="6" t="n"/>
      <c r="B1605" s="7" t="n"/>
      <c r="C1605" s="7" t="n"/>
      <c r="D1605" s="7" t="n"/>
      <c r="E1605" s="7" t="n"/>
      <c r="F1605" s="7" t="n"/>
      <c r="G1605" s="8" t="n"/>
      <c r="H1605" s="9" t="n"/>
      <c r="I1605" s="10">
        <f>IF(G1605="","",G1605*H1605)</f>
        <v/>
      </c>
      <c r="J1605" s="7" t="n"/>
    </row>
    <row r="1606">
      <c r="A1606" s="6" t="n"/>
      <c r="B1606" s="7" t="n"/>
      <c r="C1606" s="7" t="n"/>
      <c r="D1606" s="7" t="n"/>
      <c r="E1606" s="7" t="n"/>
      <c r="F1606" s="7" t="n"/>
      <c r="G1606" s="8" t="n"/>
      <c r="H1606" s="9" t="n"/>
      <c r="I1606" s="10">
        <f>IF(G1606="","",G1606*H1606)</f>
        <v/>
      </c>
      <c r="J1606" s="7" t="n"/>
    </row>
    <row r="1607">
      <c r="A1607" s="6" t="n"/>
      <c r="B1607" s="7" t="n"/>
      <c r="C1607" s="7" t="n"/>
      <c r="D1607" s="7" t="n"/>
      <c r="E1607" s="7" t="n"/>
      <c r="F1607" s="7" t="n"/>
      <c r="G1607" s="8" t="n"/>
      <c r="H1607" s="9" t="n"/>
      <c r="I1607" s="10">
        <f>IF(G1607="","",G1607*H1607)</f>
        <v/>
      </c>
      <c r="J1607" s="7" t="n"/>
    </row>
    <row r="1608">
      <c r="A1608" s="6" t="n"/>
      <c r="B1608" s="7" t="n"/>
      <c r="C1608" s="7" t="n"/>
      <c r="D1608" s="7" t="n"/>
      <c r="E1608" s="7" t="n"/>
      <c r="F1608" s="7" t="n"/>
      <c r="G1608" s="8" t="n"/>
      <c r="H1608" s="9" t="n"/>
      <c r="I1608" s="10">
        <f>IF(G1608="","",G1608*H1608)</f>
        <v/>
      </c>
      <c r="J1608" s="7" t="n"/>
    </row>
    <row r="1609">
      <c r="A1609" s="6" t="n"/>
      <c r="B1609" s="7" t="n"/>
      <c r="C1609" s="7" t="n"/>
      <c r="D1609" s="7" t="n"/>
      <c r="E1609" s="7" t="n"/>
      <c r="F1609" s="7" t="n"/>
      <c r="G1609" s="8" t="n"/>
      <c r="H1609" s="9" t="n"/>
      <c r="I1609" s="10">
        <f>IF(G1609="","",G1609*H1609)</f>
        <v/>
      </c>
      <c r="J1609" s="7" t="n"/>
    </row>
    <row r="1610">
      <c r="A1610" s="6" t="n"/>
      <c r="B1610" s="7" t="n"/>
      <c r="C1610" s="7" t="n"/>
      <c r="D1610" s="7" t="n"/>
      <c r="E1610" s="7" t="n"/>
      <c r="F1610" s="7" t="n"/>
      <c r="G1610" s="8" t="n"/>
      <c r="H1610" s="9" t="n"/>
      <c r="I1610" s="10">
        <f>IF(G1610="","",G1610*H1610)</f>
        <v/>
      </c>
      <c r="J1610" s="7" t="n"/>
    </row>
    <row r="1611">
      <c r="A1611" s="6" t="n"/>
      <c r="B1611" s="7" t="n"/>
      <c r="C1611" s="7" t="n"/>
      <c r="D1611" s="7" t="n"/>
      <c r="E1611" s="7" t="n"/>
      <c r="F1611" s="7" t="n"/>
      <c r="G1611" s="8" t="n"/>
      <c r="H1611" s="9" t="n"/>
      <c r="I1611" s="10">
        <f>IF(G1611="","",G1611*H1611)</f>
        <v/>
      </c>
      <c r="J1611" s="7" t="n"/>
    </row>
    <row r="1612">
      <c r="A1612" s="6" t="n"/>
      <c r="B1612" s="7" t="n"/>
      <c r="C1612" s="7" t="n"/>
      <c r="D1612" s="7" t="n"/>
      <c r="E1612" s="7" t="n"/>
      <c r="F1612" s="7" t="n"/>
      <c r="G1612" s="8" t="n"/>
      <c r="H1612" s="9" t="n"/>
      <c r="I1612" s="10">
        <f>IF(G1612="","",G1612*H1612)</f>
        <v/>
      </c>
      <c r="J1612" s="7" t="n"/>
    </row>
    <row r="1613">
      <c r="A1613" s="6" t="n"/>
      <c r="B1613" s="7" t="n"/>
      <c r="C1613" s="7" t="n"/>
      <c r="D1613" s="7" t="n"/>
      <c r="E1613" s="7" t="n"/>
      <c r="F1613" s="7" t="n"/>
      <c r="G1613" s="8" t="n"/>
      <c r="H1613" s="9" t="n"/>
      <c r="I1613" s="10">
        <f>IF(G1613="","",G1613*H1613)</f>
        <v/>
      </c>
      <c r="J1613" s="7" t="n"/>
    </row>
    <row r="1614">
      <c r="A1614" s="6" t="n"/>
      <c r="B1614" s="7" t="n"/>
      <c r="C1614" s="7" t="n"/>
      <c r="D1614" s="7" t="n"/>
      <c r="E1614" s="7" t="n"/>
      <c r="F1614" s="7" t="n"/>
      <c r="G1614" s="8" t="n"/>
      <c r="H1614" s="9" t="n"/>
      <c r="I1614" s="10">
        <f>IF(G1614="","",G1614*H1614)</f>
        <v/>
      </c>
      <c r="J1614" s="7" t="n"/>
    </row>
    <row r="1615">
      <c r="A1615" s="6" t="n"/>
      <c r="B1615" s="7" t="n"/>
      <c r="C1615" s="7" t="n"/>
      <c r="D1615" s="7" t="n"/>
      <c r="E1615" s="7" t="n"/>
      <c r="F1615" s="7" t="n"/>
      <c r="G1615" s="8" t="n"/>
      <c r="H1615" s="9" t="n"/>
      <c r="I1615" s="10">
        <f>IF(G1615="","",G1615*H1615)</f>
        <v/>
      </c>
      <c r="J1615" s="7" t="n"/>
    </row>
    <row r="1616">
      <c r="A1616" s="6" t="n"/>
      <c r="B1616" s="7" t="n"/>
      <c r="C1616" s="7" t="n"/>
      <c r="D1616" s="7" t="n"/>
      <c r="E1616" s="7" t="n"/>
      <c r="F1616" s="7" t="n"/>
      <c r="G1616" s="8" t="n"/>
      <c r="H1616" s="9" t="n"/>
      <c r="I1616" s="10">
        <f>IF(G1616="","",G1616*H1616)</f>
        <v/>
      </c>
      <c r="J1616" s="7" t="n"/>
    </row>
    <row r="1617">
      <c r="A1617" s="6" t="n"/>
      <c r="B1617" s="7" t="n"/>
      <c r="C1617" s="7" t="n"/>
      <c r="D1617" s="7" t="n"/>
      <c r="E1617" s="7" t="n"/>
      <c r="F1617" s="7" t="n"/>
      <c r="G1617" s="8" t="n"/>
      <c r="H1617" s="9" t="n"/>
      <c r="I1617" s="10">
        <f>IF(G1617="","",G1617*H1617)</f>
        <v/>
      </c>
      <c r="J1617" s="7" t="n"/>
    </row>
    <row r="1618">
      <c r="A1618" s="6" t="n"/>
      <c r="B1618" s="7" t="n"/>
      <c r="C1618" s="7" t="n"/>
      <c r="D1618" s="7" t="n"/>
      <c r="E1618" s="7" t="n"/>
      <c r="F1618" s="7" t="n"/>
      <c r="G1618" s="8" t="n"/>
      <c r="H1618" s="9" t="n"/>
      <c r="I1618" s="10">
        <f>IF(G1618="","",G1618*H1618)</f>
        <v/>
      </c>
      <c r="J1618" s="7" t="n"/>
    </row>
    <row r="1619">
      <c r="A1619" s="6" t="n"/>
      <c r="B1619" s="7" t="n"/>
      <c r="C1619" s="7" t="n"/>
      <c r="D1619" s="7" t="n"/>
      <c r="E1619" s="7" t="n"/>
      <c r="F1619" s="7" t="n"/>
      <c r="G1619" s="8" t="n"/>
      <c r="H1619" s="9" t="n"/>
      <c r="I1619" s="10">
        <f>IF(G1619="","",G1619*H1619)</f>
        <v/>
      </c>
      <c r="J1619" s="7" t="n"/>
    </row>
    <row r="1620">
      <c r="A1620" s="6" t="n"/>
      <c r="B1620" s="7" t="n"/>
      <c r="C1620" s="7" t="n"/>
      <c r="D1620" s="7" t="n"/>
      <c r="E1620" s="7" t="n"/>
      <c r="F1620" s="7" t="n"/>
      <c r="G1620" s="8" t="n"/>
      <c r="H1620" s="9" t="n"/>
      <c r="I1620" s="10">
        <f>IF(G1620="","",G1620*H1620)</f>
        <v/>
      </c>
      <c r="J1620" s="7" t="n"/>
    </row>
    <row r="1621">
      <c r="A1621" s="6" t="n"/>
      <c r="B1621" s="7" t="n"/>
      <c r="C1621" s="7" t="n"/>
      <c r="D1621" s="7" t="n"/>
      <c r="E1621" s="7" t="n"/>
      <c r="F1621" s="7" t="n"/>
      <c r="G1621" s="8" t="n"/>
      <c r="H1621" s="9" t="n"/>
      <c r="I1621" s="10">
        <f>IF(G1621="","",G1621*H1621)</f>
        <v/>
      </c>
      <c r="J1621" s="7" t="n"/>
    </row>
    <row r="1622">
      <c r="A1622" s="6" t="n"/>
      <c r="B1622" s="7" t="n"/>
      <c r="C1622" s="7" t="n"/>
      <c r="D1622" s="7" t="n"/>
      <c r="E1622" s="7" t="n"/>
      <c r="F1622" s="7" t="n"/>
      <c r="G1622" s="8" t="n"/>
      <c r="H1622" s="9" t="n"/>
      <c r="I1622" s="10">
        <f>IF(G1622="","",G1622*H1622)</f>
        <v/>
      </c>
      <c r="J1622" s="7" t="n"/>
    </row>
    <row r="1623">
      <c r="A1623" s="6" t="n"/>
      <c r="B1623" s="7" t="n"/>
      <c r="C1623" s="7" t="n"/>
      <c r="D1623" s="7" t="n"/>
      <c r="E1623" s="7" t="n"/>
      <c r="F1623" s="7" t="n"/>
      <c r="G1623" s="8" t="n"/>
      <c r="H1623" s="9" t="n"/>
      <c r="I1623" s="10">
        <f>IF(G1623="","",G1623*H1623)</f>
        <v/>
      </c>
      <c r="J1623" s="7" t="n"/>
    </row>
    <row r="1624">
      <c r="A1624" s="6" t="n"/>
      <c r="B1624" s="7" t="n"/>
      <c r="C1624" s="7" t="n"/>
      <c r="D1624" s="7" t="n"/>
      <c r="E1624" s="7" t="n"/>
      <c r="F1624" s="7" t="n"/>
      <c r="G1624" s="8" t="n"/>
      <c r="H1624" s="9" t="n"/>
      <c r="I1624" s="10">
        <f>IF(G1624="","",G1624*H1624)</f>
        <v/>
      </c>
      <c r="J1624" s="7" t="n"/>
    </row>
    <row r="1625">
      <c r="A1625" s="6" t="n"/>
      <c r="B1625" s="7" t="n"/>
      <c r="C1625" s="7" t="n"/>
      <c r="D1625" s="7" t="n"/>
      <c r="E1625" s="7" t="n"/>
      <c r="F1625" s="7" t="n"/>
      <c r="G1625" s="8" t="n"/>
      <c r="H1625" s="9" t="n"/>
      <c r="I1625" s="10">
        <f>IF(G1625="","",G1625*H1625)</f>
        <v/>
      </c>
      <c r="J1625" s="7" t="n"/>
    </row>
    <row r="1626">
      <c r="A1626" s="6" t="n"/>
      <c r="B1626" s="7" t="n"/>
      <c r="C1626" s="7" t="n"/>
      <c r="D1626" s="7" t="n"/>
      <c r="E1626" s="7" t="n"/>
      <c r="F1626" s="7" t="n"/>
      <c r="G1626" s="8" t="n"/>
      <c r="H1626" s="9" t="n"/>
      <c r="I1626" s="10">
        <f>IF(G1626="","",G1626*H1626)</f>
        <v/>
      </c>
      <c r="J1626" s="7" t="n"/>
    </row>
    <row r="1627">
      <c r="A1627" s="6" t="n"/>
      <c r="B1627" s="7" t="n"/>
      <c r="C1627" s="7" t="n"/>
      <c r="D1627" s="7" t="n"/>
      <c r="E1627" s="7" t="n"/>
      <c r="F1627" s="7" t="n"/>
      <c r="G1627" s="8" t="n"/>
      <c r="H1627" s="9" t="n"/>
      <c r="I1627" s="10">
        <f>IF(G1627="","",G1627*H1627)</f>
        <v/>
      </c>
      <c r="J1627" s="7" t="n"/>
    </row>
    <row r="1628">
      <c r="A1628" s="6" t="n"/>
      <c r="B1628" s="7" t="n"/>
      <c r="C1628" s="7" t="n"/>
      <c r="D1628" s="7" t="n"/>
      <c r="E1628" s="7" t="n"/>
      <c r="F1628" s="7" t="n"/>
      <c r="G1628" s="8" t="n"/>
      <c r="H1628" s="9" t="n"/>
      <c r="I1628" s="10">
        <f>IF(G1628="","",G1628*H1628)</f>
        <v/>
      </c>
      <c r="J1628" s="7" t="n"/>
    </row>
    <row r="1629">
      <c r="A1629" s="6" t="n"/>
      <c r="B1629" s="7" t="n"/>
      <c r="C1629" s="7" t="n"/>
      <c r="D1629" s="7" t="n"/>
      <c r="E1629" s="7" t="n"/>
      <c r="F1629" s="7" t="n"/>
      <c r="G1629" s="8" t="n"/>
      <c r="H1629" s="9" t="n"/>
      <c r="I1629" s="10">
        <f>IF(G1629="","",G1629*H1629)</f>
        <v/>
      </c>
      <c r="J1629" s="7" t="n"/>
    </row>
    <row r="1630">
      <c r="A1630" s="6" t="n"/>
      <c r="B1630" s="7" t="n"/>
      <c r="C1630" s="7" t="n"/>
      <c r="D1630" s="7" t="n"/>
      <c r="E1630" s="7" t="n"/>
      <c r="F1630" s="7" t="n"/>
      <c r="G1630" s="8" t="n"/>
      <c r="H1630" s="9" t="n"/>
      <c r="I1630" s="10">
        <f>IF(G1630="","",G1630*H1630)</f>
        <v/>
      </c>
      <c r="J1630" s="7" t="n"/>
    </row>
    <row r="1631">
      <c r="A1631" s="6" t="n"/>
      <c r="B1631" s="7" t="n"/>
      <c r="C1631" s="7" t="n"/>
      <c r="D1631" s="7" t="n"/>
      <c r="E1631" s="7" t="n"/>
      <c r="F1631" s="7" t="n"/>
      <c r="G1631" s="8" t="n"/>
      <c r="H1631" s="9" t="n"/>
      <c r="I1631" s="10">
        <f>IF(G1631="","",G1631*H1631)</f>
        <v/>
      </c>
      <c r="J1631" s="7" t="n"/>
    </row>
    <row r="1632">
      <c r="A1632" s="6" t="n"/>
      <c r="B1632" s="7" t="n"/>
      <c r="C1632" s="7" t="n"/>
      <c r="D1632" s="7" t="n"/>
      <c r="E1632" s="7" t="n"/>
      <c r="F1632" s="7" t="n"/>
      <c r="G1632" s="8" t="n"/>
      <c r="H1632" s="9" t="n"/>
      <c r="I1632" s="10">
        <f>IF(G1632="","",G1632*H1632)</f>
        <v/>
      </c>
      <c r="J1632" s="7" t="n"/>
    </row>
    <row r="1633">
      <c r="A1633" s="6" t="n"/>
      <c r="B1633" s="7" t="n"/>
      <c r="C1633" s="7" t="n"/>
      <c r="D1633" s="7" t="n"/>
      <c r="E1633" s="7" t="n"/>
      <c r="F1633" s="7" t="n"/>
      <c r="G1633" s="8" t="n"/>
      <c r="H1633" s="9" t="n"/>
      <c r="I1633" s="10">
        <f>IF(G1633="","",G1633*H1633)</f>
        <v/>
      </c>
      <c r="J1633" s="7" t="n"/>
    </row>
    <row r="1634">
      <c r="A1634" s="6" t="n"/>
      <c r="B1634" s="7" t="n"/>
      <c r="C1634" s="7" t="n"/>
      <c r="D1634" s="7" t="n"/>
      <c r="E1634" s="7" t="n"/>
      <c r="F1634" s="7" t="n"/>
      <c r="G1634" s="8" t="n"/>
      <c r="H1634" s="9" t="n"/>
      <c r="I1634" s="10">
        <f>IF(G1634="","",G1634*H1634)</f>
        <v/>
      </c>
      <c r="J1634" s="7" t="n"/>
    </row>
    <row r="1635">
      <c r="A1635" s="6" t="n"/>
      <c r="B1635" s="7" t="n"/>
      <c r="C1635" s="7" t="n"/>
      <c r="D1635" s="7" t="n"/>
      <c r="E1635" s="7" t="n"/>
      <c r="F1635" s="7" t="n"/>
      <c r="G1635" s="8" t="n"/>
      <c r="H1635" s="9" t="n"/>
      <c r="I1635" s="10">
        <f>IF(G1635="","",G1635*H1635)</f>
        <v/>
      </c>
      <c r="J1635" s="7" t="n"/>
    </row>
    <row r="1636">
      <c r="A1636" s="6" t="n"/>
      <c r="B1636" s="7" t="n"/>
      <c r="C1636" s="7" t="n"/>
      <c r="D1636" s="7" t="n"/>
      <c r="E1636" s="7" t="n"/>
      <c r="F1636" s="7" t="n"/>
      <c r="G1636" s="8" t="n"/>
      <c r="H1636" s="9" t="n"/>
      <c r="I1636" s="10">
        <f>IF(G1636="","",G1636*H1636)</f>
        <v/>
      </c>
      <c r="J1636" s="7" t="n"/>
    </row>
    <row r="1637">
      <c r="A1637" s="6" t="n"/>
      <c r="B1637" s="7" t="n"/>
      <c r="C1637" s="7" t="n"/>
      <c r="D1637" s="7" t="n"/>
      <c r="E1637" s="7" t="n"/>
      <c r="F1637" s="7" t="n"/>
      <c r="G1637" s="8" t="n"/>
      <c r="H1637" s="9" t="n"/>
      <c r="I1637" s="10">
        <f>IF(G1637="","",G1637*H1637)</f>
        <v/>
      </c>
      <c r="J1637" s="7" t="n"/>
    </row>
    <row r="1638">
      <c r="A1638" s="6" t="n"/>
      <c r="B1638" s="7" t="n"/>
      <c r="C1638" s="7" t="n"/>
      <c r="D1638" s="7" t="n"/>
      <c r="E1638" s="7" t="n"/>
      <c r="F1638" s="7" t="n"/>
      <c r="G1638" s="8" t="n"/>
      <c r="H1638" s="9" t="n"/>
      <c r="I1638" s="10">
        <f>IF(G1638="","",G1638*H1638)</f>
        <v/>
      </c>
      <c r="J1638" s="7" t="n"/>
    </row>
    <row r="1639">
      <c r="A1639" s="6" t="n"/>
      <c r="B1639" s="7" t="n"/>
      <c r="C1639" s="7" t="n"/>
      <c r="D1639" s="7" t="n"/>
      <c r="E1639" s="7" t="n"/>
      <c r="F1639" s="7" t="n"/>
      <c r="G1639" s="8" t="n"/>
      <c r="H1639" s="9" t="n"/>
      <c r="I1639" s="10">
        <f>IF(G1639="","",G1639*H1639)</f>
        <v/>
      </c>
      <c r="J1639" s="7" t="n"/>
    </row>
    <row r="1640">
      <c r="A1640" s="6" t="n"/>
      <c r="B1640" s="7" t="n"/>
      <c r="C1640" s="7" t="n"/>
      <c r="D1640" s="7" t="n"/>
      <c r="E1640" s="7" t="n"/>
      <c r="F1640" s="7" t="n"/>
      <c r="G1640" s="8" t="n"/>
      <c r="H1640" s="9" t="n"/>
      <c r="I1640" s="10">
        <f>IF(G1640="","",G1640*H1640)</f>
        <v/>
      </c>
      <c r="J1640" s="7" t="n"/>
    </row>
    <row r="1641">
      <c r="A1641" s="6" t="n"/>
      <c r="B1641" s="7" t="n"/>
      <c r="C1641" s="7" t="n"/>
      <c r="D1641" s="7" t="n"/>
      <c r="E1641" s="7" t="n"/>
      <c r="F1641" s="7" t="n"/>
      <c r="G1641" s="8" t="n"/>
      <c r="H1641" s="9" t="n"/>
      <c r="I1641" s="10">
        <f>IF(G1641="","",G1641*H1641)</f>
        <v/>
      </c>
      <c r="J1641" s="7" t="n"/>
    </row>
    <row r="1642">
      <c r="A1642" s="6" t="n"/>
      <c r="B1642" s="7" t="n"/>
      <c r="C1642" s="7" t="n"/>
      <c r="D1642" s="7" t="n"/>
      <c r="E1642" s="7" t="n"/>
      <c r="F1642" s="7" t="n"/>
      <c r="G1642" s="8" t="n"/>
      <c r="H1642" s="9" t="n"/>
      <c r="I1642" s="10">
        <f>IF(G1642="","",G1642*H1642)</f>
        <v/>
      </c>
      <c r="J1642" s="7" t="n"/>
    </row>
    <row r="1643">
      <c r="A1643" s="6" t="n"/>
      <c r="B1643" s="7" t="n"/>
      <c r="C1643" s="7" t="n"/>
      <c r="D1643" s="7" t="n"/>
      <c r="E1643" s="7" t="n"/>
      <c r="F1643" s="7" t="n"/>
      <c r="G1643" s="8" t="n"/>
      <c r="H1643" s="9" t="n"/>
      <c r="I1643" s="10">
        <f>IF(G1643="","",G1643*H1643)</f>
        <v/>
      </c>
      <c r="J1643" s="7" t="n"/>
    </row>
    <row r="1644">
      <c r="A1644" s="6" t="n"/>
      <c r="B1644" s="7" t="n"/>
      <c r="C1644" s="7" t="n"/>
      <c r="D1644" s="7" t="n"/>
      <c r="E1644" s="7" t="n"/>
      <c r="F1644" s="7" t="n"/>
      <c r="G1644" s="8" t="n"/>
      <c r="H1644" s="9" t="n"/>
      <c r="I1644" s="10">
        <f>IF(G1644="","",G1644*H1644)</f>
        <v/>
      </c>
      <c r="J1644" s="7" t="n"/>
    </row>
    <row r="1645">
      <c r="A1645" s="6" t="n"/>
      <c r="B1645" s="7" t="n"/>
      <c r="C1645" s="7" t="n"/>
      <c r="D1645" s="7" t="n"/>
      <c r="E1645" s="7" t="n"/>
      <c r="F1645" s="7" t="n"/>
      <c r="G1645" s="8" t="n"/>
      <c r="H1645" s="9" t="n"/>
      <c r="I1645" s="10">
        <f>IF(G1645="","",G1645*H1645)</f>
        <v/>
      </c>
      <c r="J1645" s="7" t="n"/>
    </row>
    <row r="1646">
      <c r="A1646" s="6" t="n"/>
      <c r="B1646" s="7" t="n"/>
      <c r="C1646" s="7" t="n"/>
      <c r="D1646" s="7" t="n"/>
      <c r="E1646" s="7" t="n"/>
      <c r="F1646" s="7" t="n"/>
      <c r="G1646" s="8" t="n"/>
      <c r="H1646" s="9" t="n"/>
      <c r="I1646" s="10">
        <f>IF(G1646="","",G1646*H1646)</f>
        <v/>
      </c>
      <c r="J1646" s="7" t="n"/>
    </row>
    <row r="1647">
      <c r="A1647" s="6" t="n"/>
      <c r="B1647" s="7" t="n"/>
      <c r="C1647" s="7" t="n"/>
      <c r="D1647" s="7" t="n"/>
      <c r="E1647" s="7" t="n"/>
      <c r="F1647" s="7" t="n"/>
      <c r="G1647" s="8" t="n"/>
      <c r="H1647" s="9" t="n"/>
      <c r="I1647" s="10">
        <f>IF(G1647="","",G1647*H1647)</f>
        <v/>
      </c>
      <c r="J1647" s="7" t="n"/>
    </row>
    <row r="1648">
      <c r="A1648" s="6" t="n"/>
      <c r="B1648" s="7" t="n"/>
      <c r="C1648" s="7" t="n"/>
      <c r="D1648" s="7" t="n"/>
      <c r="E1648" s="7" t="n"/>
      <c r="F1648" s="7" t="n"/>
      <c r="G1648" s="8" t="n"/>
      <c r="H1648" s="9" t="n"/>
      <c r="I1648" s="10">
        <f>IF(G1648="","",G1648*H1648)</f>
        <v/>
      </c>
      <c r="J1648" s="7" t="n"/>
    </row>
    <row r="1649">
      <c r="A1649" s="6" t="n"/>
      <c r="B1649" s="7" t="n"/>
      <c r="C1649" s="7" t="n"/>
      <c r="D1649" s="7" t="n"/>
      <c r="E1649" s="7" t="n"/>
      <c r="F1649" s="7" t="n"/>
      <c r="G1649" s="8" t="n"/>
      <c r="H1649" s="9" t="n"/>
      <c r="I1649" s="10">
        <f>IF(G1649="","",G1649*H1649)</f>
        <v/>
      </c>
      <c r="J1649" s="7" t="n"/>
    </row>
    <row r="1650">
      <c r="A1650" s="6" t="n"/>
      <c r="B1650" s="7" t="n"/>
      <c r="C1650" s="7" t="n"/>
      <c r="D1650" s="7" t="n"/>
      <c r="E1650" s="7" t="n"/>
      <c r="F1650" s="7" t="n"/>
      <c r="G1650" s="8" t="n"/>
      <c r="H1650" s="9" t="n"/>
      <c r="I1650" s="10">
        <f>IF(G1650="","",G1650*H1650)</f>
        <v/>
      </c>
      <c r="J1650" s="7" t="n"/>
    </row>
    <row r="1651">
      <c r="A1651" s="6" t="n"/>
      <c r="B1651" s="7" t="n"/>
      <c r="C1651" s="7" t="n"/>
      <c r="D1651" s="7" t="n"/>
      <c r="E1651" s="7" t="n"/>
      <c r="F1651" s="7" t="n"/>
      <c r="G1651" s="8" t="n"/>
      <c r="H1651" s="9" t="n"/>
      <c r="I1651" s="10">
        <f>IF(G1651="","",G1651*H1651)</f>
        <v/>
      </c>
      <c r="J1651" s="7" t="n"/>
    </row>
    <row r="1652">
      <c r="A1652" s="6" t="n"/>
      <c r="B1652" s="7" t="n"/>
      <c r="C1652" s="7" t="n"/>
      <c r="D1652" s="7" t="n"/>
      <c r="E1652" s="7" t="n"/>
      <c r="F1652" s="7" t="n"/>
      <c r="G1652" s="8" t="n"/>
      <c r="H1652" s="9" t="n"/>
      <c r="I1652" s="10">
        <f>IF(G1652="","",G1652*H1652)</f>
        <v/>
      </c>
      <c r="J1652" s="7" t="n"/>
    </row>
    <row r="1653">
      <c r="A1653" s="6" t="n"/>
      <c r="B1653" s="7" t="n"/>
      <c r="C1653" s="7" t="n"/>
      <c r="D1653" s="7" t="n"/>
      <c r="E1653" s="7" t="n"/>
      <c r="F1653" s="7" t="n"/>
      <c r="G1653" s="8" t="n"/>
      <c r="H1653" s="9" t="n"/>
      <c r="I1653" s="10">
        <f>IF(G1653="","",G1653*H1653)</f>
        <v/>
      </c>
      <c r="J1653" s="7" t="n"/>
    </row>
    <row r="1654">
      <c r="A1654" s="6" t="n"/>
      <c r="B1654" s="7" t="n"/>
      <c r="C1654" s="7" t="n"/>
      <c r="D1654" s="7" t="n"/>
      <c r="E1654" s="7" t="n"/>
      <c r="F1654" s="7" t="n"/>
      <c r="G1654" s="8" t="n"/>
      <c r="H1654" s="9" t="n"/>
      <c r="I1654" s="10">
        <f>IF(G1654="","",G1654*H1654)</f>
        <v/>
      </c>
      <c r="J1654" s="7" t="n"/>
    </row>
    <row r="1655">
      <c r="A1655" s="6" t="n"/>
      <c r="B1655" s="7" t="n"/>
      <c r="C1655" s="7" t="n"/>
      <c r="D1655" s="7" t="n"/>
      <c r="E1655" s="7" t="n"/>
      <c r="F1655" s="7" t="n"/>
      <c r="G1655" s="8" t="n"/>
      <c r="H1655" s="9" t="n"/>
      <c r="I1655" s="10">
        <f>IF(G1655="","",G1655*H1655)</f>
        <v/>
      </c>
      <c r="J1655" s="7" t="n"/>
    </row>
    <row r="1656">
      <c r="A1656" s="6" t="n"/>
      <c r="B1656" s="7" t="n"/>
      <c r="C1656" s="7" t="n"/>
      <c r="D1656" s="7" t="n"/>
      <c r="E1656" s="7" t="n"/>
      <c r="F1656" s="7" t="n"/>
      <c r="G1656" s="8" t="n"/>
      <c r="H1656" s="9" t="n"/>
      <c r="I1656" s="10">
        <f>IF(G1656="","",G1656*H1656)</f>
        <v/>
      </c>
      <c r="J1656" s="7" t="n"/>
    </row>
    <row r="1657">
      <c r="A1657" s="6" t="n"/>
      <c r="B1657" s="7" t="n"/>
      <c r="C1657" s="7" t="n"/>
      <c r="D1657" s="7" t="n"/>
      <c r="E1657" s="7" t="n"/>
      <c r="F1657" s="7" t="n"/>
      <c r="G1657" s="8" t="n"/>
      <c r="H1657" s="9" t="n"/>
      <c r="I1657" s="10">
        <f>IF(G1657="","",G1657*H1657)</f>
        <v/>
      </c>
      <c r="J1657" s="7" t="n"/>
    </row>
    <row r="1658">
      <c r="A1658" s="6" t="n"/>
      <c r="B1658" s="7" t="n"/>
      <c r="C1658" s="7" t="n"/>
      <c r="D1658" s="7" t="n"/>
      <c r="E1658" s="7" t="n"/>
      <c r="F1658" s="7" t="n"/>
      <c r="G1658" s="8" t="n"/>
      <c r="H1658" s="9" t="n"/>
      <c r="I1658" s="10">
        <f>IF(G1658="","",G1658*H1658)</f>
        <v/>
      </c>
      <c r="J1658" s="7" t="n"/>
    </row>
    <row r="1659">
      <c r="A1659" s="6" t="n"/>
      <c r="B1659" s="7" t="n"/>
      <c r="C1659" s="7" t="n"/>
      <c r="D1659" s="7" t="n"/>
      <c r="E1659" s="7" t="n"/>
      <c r="F1659" s="7" t="n"/>
      <c r="G1659" s="8" t="n"/>
      <c r="H1659" s="9" t="n"/>
      <c r="I1659" s="10">
        <f>IF(G1659="","",G1659*H1659)</f>
        <v/>
      </c>
      <c r="J1659" s="7" t="n"/>
    </row>
    <row r="1660">
      <c r="A1660" s="6" t="n"/>
      <c r="B1660" s="7" t="n"/>
      <c r="C1660" s="7" t="n"/>
      <c r="D1660" s="7" t="n"/>
      <c r="E1660" s="7" t="n"/>
      <c r="F1660" s="7" t="n"/>
      <c r="G1660" s="8" t="n"/>
      <c r="H1660" s="9" t="n"/>
      <c r="I1660" s="10">
        <f>IF(G1660="","",G1660*H1660)</f>
        <v/>
      </c>
      <c r="J1660" s="7" t="n"/>
    </row>
    <row r="1661">
      <c r="A1661" s="6" t="n"/>
      <c r="B1661" s="7" t="n"/>
      <c r="C1661" s="7" t="n"/>
      <c r="D1661" s="7" t="n"/>
      <c r="E1661" s="7" t="n"/>
      <c r="F1661" s="7" t="n"/>
      <c r="G1661" s="8" t="n"/>
      <c r="H1661" s="9" t="n"/>
      <c r="I1661" s="10">
        <f>IF(G1661="","",G1661*H1661)</f>
        <v/>
      </c>
      <c r="J1661" s="7" t="n"/>
    </row>
    <row r="1662">
      <c r="A1662" s="6" t="n"/>
      <c r="B1662" s="7" t="n"/>
      <c r="C1662" s="7" t="n"/>
      <c r="D1662" s="7" t="n"/>
      <c r="E1662" s="7" t="n"/>
      <c r="F1662" s="7" t="n"/>
      <c r="G1662" s="8" t="n"/>
      <c r="H1662" s="9" t="n"/>
      <c r="I1662" s="10">
        <f>IF(G1662="","",G1662*H1662)</f>
        <v/>
      </c>
      <c r="J1662" s="7" t="n"/>
    </row>
    <row r="1663">
      <c r="A1663" s="6" t="n"/>
      <c r="B1663" s="7" t="n"/>
      <c r="C1663" s="7" t="n"/>
      <c r="D1663" s="7" t="n"/>
      <c r="E1663" s="7" t="n"/>
      <c r="F1663" s="7" t="n"/>
      <c r="G1663" s="8" t="n"/>
      <c r="H1663" s="9" t="n"/>
      <c r="I1663" s="10">
        <f>IF(G1663="","",G1663*H1663)</f>
        <v/>
      </c>
      <c r="J1663" s="7" t="n"/>
    </row>
    <row r="1664">
      <c r="A1664" s="6" t="n"/>
      <c r="B1664" s="7" t="n"/>
      <c r="C1664" s="7" t="n"/>
      <c r="D1664" s="7" t="n"/>
      <c r="E1664" s="7" t="n"/>
      <c r="F1664" s="7" t="n"/>
      <c r="G1664" s="8" t="n"/>
      <c r="H1664" s="9" t="n"/>
      <c r="I1664" s="10">
        <f>IF(G1664="","",G1664*H1664)</f>
        <v/>
      </c>
      <c r="J1664" s="7" t="n"/>
    </row>
    <row r="1665">
      <c r="A1665" s="6" t="n"/>
      <c r="B1665" s="7" t="n"/>
      <c r="C1665" s="7" t="n"/>
      <c r="D1665" s="7" t="n"/>
      <c r="E1665" s="7" t="n"/>
      <c r="F1665" s="7" t="n"/>
      <c r="G1665" s="8" t="n"/>
      <c r="H1665" s="9" t="n"/>
      <c r="I1665" s="10">
        <f>IF(G1665="","",G1665*H1665)</f>
        <v/>
      </c>
      <c r="J1665" s="7" t="n"/>
    </row>
    <row r="1666">
      <c r="A1666" s="6" t="n"/>
      <c r="B1666" s="7" t="n"/>
      <c r="C1666" s="7" t="n"/>
      <c r="D1666" s="7" t="n"/>
      <c r="E1666" s="7" t="n"/>
      <c r="F1666" s="7" t="n"/>
      <c r="G1666" s="8" t="n"/>
      <c r="H1666" s="9" t="n"/>
      <c r="I1666" s="10">
        <f>IF(G1666="","",G1666*H1666)</f>
        <v/>
      </c>
      <c r="J1666" s="7" t="n"/>
    </row>
    <row r="1667">
      <c r="A1667" s="6" t="n"/>
      <c r="B1667" s="7" t="n"/>
      <c r="C1667" s="7" t="n"/>
      <c r="D1667" s="7" t="n"/>
      <c r="E1667" s="7" t="n"/>
      <c r="F1667" s="7" t="n"/>
      <c r="G1667" s="8" t="n"/>
      <c r="H1667" s="9" t="n"/>
      <c r="I1667" s="10">
        <f>IF(G1667="","",G1667*H1667)</f>
        <v/>
      </c>
      <c r="J1667" s="7" t="n"/>
    </row>
    <row r="1668">
      <c r="A1668" s="6" t="n"/>
      <c r="B1668" s="7" t="n"/>
      <c r="C1668" s="7" t="n"/>
      <c r="D1668" s="7" t="n"/>
      <c r="E1668" s="7" t="n"/>
      <c r="F1668" s="7" t="n"/>
      <c r="G1668" s="8" t="n"/>
      <c r="H1668" s="9" t="n"/>
      <c r="I1668" s="10">
        <f>IF(G1668="","",G1668*H1668)</f>
        <v/>
      </c>
      <c r="J1668" s="7" t="n"/>
    </row>
    <row r="1669">
      <c r="A1669" s="6" t="n"/>
      <c r="B1669" s="7" t="n"/>
      <c r="C1669" s="7" t="n"/>
      <c r="D1669" s="7" t="n"/>
      <c r="E1669" s="7" t="n"/>
      <c r="F1669" s="7" t="n"/>
      <c r="G1669" s="8" t="n"/>
      <c r="H1669" s="9" t="n"/>
      <c r="I1669" s="10">
        <f>IF(G1669="","",G1669*H1669)</f>
        <v/>
      </c>
      <c r="J1669" s="7" t="n"/>
    </row>
    <row r="1670">
      <c r="A1670" s="6" t="n"/>
      <c r="B1670" s="7" t="n"/>
      <c r="C1670" s="7" t="n"/>
      <c r="D1670" s="7" t="n"/>
      <c r="E1670" s="7" t="n"/>
      <c r="F1670" s="7" t="n"/>
      <c r="G1670" s="8" t="n"/>
      <c r="H1670" s="9" t="n"/>
      <c r="I1670" s="10">
        <f>IF(G1670="","",G1670*H1670)</f>
        <v/>
      </c>
      <c r="J1670" s="7" t="n"/>
    </row>
    <row r="1671">
      <c r="A1671" s="6" t="n"/>
      <c r="B1671" s="7" t="n"/>
      <c r="C1671" s="7" t="n"/>
      <c r="D1671" s="7" t="n"/>
      <c r="E1671" s="7" t="n"/>
      <c r="F1671" s="7" t="n"/>
      <c r="G1671" s="8" t="n"/>
      <c r="H1671" s="9" t="n"/>
      <c r="I1671" s="10">
        <f>IF(G1671="","",G1671*H1671)</f>
        <v/>
      </c>
      <c r="J1671" s="7" t="n"/>
    </row>
    <row r="1672">
      <c r="A1672" s="6" t="n"/>
      <c r="B1672" s="7" t="n"/>
      <c r="C1672" s="7" t="n"/>
      <c r="D1672" s="7" t="n"/>
      <c r="E1672" s="7" t="n"/>
      <c r="F1672" s="7" t="n"/>
      <c r="G1672" s="8" t="n"/>
      <c r="H1672" s="9" t="n"/>
      <c r="I1672" s="10">
        <f>IF(G1672="","",G1672*H1672)</f>
        <v/>
      </c>
      <c r="J1672" s="7" t="n"/>
    </row>
    <row r="1673">
      <c r="A1673" s="6" t="n"/>
      <c r="B1673" s="7" t="n"/>
      <c r="C1673" s="7" t="n"/>
      <c r="D1673" s="7" t="n"/>
      <c r="E1673" s="7" t="n"/>
      <c r="F1673" s="7" t="n"/>
      <c r="G1673" s="8" t="n"/>
      <c r="H1673" s="9" t="n"/>
      <c r="I1673" s="10">
        <f>IF(G1673="","",G1673*H1673)</f>
        <v/>
      </c>
      <c r="J1673" s="7" t="n"/>
    </row>
    <row r="1674">
      <c r="A1674" s="6" t="n"/>
      <c r="B1674" s="7" t="n"/>
      <c r="C1674" s="7" t="n"/>
      <c r="D1674" s="7" t="n"/>
      <c r="E1674" s="7" t="n"/>
      <c r="F1674" s="7" t="n"/>
      <c r="G1674" s="8" t="n"/>
      <c r="H1674" s="9" t="n"/>
      <c r="I1674" s="10">
        <f>IF(G1674="","",G1674*H1674)</f>
        <v/>
      </c>
      <c r="J1674" s="7" t="n"/>
    </row>
    <row r="1675">
      <c r="A1675" s="6" t="n"/>
      <c r="B1675" s="7" t="n"/>
      <c r="C1675" s="7" t="n"/>
      <c r="D1675" s="7" t="n"/>
      <c r="E1675" s="7" t="n"/>
      <c r="F1675" s="7" t="n"/>
      <c r="G1675" s="8" t="n"/>
      <c r="H1675" s="9" t="n"/>
      <c r="I1675" s="10">
        <f>IF(G1675="","",G1675*H1675)</f>
        <v/>
      </c>
      <c r="J1675" s="7" t="n"/>
    </row>
    <row r="1676">
      <c r="A1676" s="6" t="n"/>
      <c r="B1676" s="7" t="n"/>
      <c r="C1676" s="7" t="n"/>
      <c r="D1676" s="7" t="n"/>
      <c r="E1676" s="7" t="n"/>
      <c r="F1676" s="7" t="n"/>
      <c r="G1676" s="8" t="n"/>
      <c r="H1676" s="9" t="n"/>
      <c r="I1676" s="10">
        <f>IF(G1676="","",G1676*H1676)</f>
        <v/>
      </c>
      <c r="J1676" s="7" t="n"/>
    </row>
    <row r="1677">
      <c r="A1677" s="6" t="n"/>
      <c r="B1677" s="7" t="n"/>
      <c r="C1677" s="7" t="n"/>
      <c r="D1677" s="7" t="n"/>
      <c r="E1677" s="7" t="n"/>
      <c r="F1677" s="7" t="n"/>
      <c r="G1677" s="8" t="n"/>
      <c r="H1677" s="9" t="n"/>
      <c r="I1677" s="10">
        <f>IF(G1677="","",G1677*H1677)</f>
        <v/>
      </c>
      <c r="J1677" s="7" t="n"/>
    </row>
    <row r="1678">
      <c r="A1678" s="6" t="n"/>
      <c r="B1678" s="7" t="n"/>
      <c r="C1678" s="7" t="n"/>
      <c r="D1678" s="7" t="n"/>
      <c r="E1678" s="7" t="n"/>
      <c r="F1678" s="7" t="n"/>
      <c r="G1678" s="8" t="n"/>
      <c r="H1678" s="9" t="n"/>
      <c r="I1678" s="10">
        <f>IF(G1678="","",G1678*H1678)</f>
        <v/>
      </c>
      <c r="J1678" s="7" t="n"/>
    </row>
    <row r="1679">
      <c r="A1679" s="6" t="n"/>
      <c r="B1679" s="7" t="n"/>
      <c r="C1679" s="7" t="n"/>
      <c r="D1679" s="7" t="n"/>
      <c r="E1679" s="7" t="n"/>
      <c r="F1679" s="7" t="n"/>
      <c r="G1679" s="8" t="n"/>
      <c r="H1679" s="9" t="n"/>
      <c r="I1679" s="10">
        <f>IF(G1679="","",G1679*H1679)</f>
        <v/>
      </c>
      <c r="J1679" s="7" t="n"/>
    </row>
    <row r="1680">
      <c r="A1680" s="6" t="n"/>
      <c r="B1680" s="7" t="n"/>
      <c r="C1680" s="7" t="n"/>
      <c r="D1680" s="7" t="n"/>
      <c r="E1680" s="7" t="n"/>
      <c r="F1680" s="7" t="n"/>
      <c r="G1680" s="8" t="n"/>
      <c r="H1680" s="9" t="n"/>
      <c r="I1680" s="10">
        <f>IF(G1680="","",G1680*H1680)</f>
        <v/>
      </c>
      <c r="J1680" s="7" t="n"/>
    </row>
    <row r="1681">
      <c r="A1681" s="6" t="n"/>
      <c r="B1681" s="7" t="n"/>
      <c r="C1681" s="7" t="n"/>
      <c r="D1681" s="7" t="n"/>
      <c r="E1681" s="7" t="n"/>
      <c r="F1681" s="7" t="n"/>
      <c r="G1681" s="8" t="n"/>
      <c r="H1681" s="9" t="n"/>
      <c r="I1681" s="10">
        <f>IF(G1681="","",G1681*H1681)</f>
        <v/>
      </c>
      <c r="J1681" s="7" t="n"/>
    </row>
    <row r="1682">
      <c r="A1682" s="6" t="n"/>
      <c r="B1682" s="7" t="n"/>
      <c r="C1682" s="7" t="n"/>
      <c r="D1682" s="7" t="n"/>
      <c r="E1682" s="7" t="n"/>
      <c r="F1682" s="7" t="n"/>
      <c r="G1682" s="8" t="n"/>
      <c r="H1682" s="9" t="n"/>
      <c r="I1682" s="10">
        <f>IF(G1682="","",G1682*H1682)</f>
        <v/>
      </c>
      <c r="J1682" s="7" t="n"/>
    </row>
    <row r="1683">
      <c r="A1683" s="6" t="n"/>
      <c r="B1683" s="7" t="n"/>
      <c r="C1683" s="7" t="n"/>
      <c r="D1683" s="7" t="n"/>
      <c r="E1683" s="7" t="n"/>
      <c r="F1683" s="7" t="n"/>
      <c r="G1683" s="8" t="n"/>
      <c r="H1683" s="9" t="n"/>
      <c r="I1683" s="10">
        <f>IF(G1683="","",G1683*H1683)</f>
        <v/>
      </c>
      <c r="J1683" s="7" t="n"/>
    </row>
    <row r="1684">
      <c r="A1684" s="6" t="n"/>
      <c r="B1684" s="7" t="n"/>
      <c r="C1684" s="7" t="n"/>
      <c r="D1684" s="7" t="n"/>
      <c r="E1684" s="7" t="n"/>
      <c r="F1684" s="7" t="n"/>
      <c r="G1684" s="8" t="n"/>
      <c r="H1684" s="9" t="n"/>
      <c r="I1684" s="10">
        <f>IF(G1684="","",G1684*H1684)</f>
        <v/>
      </c>
      <c r="J1684" s="7" t="n"/>
    </row>
    <row r="1685">
      <c r="A1685" s="6" t="n"/>
      <c r="B1685" s="7" t="n"/>
      <c r="C1685" s="7" t="n"/>
      <c r="D1685" s="7" t="n"/>
      <c r="E1685" s="7" t="n"/>
      <c r="F1685" s="7" t="n"/>
      <c r="G1685" s="8" t="n"/>
      <c r="H1685" s="9" t="n"/>
      <c r="I1685" s="10">
        <f>IF(G1685="","",G1685*H1685)</f>
        <v/>
      </c>
      <c r="J1685" s="7" t="n"/>
    </row>
    <row r="1686">
      <c r="A1686" s="6" t="n"/>
      <c r="B1686" s="7" t="n"/>
      <c r="C1686" s="7" t="n"/>
      <c r="D1686" s="7" t="n"/>
      <c r="E1686" s="7" t="n"/>
      <c r="F1686" s="7" t="n"/>
      <c r="G1686" s="8" t="n"/>
      <c r="H1686" s="9" t="n"/>
      <c r="I1686" s="10">
        <f>IF(G1686="","",G1686*H1686)</f>
        <v/>
      </c>
      <c r="J1686" s="7" t="n"/>
    </row>
    <row r="1687">
      <c r="A1687" s="6" t="n"/>
      <c r="B1687" s="7" t="n"/>
      <c r="C1687" s="7" t="n"/>
      <c r="D1687" s="7" t="n"/>
      <c r="E1687" s="7" t="n"/>
      <c r="F1687" s="7" t="n"/>
      <c r="G1687" s="8" t="n"/>
      <c r="H1687" s="9" t="n"/>
      <c r="I1687" s="10">
        <f>IF(G1687="","",G1687*H1687)</f>
        <v/>
      </c>
      <c r="J1687" s="7" t="n"/>
    </row>
    <row r="1688">
      <c r="A1688" s="6" t="n"/>
      <c r="B1688" s="7" t="n"/>
      <c r="C1688" s="7" t="n"/>
      <c r="D1688" s="7" t="n"/>
      <c r="E1688" s="7" t="n"/>
      <c r="F1688" s="7" t="n"/>
      <c r="G1688" s="8" t="n"/>
      <c r="H1688" s="9" t="n"/>
      <c r="I1688" s="10">
        <f>IF(G1688="","",G1688*H1688)</f>
        <v/>
      </c>
      <c r="J1688" s="7" t="n"/>
    </row>
    <row r="1689">
      <c r="A1689" s="6" t="n"/>
      <c r="B1689" s="7" t="n"/>
      <c r="C1689" s="7" t="n"/>
      <c r="D1689" s="7" t="n"/>
      <c r="E1689" s="7" t="n"/>
      <c r="F1689" s="7" t="n"/>
      <c r="G1689" s="8" t="n"/>
      <c r="H1689" s="9" t="n"/>
      <c r="I1689" s="10">
        <f>IF(G1689="","",G1689*H1689)</f>
        <v/>
      </c>
      <c r="J1689" s="7" t="n"/>
    </row>
    <row r="1690">
      <c r="A1690" s="6" t="n"/>
      <c r="B1690" s="7" t="n"/>
      <c r="C1690" s="7" t="n"/>
      <c r="D1690" s="7" t="n"/>
      <c r="E1690" s="7" t="n"/>
      <c r="F1690" s="7" t="n"/>
      <c r="G1690" s="8" t="n"/>
      <c r="H1690" s="9" t="n"/>
      <c r="I1690" s="10">
        <f>IF(G1690="","",G1690*H1690)</f>
        <v/>
      </c>
      <c r="J1690" s="7" t="n"/>
    </row>
    <row r="1691">
      <c r="A1691" s="6" t="n"/>
      <c r="B1691" s="7" t="n"/>
      <c r="C1691" s="7" t="n"/>
      <c r="D1691" s="7" t="n"/>
      <c r="E1691" s="7" t="n"/>
      <c r="F1691" s="7" t="n"/>
      <c r="G1691" s="8" t="n"/>
      <c r="H1691" s="9" t="n"/>
      <c r="I1691" s="10">
        <f>IF(G1691="","",G1691*H1691)</f>
        <v/>
      </c>
      <c r="J1691" s="7" t="n"/>
    </row>
    <row r="1692">
      <c r="A1692" s="6" t="n"/>
      <c r="B1692" s="7" t="n"/>
      <c r="C1692" s="7" t="n"/>
      <c r="D1692" s="7" t="n"/>
      <c r="E1692" s="7" t="n"/>
      <c r="F1692" s="7" t="n"/>
      <c r="G1692" s="8" t="n"/>
      <c r="H1692" s="9" t="n"/>
      <c r="I1692" s="10">
        <f>IF(G1692="","",G1692*H1692)</f>
        <v/>
      </c>
      <c r="J1692" s="7" t="n"/>
    </row>
    <row r="1693">
      <c r="A1693" s="6" t="n"/>
      <c r="B1693" s="7" t="n"/>
      <c r="C1693" s="7" t="n"/>
      <c r="D1693" s="7" t="n"/>
      <c r="E1693" s="7" t="n"/>
      <c r="F1693" s="7" t="n"/>
      <c r="G1693" s="8" t="n"/>
      <c r="H1693" s="9" t="n"/>
      <c r="I1693" s="10">
        <f>IF(G1693="","",G1693*H1693)</f>
        <v/>
      </c>
      <c r="J1693" s="7" t="n"/>
    </row>
    <row r="1694">
      <c r="A1694" s="6" t="n"/>
      <c r="B1694" s="7" t="n"/>
      <c r="C1694" s="7" t="n"/>
      <c r="D1694" s="7" t="n"/>
      <c r="E1694" s="7" t="n"/>
      <c r="F1694" s="7" t="n"/>
      <c r="G1694" s="8" t="n"/>
      <c r="H1694" s="9" t="n"/>
      <c r="I1694" s="10">
        <f>IF(G1694="","",G1694*H1694)</f>
        <v/>
      </c>
      <c r="J1694" s="7" t="n"/>
    </row>
    <row r="1695">
      <c r="A1695" s="6" t="n"/>
      <c r="B1695" s="7" t="n"/>
      <c r="C1695" s="7" t="n"/>
      <c r="D1695" s="7" t="n"/>
      <c r="E1695" s="7" t="n"/>
      <c r="F1695" s="7" t="n"/>
      <c r="G1695" s="8" t="n"/>
      <c r="H1695" s="9" t="n"/>
      <c r="I1695" s="10">
        <f>IF(G1695="","",G1695*H1695)</f>
        <v/>
      </c>
      <c r="J1695" s="7" t="n"/>
    </row>
    <row r="1696">
      <c r="A1696" s="6" t="n"/>
      <c r="B1696" s="7" t="n"/>
      <c r="C1696" s="7" t="n"/>
      <c r="D1696" s="7" t="n"/>
      <c r="E1696" s="7" t="n"/>
      <c r="F1696" s="7" t="n"/>
      <c r="G1696" s="8" t="n"/>
      <c r="H1696" s="9" t="n"/>
      <c r="I1696" s="10">
        <f>IF(G1696="","",G1696*H1696)</f>
        <v/>
      </c>
      <c r="J1696" s="7" t="n"/>
    </row>
    <row r="1697">
      <c r="A1697" s="6" t="n"/>
      <c r="B1697" s="7" t="n"/>
      <c r="C1697" s="7" t="n"/>
      <c r="D1697" s="7" t="n"/>
      <c r="E1697" s="7" t="n"/>
      <c r="F1697" s="7" t="n"/>
      <c r="G1697" s="8" t="n"/>
      <c r="H1697" s="9" t="n"/>
      <c r="I1697" s="10">
        <f>IF(G1697="","",G1697*H1697)</f>
        <v/>
      </c>
      <c r="J1697" s="7" t="n"/>
    </row>
    <row r="1698">
      <c r="A1698" s="6" t="n"/>
      <c r="B1698" s="7" t="n"/>
      <c r="C1698" s="7" t="n"/>
      <c r="D1698" s="7" t="n"/>
      <c r="E1698" s="7" t="n"/>
      <c r="F1698" s="7" t="n"/>
      <c r="G1698" s="8" t="n"/>
      <c r="H1698" s="9" t="n"/>
      <c r="I1698" s="10">
        <f>IF(G1698="","",G1698*H1698)</f>
        <v/>
      </c>
      <c r="J1698" s="7" t="n"/>
    </row>
    <row r="1699">
      <c r="A1699" s="6" t="n"/>
      <c r="B1699" s="7" t="n"/>
      <c r="C1699" s="7" t="n"/>
      <c r="D1699" s="7" t="n"/>
      <c r="E1699" s="7" t="n"/>
      <c r="F1699" s="7" t="n"/>
      <c r="G1699" s="8" t="n"/>
      <c r="H1699" s="9" t="n"/>
      <c r="I1699" s="10">
        <f>IF(G1699="","",G1699*H1699)</f>
        <v/>
      </c>
      <c r="J1699" s="7" t="n"/>
    </row>
    <row r="1700">
      <c r="A1700" s="6" t="n"/>
      <c r="B1700" s="7" t="n"/>
      <c r="C1700" s="7" t="n"/>
      <c r="D1700" s="7" t="n"/>
      <c r="E1700" s="7" t="n"/>
      <c r="F1700" s="7" t="n"/>
      <c r="G1700" s="8" t="n"/>
      <c r="H1700" s="9" t="n"/>
      <c r="I1700" s="10">
        <f>IF(G1700="","",G1700*H1700)</f>
        <v/>
      </c>
      <c r="J1700" s="7" t="n"/>
    </row>
    <row r="1701">
      <c r="A1701" s="6" t="n"/>
      <c r="B1701" s="7" t="n"/>
      <c r="C1701" s="7" t="n"/>
      <c r="D1701" s="7" t="n"/>
      <c r="E1701" s="7" t="n"/>
      <c r="F1701" s="7" t="n"/>
      <c r="G1701" s="8" t="n"/>
      <c r="H1701" s="9" t="n"/>
      <c r="I1701" s="10">
        <f>IF(G1701="","",G1701*H1701)</f>
        <v/>
      </c>
      <c r="J1701" s="7" t="n"/>
    </row>
    <row r="1702">
      <c r="A1702" s="6" t="n"/>
      <c r="B1702" s="7" t="n"/>
      <c r="C1702" s="7" t="n"/>
      <c r="D1702" s="7" t="n"/>
      <c r="E1702" s="7" t="n"/>
      <c r="F1702" s="7" t="n"/>
      <c r="G1702" s="8" t="n"/>
      <c r="H1702" s="9" t="n"/>
      <c r="I1702" s="10">
        <f>IF(G1702="","",G1702*H1702)</f>
        <v/>
      </c>
      <c r="J1702" s="7" t="n"/>
    </row>
    <row r="1703">
      <c r="A1703" s="6" t="n"/>
      <c r="B1703" s="7" t="n"/>
      <c r="C1703" s="7" t="n"/>
      <c r="D1703" s="7" t="n"/>
      <c r="E1703" s="7" t="n"/>
      <c r="F1703" s="7" t="n"/>
      <c r="G1703" s="8" t="n"/>
      <c r="H1703" s="9" t="n"/>
      <c r="I1703" s="10">
        <f>IF(G1703="","",G1703*H1703)</f>
        <v/>
      </c>
      <c r="J1703" s="7" t="n"/>
    </row>
    <row r="1704">
      <c r="A1704" s="6" t="n"/>
      <c r="B1704" s="7" t="n"/>
      <c r="C1704" s="7" t="n"/>
      <c r="D1704" s="7" t="n"/>
      <c r="E1704" s="7" t="n"/>
      <c r="F1704" s="7" t="n"/>
      <c r="G1704" s="8" t="n"/>
      <c r="H1704" s="9" t="n"/>
      <c r="I1704" s="10">
        <f>IF(G1704="","",G1704*H1704)</f>
        <v/>
      </c>
      <c r="J1704" s="7" t="n"/>
    </row>
    <row r="1705">
      <c r="A1705" s="6" t="n"/>
      <c r="B1705" s="7" t="n"/>
      <c r="C1705" s="7" t="n"/>
      <c r="D1705" s="7" t="n"/>
      <c r="E1705" s="7" t="n"/>
      <c r="F1705" s="7" t="n"/>
      <c r="G1705" s="8" t="n"/>
      <c r="H1705" s="9" t="n"/>
      <c r="I1705" s="10">
        <f>IF(G1705="","",G1705*H1705)</f>
        <v/>
      </c>
      <c r="J1705" s="7" t="n"/>
    </row>
    <row r="1706">
      <c r="A1706" s="6" t="n"/>
      <c r="B1706" s="7" t="n"/>
      <c r="C1706" s="7" t="n"/>
      <c r="D1706" s="7" t="n"/>
      <c r="E1706" s="7" t="n"/>
      <c r="F1706" s="7" t="n"/>
      <c r="G1706" s="8" t="n"/>
      <c r="H1706" s="9" t="n"/>
      <c r="I1706" s="10">
        <f>IF(G1706="","",G1706*H1706)</f>
        <v/>
      </c>
      <c r="J1706" s="7" t="n"/>
    </row>
    <row r="1707">
      <c r="A1707" s="6" t="n"/>
      <c r="B1707" s="7" t="n"/>
      <c r="C1707" s="7" t="n"/>
      <c r="D1707" s="7" t="n"/>
      <c r="E1707" s="7" t="n"/>
      <c r="F1707" s="7" t="n"/>
      <c r="G1707" s="8" t="n"/>
      <c r="H1707" s="9" t="n"/>
      <c r="I1707" s="10">
        <f>IF(G1707="","",G1707*H1707)</f>
        <v/>
      </c>
      <c r="J1707" s="7" t="n"/>
    </row>
    <row r="1708">
      <c r="A1708" s="6" t="n"/>
      <c r="B1708" s="7" t="n"/>
      <c r="C1708" s="7" t="n"/>
      <c r="D1708" s="7" t="n"/>
      <c r="E1708" s="7" t="n"/>
      <c r="F1708" s="7" t="n"/>
      <c r="G1708" s="8" t="n"/>
      <c r="H1708" s="9" t="n"/>
      <c r="I1708" s="10">
        <f>IF(G1708="","",G1708*H1708)</f>
        <v/>
      </c>
      <c r="J1708" s="7" t="n"/>
    </row>
    <row r="1709">
      <c r="A1709" s="6" t="n"/>
      <c r="B1709" s="7" t="n"/>
      <c r="C1709" s="7" t="n"/>
      <c r="D1709" s="7" t="n"/>
      <c r="E1709" s="7" t="n"/>
      <c r="F1709" s="7" t="n"/>
      <c r="G1709" s="8" t="n"/>
      <c r="H1709" s="9" t="n"/>
      <c r="I1709" s="10">
        <f>IF(G1709="","",G1709*H1709)</f>
        <v/>
      </c>
      <c r="J1709" s="7" t="n"/>
    </row>
    <row r="1710">
      <c r="A1710" s="6" t="n"/>
      <c r="B1710" s="7" t="n"/>
      <c r="C1710" s="7" t="n"/>
      <c r="D1710" s="7" t="n"/>
      <c r="E1710" s="7" t="n"/>
      <c r="F1710" s="7" t="n"/>
      <c r="G1710" s="8" t="n"/>
      <c r="H1710" s="9" t="n"/>
      <c r="I1710" s="10">
        <f>IF(G1710="","",G1710*H1710)</f>
        <v/>
      </c>
      <c r="J1710" s="7" t="n"/>
    </row>
    <row r="1711">
      <c r="A1711" s="6" t="n"/>
      <c r="B1711" s="7" t="n"/>
      <c r="C1711" s="7" t="n"/>
      <c r="D1711" s="7" t="n"/>
      <c r="E1711" s="7" t="n"/>
      <c r="F1711" s="7" t="n"/>
      <c r="G1711" s="8" t="n"/>
      <c r="H1711" s="9" t="n"/>
      <c r="I1711" s="10">
        <f>IF(G1711="","",G1711*H1711)</f>
        <v/>
      </c>
      <c r="J1711" s="7" t="n"/>
    </row>
    <row r="1712">
      <c r="A1712" s="6" t="n"/>
      <c r="B1712" s="7" t="n"/>
      <c r="C1712" s="7" t="n"/>
      <c r="D1712" s="7" t="n"/>
      <c r="E1712" s="7" t="n"/>
      <c r="F1712" s="7" t="n"/>
      <c r="G1712" s="8" t="n"/>
      <c r="H1712" s="9" t="n"/>
      <c r="I1712" s="10">
        <f>IF(G1712="","",G1712*H1712)</f>
        <v/>
      </c>
      <c r="J1712" s="7" t="n"/>
    </row>
    <row r="1713">
      <c r="A1713" s="6" t="n"/>
      <c r="B1713" s="7" t="n"/>
      <c r="C1713" s="7" t="n"/>
      <c r="D1713" s="7" t="n"/>
      <c r="E1713" s="7" t="n"/>
      <c r="F1713" s="7" t="n"/>
      <c r="G1713" s="8" t="n"/>
      <c r="H1713" s="9" t="n"/>
      <c r="I1713" s="10">
        <f>IF(G1713="","",G1713*H1713)</f>
        <v/>
      </c>
      <c r="J1713" s="7" t="n"/>
    </row>
    <row r="1714">
      <c r="A1714" s="6" t="n"/>
      <c r="B1714" s="7" t="n"/>
      <c r="C1714" s="7" t="n"/>
      <c r="D1714" s="7" t="n"/>
      <c r="E1714" s="7" t="n"/>
      <c r="F1714" s="7" t="n"/>
      <c r="G1714" s="8" t="n"/>
      <c r="H1714" s="9" t="n"/>
      <c r="I1714" s="10">
        <f>IF(G1714="","",G1714*H1714)</f>
        <v/>
      </c>
      <c r="J1714" s="7" t="n"/>
    </row>
    <row r="1715">
      <c r="A1715" s="6" t="n"/>
      <c r="B1715" s="7" t="n"/>
      <c r="C1715" s="7" t="n"/>
      <c r="D1715" s="7" t="n"/>
      <c r="E1715" s="7" t="n"/>
      <c r="F1715" s="7" t="n"/>
      <c r="G1715" s="8" t="n"/>
      <c r="H1715" s="9" t="n"/>
      <c r="I1715" s="10">
        <f>IF(G1715="","",G1715*H1715)</f>
        <v/>
      </c>
      <c r="J1715" s="7" t="n"/>
    </row>
    <row r="1716">
      <c r="A1716" s="6" t="n"/>
      <c r="B1716" s="7" t="n"/>
      <c r="C1716" s="7" t="n"/>
      <c r="D1716" s="7" t="n"/>
      <c r="E1716" s="7" t="n"/>
      <c r="F1716" s="7" t="n"/>
      <c r="G1716" s="8" t="n"/>
      <c r="H1716" s="9" t="n"/>
      <c r="I1716" s="10">
        <f>IF(G1716="","",G1716*H1716)</f>
        <v/>
      </c>
      <c r="J1716" s="7" t="n"/>
    </row>
    <row r="1717">
      <c r="A1717" s="6" t="n"/>
      <c r="B1717" s="7" t="n"/>
      <c r="C1717" s="7" t="n"/>
      <c r="D1717" s="7" t="n"/>
      <c r="E1717" s="7" t="n"/>
      <c r="F1717" s="7" t="n"/>
      <c r="G1717" s="8" t="n"/>
      <c r="H1717" s="9" t="n"/>
      <c r="I1717" s="10">
        <f>IF(G1717="","",G1717*H1717)</f>
        <v/>
      </c>
      <c r="J1717" s="7" t="n"/>
    </row>
    <row r="1718">
      <c r="A1718" s="6" t="n"/>
      <c r="B1718" s="7" t="n"/>
      <c r="C1718" s="7" t="n"/>
      <c r="D1718" s="7" t="n"/>
      <c r="E1718" s="7" t="n"/>
      <c r="F1718" s="7" t="n"/>
      <c r="G1718" s="8" t="n"/>
      <c r="H1718" s="9" t="n"/>
      <c r="I1718" s="10">
        <f>IF(G1718="","",G1718*H1718)</f>
        <v/>
      </c>
      <c r="J1718" s="7" t="n"/>
    </row>
    <row r="1719">
      <c r="A1719" s="6" t="n"/>
      <c r="B1719" s="7" t="n"/>
      <c r="C1719" s="7" t="n"/>
      <c r="D1719" s="7" t="n"/>
      <c r="E1719" s="7" t="n"/>
      <c r="F1719" s="7" t="n"/>
      <c r="G1719" s="8" t="n"/>
      <c r="H1719" s="9" t="n"/>
      <c r="I1719" s="10">
        <f>IF(G1719="","",G1719*H1719)</f>
        <v/>
      </c>
      <c r="J1719" s="7" t="n"/>
    </row>
    <row r="1720">
      <c r="A1720" s="6" t="n"/>
      <c r="B1720" s="7" t="n"/>
      <c r="C1720" s="7" t="n"/>
      <c r="D1720" s="7" t="n"/>
      <c r="E1720" s="7" t="n"/>
      <c r="F1720" s="7" t="n"/>
      <c r="G1720" s="8" t="n"/>
      <c r="H1720" s="9" t="n"/>
      <c r="I1720" s="10">
        <f>IF(G1720="","",G1720*H1720)</f>
        <v/>
      </c>
      <c r="J1720" s="7" t="n"/>
    </row>
    <row r="1721">
      <c r="A1721" s="6" t="n"/>
      <c r="B1721" s="7" t="n"/>
      <c r="C1721" s="7" t="n"/>
      <c r="D1721" s="7" t="n"/>
      <c r="E1721" s="7" t="n"/>
      <c r="F1721" s="7" t="n"/>
      <c r="G1721" s="8" t="n"/>
      <c r="H1721" s="9" t="n"/>
      <c r="I1721" s="10">
        <f>IF(G1721="","",G1721*H1721)</f>
        <v/>
      </c>
      <c r="J1721" s="7" t="n"/>
    </row>
    <row r="1722">
      <c r="A1722" s="6" t="n"/>
      <c r="B1722" s="7" t="n"/>
      <c r="C1722" s="7" t="n"/>
      <c r="D1722" s="7" t="n"/>
      <c r="E1722" s="7" t="n"/>
      <c r="F1722" s="7" t="n"/>
      <c r="G1722" s="8" t="n"/>
      <c r="H1722" s="9" t="n"/>
      <c r="I1722" s="10">
        <f>IF(G1722="","",G1722*H1722)</f>
        <v/>
      </c>
      <c r="J1722" s="7" t="n"/>
    </row>
    <row r="1723">
      <c r="A1723" s="6" t="n"/>
      <c r="B1723" s="7" t="n"/>
      <c r="C1723" s="7" t="n"/>
      <c r="D1723" s="7" t="n"/>
      <c r="E1723" s="7" t="n"/>
      <c r="F1723" s="7" t="n"/>
      <c r="G1723" s="8" t="n"/>
      <c r="H1723" s="9" t="n"/>
      <c r="I1723" s="10">
        <f>IF(G1723="","",G1723*H1723)</f>
        <v/>
      </c>
      <c r="J1723" s="7" t="n"/>
    </row>
    <row r="1724">
      <c r="A1724" s="6" t="n"/>
      <c r="B1724" s="7" t="n"/>
      <c r="C1724" s="7" t="n"/>
      <c r="D1724" s="7" t="n"/>
      <c r="E1724" s="7" t="n"/>
      <c r="F1724" s="7" t="n"/>
      <c r="G1724" s="8" t="n"/>
      <c r="H1724" s="9" t="n"/>
      <c r="I1724" s="10">
        <f>IF(G1724="","",G1724*H1724)</f>
        <v/>
      </c>
      <c r="J1724" s="7" t="n"/>
    </row>
    <row r="1725">
      <c r="A1725" s="6" t="n"/>
      <c r="B1725" s="7" t="n"/>
      <c r="C1725" s="7" t="n"/>
      <c r="D1725" s="7" t="n"/>
      <c r="E1725" s="7" t="n"/>
      <c r="F1725" s="7" t="n"/>
      <c r="G1725" s="8" t="n"/>
      <c r="H1725" s="9" t="n"/>
      <c r="I1725" s="10">
        <f>IF(G1725="","",G1725*H1725)</f>
        <v/>
      </c>
      <c r="J1725" s="7" t="n"/>
    </row>
    <row r="1726">
      <c r="A1726" s="6" t="n"/>
      <c r="B1726" s="7" t="n"/>
      <c r="C1726" s="7" t="n"/>
      <c r="D1726" s="7" t="n"/>
      <c r="E1726" s="7" t="n"/>
      <c r="F1726" s="7" t="n"/>
      <c r="G1726" s="8" t="n"/>
      <c r="H1726" s="9" t="n"/>
      <c r="I1726" s="10">
        <f>IF(G1726="","",G1726*H1726)</f>
        <v/>
      </c>
      <c r="J1726" s="7" t="n"/>
    </row>
    <row r="1727">
      <c r="A1727" s="6" t="n"/>
      <c r="B1727" s="7" t="n"/>
      <c r="C1727" s="7" t="n"/>
      <c r="D1727" s="7" t="n"/>
      <c r="E1727" s="7" t="n"/>
      <c r="F1727" s="7" t="n"/>
      <c r="G1727" s="8" t="n"/>
      <c r="H1727" s="9" t="n"/>
      <c r="I1727" s="10">
        <f>IF(G1727="","",G1727*H1727)</f>
        <v/>
      </c>
      <c r="J1727" s="7" t="n"/>
    </row>
    <row r="1728">
      <c r="A1728" s="6" t="n"/>
      <c r="B1728" s="7" t="n"/>
      <c r="C1728" s="7" t="n"/>
      <c r="D1728" s="7" t="n"/>
      <c r="E1728" s="7" t="n"/>
      <c r="F1728" s="7" t="n"/>
      <c r="G1728" s="8" t="n"/>
      <c r="H1728" s="9" t="n"/>
      <c r="I1728" s="10">
        <f>IF(G1728="","",G1728*H1728)</f>
        <v/>
      </c>
      <c r="J1728" s="7" t="n"/>
    </row>
    <row r="1729">
      <c r="A1729" s="6" t="n"/>
      <c r="B1729" s="7" t="n"/>
      <c r="C1729" s="7" t="n"/>
      <c r="D1729" s="7" t="n"/>
      <c r="E1729" s="7" t="n"/>
      <c r="F1729" s="7" t="n"/>
      <c r="G1729" s="8" t="n"/>
      <c r="H1729" s="9" t="n"/>
      <c r="I1729" s="10">
        <f>IF(G1729="","",G1729*H1729)</f>
        <v/>
      </c>
      <c r="J1729" s="7" t="n"/>
    </row>
    <row r="1730">
      <c r="A1730" s="6" t="n"/>
      <c r="B1730" s="7" t="n"/>
      <c r="C1730" s="7" t="n"/>
      <c r="D1730" s="7" t="n"/>
      <c r="E1730" s="7" t="n"/>
      <c r="F1730" s="7" t="n"/>
      <c r="G1730" s="8" t="n"/>
      <c r="H1730" s="9" t="n"/>
      <c r="I1730" s="10">
        <f>IF(G1730="","",G1730*H1730)</f>
        <v/>
      </c>
      <c r="J1730" s="7" t="n"/>
    </row>
    <row r="1731">
      <c r="A1731" s="6" t="n"/>
      <c r="B1731" s="7" t="n"/>
      <c r="C1731" s="7" t="n"/>
      <c r="D1731" s="7" t="n"/>
      <c r="E1731" s="7" t="n"/>
      <c r="F1731" s="7" t="n"/>
      <c r="G1731" s="8" t="n"/>
      <c r="H1731" s="9" t="n"/>
      <c r="I1731" s="10">
        <f>IF(G1731="","",G1731*H1731)</f>
        <v/>
      </c>
      <c r="J1731" s="7" t="n"/>
    </row>
    <row r="1732">
      <c r="A1732" s="6" t="n"/>
      <c r="B1732" s="7" t="n"/>
      <c r="C1732" s="7" t="n"/>
      <c r="D1732" s="7" t="n"/>
      <c r="E1732" s="7" t="n"/>
      <c r="F1732" s="7" t="n"/>
      <c r="G1732" s="8" t="n"/>
      <c r="H1732" s="9" t="n"/>
      <c r="I1732" s="10">
        <f>IF(G1732="","",G1732*H1732)</f>
        <v/>
      </c>
      <c r="J1732" s="7" t="n"/>
    </row>
    <row r="1733">
      <c r="A1733" s="6" t="n"/>
      <c r="B1733" s="7" t="n"/>
      <c r="C1733" s="7" t="n"/>
      <c r="D1733" s="7" t="n"/>
      <c r="E1733" s="7" t="n"/>
      <c r="F1733" s="7" t="n"/>
      <c r="G1733" s="8" t="n"/>
      <c r="H1733" s="9" t="n"/>
      <c r="I1733" s="10">
        <f>IF(G1733="","",G1733*H1733)</f>
        <v/>
      </c>
      <c r="J1733" s="7" t="n"/>
    </row>
    <row r="1734">
      <c r="A1734" s="6" t="n"/>
      <c r="B1734" s="7" t="n"/>
      <c r="C1734" s="7" t="n"/>
      <c r="D1734" s="7" t="n"/>
      <c r="E1734" s="7" t="n"/>
      <c r="F1734" s="7" t="n"/>
      <c r="G1734" s="8" t="n"/>
      <c r="H1734" s="9" t="n"/>
      <c r="I1734" s="10">
        <f>IF(G1734="","",G1734*H1734)</f>
        <v/>
      </c>
      <c r="J1734" s="7" t="n"/>
    </row>
    <row r="1735">
      <c r="A1735" s="6" t="n"/>
      <c r="B1735" s="7" t="n"/>
      <c r="C1735" s="7" t="n"/>
      <c r="D1735" s="7" t="n"/>
      <c r="E1735" s="7" t="n"/>
      <c r="F1735" s="7" t="n"/>
      <c r="G1735" s="8" t="n"/>
      <c r="H1735" s="9" t="n"/>
      <c r="I1735" s="10">
        <f>IF(G1735="","",G1735*H1735)</f>
        <v/>
      </c>
      <c r="J1735" s="7" t="n"/>
    </row>
    <row r="1736">
      <c r="A1736" s="6" t="n"/>
      <c r="B1736" s="7" t="n"/>
      <c r="C1736" s="7" t="n"/>
      <c r="D1736" s="7" t="n"/>
      <c r="E1736" s="7" t="n"/>
      <c r="F1736" s="7" t="n"/>
      <c r="G1736" s="8" t="n"/>
      <c r="H1736" s="9" t="n"/>
      <c r="I1736" s="10">
        <f>IF(G1736="","",G1736*H1736)</f>
        <v/>
      </c>
      <c r="J1736" s="7" t="n"/>
    </row>
    <row r="1737">
      <c r="A1737" s="6" t="n"/>
      <c r="B1737" s="7" t="n"/>
      <c r="C1737" s="7" t="n"/>
      <c r="D1737" s="7" t="n"/>
      <c r="E1737" s="7" t="n"/>
      <c r="F1737" s="7" t="n"/>
      <c r="G1737" s="8" t="n"/>
      <c r="H1737" s="9" t="n"/>
      <c r="I1737" s="10">
        <f>IF(G1737="","",G1737*H1737)</f>
        <v/>
      </c>
      <c r="J1737" s="7" t="n"/>
    </row>
    <row r="1738">
      <c r="A1738" s="6" t="n"/>
      <c r="B1738" s="7" t="n"/>
      <c r="C1738" s="7" t="n"/>
      <c r="D1738" s="7" t="n"/>
      <c r="E1738" s="7" t="n"/>
      <c r="F1738" s="7" t="n"/>
      <c r="G1738" s="8" t="n"/>
      <c r="H1738" s="9" t="n"/>
      <c r="I1738" s="10">
        <f>IF(G1738="","",G1738*H1738)</f>
        <v/>
      </c>
      <c r="J1738" s="7" t="n"/>
    </row>
    <row r="1739">
      <c r="A1739" s="6" t="n"/>
      <c r="B1739" s="7" t="n"/>
      <c r="C1739" s="7" t="n"/>
      <c r="D1739" s="7" t="n"/>
      <c r="E1739" s="7" t="n"/>
      <c r="F1739" s="7" t="n"/>
      <c r="G1739" s="8" t="n"/>
      <c r="H1739" s="9" t="n"/>
      <c r="I1739" s="10">
        <f>IF(G1739="","",G1739*H1739)</f>
        <v/>
      </c>
      <c r="J1739" s="7" t="n"/>
    </row>
    <row r="1740">
      <c r="A1740" s="6" t="n"/>
      <c r="B1740" s="7" t="n"/>
      <c r="C1740" s="7" t="n"/>
      <c r="D1740" s="7" t="n"/>
      <c r="E1740" s="7" t="n"/>
      <c r="F1740" s="7" t="n"/>
      <c r="G1740" s="8" t="n"/>
      <c r="H1740" s="9" t="n"/>
      <c r="I1740" s="10">
        <f>IF(G1740="","",G1740*H1740)</f>
        <v/>
      </c>
      <c r="J1740" s="7" t="n"/>
    </row>
    <row r="1741">
      <c r="A1741" s="6" t="n"/>
      <c r="B1741" s="7" t="n"/>
      <c r="C1741" s="7" t="n"/>
      <c r="D1741" s="7" t="n"/>
      <c r="E1741" s="7" t="n"/>
      <c r="F1741" s="7" t="n"/>
      <c r="G1741" s="8" t="n"/>
      <c r="H1741" s="9" t="n"/>
      <c r="I1741" s="10">
        <f>IF(G1741="","",G1741*H1741)</f>
        <v/>
      </c>
      <c r="J1741" s="7" t="n"/>
    </row>
    <row r="1742">
      <c r="A1742" s="6" t="n"/>
      <c r="B1742" s="7" t="n"/>
      <c r="C1742" s="7" t="n"/>
      <c r="D1742" s="7" t="n"/>
      <c r="E1742" s="7" t="n"/>
      <c r="F1742" s="7" t="n"/>
      <c r="G1742" s="8" t="n"/>
      <c r="H1742" s="9" t="n"/>
      <c r="I1742" s="10">
        <f>IF(G1742="","",G1742*H1742)</f>
        <v/>
      </c>
      <c r="J1742" s="7" t="n"/>
    </row>
    <row r="1743">
      <c r="A1743" s="6" t="n"/>
      <c r="B1743" s="7" t="n"/>
      <c r="C1743" s="7" t="n"/>
      <c r="D1743" s="7" t="n"/>
      <c r="E1743" s="7" t="n"/>
      <c r="F1743" s="7" t="n"/>
      <c r="G1743" s="8" t="n"/>
      <c r="H1743" s="9" t="n"/>
      <c r="I1743" s="10">
        <f>IF(G1743="","",G1743*H1743)</f>
        <v/>
      </c>
      <c r="J1743" s="7" t="n"/>
    </row>
    <row r="1744">
      <c r="A1744" s="6" t="n"/>
      <c r="B1744" s="7" t="n"/>
      <c r="C1744" s="7" t="n"/>
      <c r="D1744" s="7" t="n"/>
      <c r="E1744" s="7" t="n"/>
      <c r="F1744" s="7" t="n"/>
      <c r="G1744" s="8" t="n"/>
      <c r="H1744" s="9" t="n"/>
      <c r="I1744" s="10">
        <f>IF(G1744="","",G1744*H1744)</f>
        <v/>
      </c>
      <c r="J1744" s="7" t="n"/>
    </row>
    <row r="1745">
      <c r="A1745" s="6" t="n"/>
      <c r="B1745" s="7" t="n"/>
      <c r="C1745" s="7" t="n"/>
      <c r="D1745" s="7" t="n"/>
      <c r="E1745" s="7" t="n"/>
      <c r="F1745" s="7" t="n"/>
      <c r="G1745" s="8" t="n"/>
      <c r="H1745" s="9" t="n"/>
      <c r="I1745" s="10">
        <f>IF(G1745="","",G1745*H1745)</f>
        <v/>
      </c>
      <c r="J1745" s="7" t="n"/>
    </row>
    <row r="1746">
      <c r="A1746" s="6" t="n"/>
      <c r="B1746" s="7" t="n"/>
      <c r="C1746" s="7" t="n"/>
      <c r="D1746" s="7" t="n"/>
      <c r="E1746" s="7" t="n"/>
      <c r="F1746" s="7" t="n"/>
      <c r="G1746" s="8" t="n"/>
      <c r="H1746" s="9" t="n"/>
      <c r="I1746" s="10">
        <f>IF(G1746="","",G1746*H1746)</f>
        <v/>
      </c>
      <c r="J1746" s="7" t="n"/>
    </row>
    <row r="1747">
      <c r="A1747" s="6" t="n"/>
      <c r="B1747" s="7" t="n"/>
      <c r="C1747" s="7" t="n"/>
      <c r="D1747" s="7" t="n"/>
      <c r="E1747" s="7" t="n"/>
      <c r="F1747" s="7" t="n"/>
      <c r="G1747" s="8" t="n"/>
      <c r="H1747" s="9" t="n"/>
      <c r="I1747" s="10">
        <f>IF(G1747="","",G1747*H1747)</f>
        <v/>
      </c>
      <c r="J1747" s="7" t="n"/>
    </row>
    <row r="1748">
      <c r="A1748" s="6" t="n"/>
      <c r="B1748" s="7" t="n"/>
      <c r="C1748" s="7" t="n"/>
      <c r="D1748" s="7" t="n"/>
      <c r="E1748" s="7" t="n"/>
      <c r="F1748" s="7" t="n"/>
      <c r="G1748" s="8" t="n"/>
      <c r="H1748" s="9" t="n"/>
      <c r="I1748" s="10">
        <f>IF(G1748="","",G1748*H1748)</f>
        <v/>
      </c>
      <c r="J1748" s="7" t="n"/>
    </row>
    <row r="1749">
      <c r="A1749" s="6" t="n"/>
      <c r="B1749" s="7" t="n"/>
      <c r="C1749" s="7" t="n"/>
      <c r="D1749" s="7" t="n"/>
      <c r="E1749" s="7" t="n"/>
      <c r="F1749" s="7" t="n"/>
      <c r="G1749" s="8" t="n"/>
      <c r="H1749" s="9" t="n"/>
      <c r="I1749" s="10">
        <f>IF(G1749="","",G1749*H1749)</f>
        <v/>
      </c>
      <c r="J1749" s="7" t="n"/>
    </row>
    <row r="1750">
      <c r="A1750" s="6" t="n"/>
      <c r="B1750" s="7" t="n"/>
      <c r="C1750" s="7" t="n"/>
      <c r="D1750" s="7" t="n"/>
      <c r="E1750" s="7" t="n"/>
      <c r="F1750" s="7" t="n"/>
      <c r="G1750" s="8" t="n"/>
      <c r="H1750" s="9" t="n"/>
      <c r="I1750" s="10">
        <f>IF(G1750="","",G1750*H1750)</f>
        <v/>
      </c>
      <c r="J1750" s="7" t="n"/>
    </row>
    <row r="1751">
      <c r="A1751" s="6" t="n"/>
      <c r="B1751" s="7" t="n"/>
      <c r="C1751" s="7" t="n"/>
      <c r="D1751" s="7" t="n"/>
      <c r="E1751" s="7" t="n"/>
      <c r="F1751" s="7" t="n"/>
      <c r="G1751" s="8" t="n"/>
      <c r="H1751" s="9" t="n"/>
      <c r="I1751" s="10">
        <f>IF(G1751="","",G1751*H1751)</f>
        <v/>
      </c>
      <c r="J1751" s="7" t="n"/>
    </row>
    <row r="1752">
      <c r="A1752" s="6" t="n"/>
      <c r="B1752" s="7" t="n"/>
      <c r="C1752" s="7" t="n"/>
      <c r="D1752" s="7" t="n"/>
      <c r="E1752" s="7" t="n"/>
      <c r="F1752" s="7" t="n"/>
      <c r="G1752" s="8" t="n"/>
      <c r="H1752" s="9" t="n"/>
      <c r="I1752" s="10">
        <f>IF(G1752="","",G1752*H1752)</f>
        <v/>
      </c>
      <c r="J1752" s="7" t="n"/>
    </row>
    <row r="1753">
      <c r="A1753" s="6" t="n"/>
      <c r="B1753" s="7" t="n"/>
      <c r="C1753" s="7" t="n"/>
      <c r="D1753" s="7" t="n"/>
      <c r="E1753" s="7" t="n"/>
      <c r="F1753" s="7" t="n"/>
      <c r="G1753" s="8" t="n"/>
      <c r="H1753" s="9" t="n"/>
      <c r="I1753" s="10">
        <f>IF(G1753="","",G1753*H1753)</f>
        <v/>
      </c>
      <c r="J1753" s="7" t="n"/>
    </row>
    <row r="1754">
      <c r="A1754" s="6" t="n"/>
      <c r="B1754" s="7" t="n"/>
      <c r="C1754" s="7" t="n"/>
      <c r="D1754" s="7" t="n"/>
      <c r="E1754" s="7" t="n"/>
      <c r="F1754" s="7" t="n"/>
      <c r="G1754" s="8" t="n"/>
      <c r="H1754" s="9" t="n"/>
      <c r="I1754" s="10">
        <f>IF(G1754="","",G1754*H1754)</f>
        <v/>
      </c>
      <c r="J1754" s="7" t="n"/>
    </row>
    <row r="1755">
      <c r="A1755" s="6" t="n"/>
      <c r="B1755" s="7" t="n"/>
      <c r="C1755" s="7" t="n"/>
      <c r="D1755" s="7" t="n"/>
      <c r="E1755" s="7" t="n"/>
      <c r="F1755" s="7" t="n"/>
      <c r="G1755" s="8" t="n"/>
      <c r="H1755" s="9" t="n"/>
      <c r="I1755" s="10">
        <f>IF(G1755="","",G1755*H1755)</f>
        <v/>
      </c>
      <c r="J1755" s="7" t="n"/>
    </row>
    <row r="1756">
      <c r="A1756" s="6" t="n"/>
      <c r="B1756" s="7" t="n"/>
      <c r="C1756" s="7" t="n"/>
      <c r="D1756" s="7" t="n"/>
      <c r="E1756" s="7" t="n"/>
      <c r="F1756" s="7" t="n"/>
      <c r="G1756" s="8" t="n"/>
      <c r="H1756" s="9" t="n"/>
      <c r="I1756" s="10">
        <f>IF(G1756="","",G1756*H1756)</f>
        <v/>
      </c>
      <c r="J1756" s="7" t="n"/>
    </row>
    <row r="1757">
      <c r="A1757" s="6" t="n"/>
      <c r="B1757" s="7" t="n"/>
      <c r="C1757" s="7" t="n"/>
      <c r="D1757" s="7" t="n"/>
      <c r="E1757" s="7" t="n"/>
      <c r="F1757" s="7" t="n"/>
      <c r="G1757" s="8" t="n"/>
      <c r="H1757" s="9" t="n"/>
      <c r="I1757" s="10">
        <f>IF(G1757="","",G1757*H1757)</f>
        <v/>
      </c>
      <c r="J1757" s="7" t="n"/>
    </row>
    <row r="1758">
      <c r="A1758" s="6" t="n"/>
      <c r="B1758" s="7" t="n"/>
      <c r="C1758" s="7" t="n"/>
      <c r="D1758" s="7" t="n"/>
      <c r="E1758" s="7" t="n"/>
      <c r="F1758" s="7" t="n"/>
      <c r="G1758" s="8" t="n"/>
      <c r="H1758" s="9" t="n"/>
      <c r="I1758" s="10">
        <f>IF(G1758="","",G1758*H1758)</f>
        <v/>
      </c>
      <c r="J1758" s="7" t="n"/>
    </row>
    <row r="1759">
      <c r="A1759" s="6" t="n"/>
      <c r="B1759" s="7" t="n"/>
      <c r="C1759" s="7" t="n"/>
      <c r="D1759" s="7" t="n"/>
      <c r="E1759" s="7" t="n"/>
      <c r="F1759" s="7" t="n"/>
      <c r="G1759" s="8" t="n"/>
      <c r="H1759" s="9" t="n"/>
      <c r="I1759" s="10">
        <f>IF(G1759="","",G1759*H1759)</f>
        <v/>
      </c>
      <c r="J1759" s="7" t="n"/>
    </row>
    <row r="1760">
      <c r="A1760" s="6" t="n"/>
      <c r="B1760" s="7" t="n"/>
      <c r="C1760" s="7" t="n"/>
      <c r="D1760" s="7" t="n"/>
      <c r="E1760" s="7" t="n"/>
      <c r="F1760" s="7" t="n"/>
      <c r="G1760" s="8" t="n"/>
      <c r="H1760" s="9" t="n"/>
      <c r="I1760" s="10">
        <f>IF(G1760="","",G1760*H1760)</f>
        <v/>
      </c>
      <c r="J1760" s="7" t="n"/>
    </row>
    <row r="1761">
      <c r="A1761" s="6" t="n"/>
      <c r="B1761" s="7" t="n"/>
      <c r="C1761" s="7" t="n"/>
      <c r="D1761" s="7" t="n"/>
      <c r="E1761" s="7" t="n"/>
      <c r="F1761" s="7" t="n"/>
      <c r="G1761" s="8" t="n"/>
      <c r="H1761" s="9" t="n"/>
      <c r="I1761" s="10">
        <f>IF(G1761="","",G1761*H1761)</f>
        <v/>
      </c>
      <c r="J1761" s="7" t="n"/>
    </row>
    <row r="1762">
      <c r="A1762" s="6" t="n"/>
      <c r="B1762" s="7" t="n"/>
      <c r="C1762" s="7" t="n"/>
      <c r="D1762" s="7" t="n"/>
      <c r="E1762" s="7" t="n"/>
      <c r="F1762" s="7" t="n"/>
      <c r="G1762" s="8" t="n"/>
      <c r="H1762" s="9" t="n"/>
      <c r="I1762" s="10">
        <f>IF(G1762="","",G1762*H1762)</f>
        <v/>
      </c>
      <c r="J1762" s="7" t="n"/>
    </row>
    <row r="1763">
      <c r="A1763" s="6" t="n"/>
      <c r="B1763" s="7" t="n"/>
      <c r="C1763" s="7" t="n"/>
      <c r="D1763" s="7" t="n"/>
      <c r="E1763" s="7" t="n"/>
      <c r="F1763" s="7" t="n"/>
      <c r="G1763" s="8" t="n"/>
      <c r="H1763" s="9" t="n"/>
      <c r="I1763" s="10">
        <f>IF(G1763="","",G1763*H1763)</f>
        <v/>
      </c>
      <c r="J1763" s="7" t="n"/>
    </row>
    <row r="1764">
      <c r="A1764" s="6" t="n"/>
      <c r="B1764" s="7" t="n"/>
      <c r="C1764" s="7" t="n"/>
      <c r="D1764" s="7" t="n"/>
      <c r="E1764" s="7" t="n"/>
      <c r="F1764" s="7" t="n"/>
      <c r="G1764" s="8" t="n"/>
      <c r="H1764" s="9" t="n"/>
      <c r="I1764" s="10">
        <f>IF(G1764="","",G1764*H1764)</f>
        <v/>
      </c>
      <c r="J1764" s="7" t="n"/>
    </row>
    <row r="1765">
      <c r="A1765" s="6" t="n"/>
      <c r="B1765" s="7" t="n"/>
      <c r="C1765" s="7" t="n"/>
      <c r="D1765" s="7" t="n"/>
      <c r="E1765" s="7" t="n"/>
      <c r="F1765" s="7" t="n"/>
      <c r="G1765" s="8" t="n"/>
      <c r="H1765" s="9" t="n"/>
      <c r="I1765" s="10">
        <f>IF(G1765="","",G1765*H1765)</f>
        <v/>
      </c>
      <c r="J1765" s="7" t="n"/>
    </row>
    <row r="1766">
      <c r="A1766" s="6" t="n"/>
      <c r="B1766" s="7" t="n"/>
      <c r="C1766" s="7" t="n"/>
      <c r="D1766" s="7" t="n"/>
      <c r="E1766" s="7" t="n"/>
      <c r="F1766" s="7" t="n"/>
      <c r="G1766" s="8" t="n"/>
      <c r="H1766" s="9" t="n"/>
      <c r="I1766" s="10">
        <f>IF(G1766="","",G1766*H1766)</f>
        <v/>
      </c>
      <c r="J1766" s="7" t="n"/>
    </row>
    <row r="1767">
      <c r="A1767" s="6" t="n"/>
      <c r="B1767" s="7" t="n"/>
      <c r="C1767" s="7" t="n"/>
      <c r="D1767" s="7" t="n"/>
      <c r="E1767" s="7" t="n"/>
      <c r="F1767" s="7" t="n"/>
      <c r="G1767" s="8" t="n"/>
      <c r="H1767" s="9" t="n"/>
      <c r="I1767" s="10">
        <f>IF(G1767="","",G1767*H1767)</f>
        <v/>
      </c>
      <c r="J1767" s="7" t="n"/>
    </row>
    <row r="1768">
      <c r="A1768" s="6" t="n"/>
      <c r="B1768" s="7" t="n"/>
      <c r="C1768" s="7" t="n"/>
      <c r="D1768" s="7" t="n"/>
      <c r="E1768" s="7" t="n"/>
      <c r="F1768" s="7" t="n"/>
      <c r="G1768" s="8" t="n"/>
      <c r="H1768" s="9" t="n"/>
      <c r="I1768" s="10">
        <f>IF(G1768="","",G1768*H1768)</f>
        <v/>
      </c>
      <c r="J1768" s="7" t="n"/>
    </row>
    <row r="1769">
      <c r="A1769" s="6" t="n"/>
      <c r="B1769" s="7" t="n"/>
      <c r="C1769" s="7" t="n"/>
      <c r="D1769" s="7" t="n"/>
      <c r="E1769" s="7" t="n"/>
      <c r="F1769" s="7" t="n"/>
      <c r="G1769" s="8" t="n"/>
      <c r="H1769" s="9" t="n"/>
      <c r="I1769" s="10">
        <f>IF(G1769="","",G1769*H1769)</f>
        <v/>
      </c>
      <c r="J1769" s="7" t="n"/>
    </row>
    <row r="1770">
      <c r="A1770" s="6" t="n"/>
      <c r="B1770" s="7" t="n"/>
      <c r="C1770" s="7" t="n"/>
      <c r="D1770" s="7" t="n"/>
      <c r="E1770" s="7" t="n"/>
      <c r="F1770" s="7" t="n"/>
      <c r="G1770" s="8" t="n"/>
      <c r="H1770" s="9" t="n"/>
      <c r="I1770" s="10">
        <f>IF(G1770="","",G1770*H1770)</f>
        <v/>
      </c>
      <c r="J1770" s="7" t="n"/>
    </row>
    <row r="1771">
      <c r="A1771" s="6" t="n"/>
      <c r="B1771" s="7" t="n"/>
      <c r="C1771" s="7" t="n"/>
      <c r="D1771" s="7" t="n"/>
      <c r="E1771" s="7" t="n"/>
      <c r="F1771" s="7" t="n"/>
      <c r="G1771" s="8" t="n"/>
      <c r="H1771" s="9" t="n"/>
      <c r="I1771" s="10">
        <f>IF(G1771="","",G1771*H1771)</f>
        <v/>
      </c>
      <c r="J1771" s="7" t="n"/>
    </row>
    <row r="1772">
      <c r="A1772" s="6" t="n"/>
      <c r="B1772" s="7" t="n"/>
      <c r="C1772" s="7" t="n"/>
      <c r="D1772" s="7" t="n"/>
      <c r="E1772" s="7" t="n"/>
      <c r="F1772" s="7" t="n"/>
      <c r="G1772" s="8" t="n"/>
      <c r="H1772" s="9" t="n"/>
      <c r="I1772" s="10">
        <f>IF(G1772="","",G1772*H1772)</f>
        <v/>
      </c>
      <c r="J1772" s="7" t="n"/>
    </row>
    <row r="1773">
      <c r="A1773" s="6" t="n"/>
      <c r="B1773" s="7" t="n"/>
      <c r="C1773" s="7" t="n"/>
      <c r="D1773" s="7" t="n"/>
      <c r="E1773" s="7" t="n"/>
      <c r="F1773" s="7" t="n"/>
      <c r="G1773" s="8" t="n"/>
      <c r="H1773" s="9" t="n"/>
      <c r="I1773" s="10">
        <f>IF(G1773="","",G1773*H1773)</f>
        <v/>
      </c>
      <c r="J1773" s="7" t="n"/>
    </row>
    <row r="1774">
      <c r="A1774" s="6" t="n"/>
      <c r="B1774" s="7" t="n"/>
      <c r="C1774" s="7" t="n"/>
      <c r="D1774" s="7" t="n"/>
      <c r="E1774" s="7" t="n"/>
      <c r="F1774" s="7" t="n"/>
      <c r="G1774" s="8" t="n"/>
      <c r="H1774" s="9" t="n"/>
      <c r="I1774" s="10">
        <f>IF(G1774="","",G1774*H1774)</f>
        <v/>
      </c>
      <c r="J1774" s="7" t="n"/>
    </row>
    <row r="1775">
      <c r="A1775" s="6" t="n"/>
      <c r="B1775" s="7" t="n"/>
      <c r="C1775" s="7" t="n"/>
      <c r="D1775" s="7" t="n"/>
      <c r="E1775" s="7" t="n"/>
      <c r="F1775" s="7" t="n"/>
      <c r="G1775" s="8" t="n"/>
      <c r="H1775" s="9" t="n"/>
      <c r="I1775" s="10">
        <f>IF(G1775="","",G1775*H1775)</f>
        <v/>
      </c>
      <c r="J1775" s="7" t="n"/>
    </row>
    <row r="1776">
      <c r="A1776" s="6" t="n"/>
      <c r="B1776" s="7" t="n"/>
      <c r="C1776" s="7" t="n"/>
      <c r="D1776" s="7" t="n"/>
      <c r="E1776" s="7" t="n"/>
      <c r="F1776" s="7" t="n"/>
      <c r="G1776" s="8" t="n"/>
      <c r="H1776" s="9" t="n"/>
      <c r="I1776" s="10">
        <f>IF(G1776="","",G1776*H1776)</f>
        <v/>
      </c>
      <c r="J1776" s="7" t="n"/>
    </row>
    <row r="1777">
      <c r="A1777" s="6" t="n"/>
      <c r="B1777" s="7" t="n"/>
      <c r="C1777" s="7" t="n"/>
      <c r="D1777" s="7" t="n"/>
      <c r="E1777" s="7" t="n"/>
      <c r="F1777" s="7" t="n"/>
      <c r="G1777" s="8" t="n"/>
      <c r="H1777" s="9" t="n"/>
      <c r="I1777" s="10">
        <f>IF(G1777="","",G1777*H1777)</f>
        <v/>
      </c>
      <c r="J1777" s="7" t="n"/>
    </row>
    <row r="1778">
      <c r="A1778" s="6" t="n"/>
      <c r="B1778" s="7" t="n"/>
      <c r="C1778" s="7" t="n"/>
      <c r="D1778" s="7" t="n"/>
      <c r="E1778" s="7" t="n"/>
      <c r="F1778" s="7" t="n"/>
      <c r="G1778" s="8" t="n"/>
      <c r="H1778" s="9" t="n"/>
      <c r="I1778" s="10">
        <f>IF(G1778="","",G1778*H1778)</f>
        <v/>
      </c>
      <c r="J1778" s="7" t="n"/>
    </row>
    <row r="1779">
      <c r="A1779" s="6" t="n"/>
      <c r="B1779" s="7" t="n"/>
      <c r="C1779" s="7" t="n"/>
      <c r="D1779" s="7" t="n"/>
      <c r="E1779" s="7" t="n"/>
      <c r="F1779" s="7" t="n"/>
      <c r="G1779" s="8" t="n"/>
      <c r="H1779" s="9" t="n"/>
      <c r="I1779" s="10">
        <f>IF(G1779="","",G1779*H1779)</f>
        <v/>
      </c>
      <c r="J1779" s="7" t="n"/>
    </row>
    <row r="1780">
      <c r="A1780" s="6" t="n"/>
      <c r="B1780" s="7" t="n"/>
      <c r="C1780" s="7" t="n"/>
      <c r="D1780" s="7" t="n"/>
      <c r="E1780" s="7" t="n"/>
      <c r="F1780" s="7" t="n"/>
      <c r="G1780" s="8" t="n"/>
      <c r="H1780" s="9" t="n"/>
      <c r="I1780" s="10">
        <f>IF(G1780="","",G1780*H1780)</f>
        <v/>
      </c>
      <c r="J1780" s="7" t="n"/>
    </row>
    <row r="1781">
      <c r="A1781" s="6" t="n"/>
      <c r="B1781" s="7" t="n"/>
      <c r="C1781" s="7" t="n"/>
      <c r="D1781" s="7" t="n"/>
      <c r="E1781" s="7" t="n"/>
      <c r="F1781" s="7" t="n"/>
      <c r="G1781" s="8" t="n"/>
      <c r="H1781" s="9" t="n"/>
      <c r="I1781" s="10">
        <f>IF(G1781="","",G1781*H1781)</f>
        <v/>
      </c>
      <c r="J1781" s="7" t="n"/>
    </row>
    <row r="1782">
      <c r="A1782" s="6" t="n"/>
      <c r="B1782" s="7" t="n"/>
      <c r="C1782" s="7" t="n"/>
      <c r="D1782" s="7" t="n"/>
      <c r="E1782" s="7" t="n"/>
      <c r="F1782" s="7" t="n"/>
      <c r="G1782" s="8" t="n"/>
      <c r="H1782" s="9" t="n"/>
      <c r="I1782" s="10">
        <f>IF(G1782="","",G1782*H1782)</f>
        <v/>
      </c>
      <c r="J1782" s="7" t="n"/>
    </row>
    <row r="1783">
      <c r="A1783" s="6" t="n"/>
      <c r="B1783" s="7" t="n"/>
      <c r="C1783" s="7" t="n"/>
      <c r="D1783" s="7" t="n"/>
      <c r="E1783" s="7" t="n"/>
      <c r="F1783" s="7" t="n"/>
      <c r="G1783" s="8" t="n"/>
      <c r="H1783" s="9" t="n"/>
      <c r="I1783" s="10">
        <f>IF(G1783="","",G1783*H1783)</f>
        <v/>
      </c>
      <c r="J1783" s="7" t="n"/>
    </row>
    <row r="1784">
      <c r="A1784" s="6" t="n"/>
      <c r="B1784" s="7" t="n"/>
      <c r="C1784" s="7" t="n"/>
      <c r="D1784" s="7" t="n"/>
      <c r="E1784" s="7" t="n"/>
      <c r="F1784" s="7" t="n"/>
      <c r="G1784" s="8" t="n"/>
      <c r="H1784" s="9" t="n"/>
      <c r="I1784" s="10">
        <f>IF(G1784="","",G1784*H1784)</f>
        <v/>
      </c>
      <c r="J1784" s="7" t="n"/>
    </row>
    <row r="1785">
      <c r="A1785" s="6" t="n"/>
      <c r="B1785" s="7" t="n"/>
      <c r="C1785" s="7" t="n"/>
      <c r="D1785" s="7" t="n"/>
      <c r="E1785" s="7" t="n"/>
      <c r="F1785" s="7" t="n"/>
      <c r="G1785" s="8" t="n"/>
      <c r="H1785" s="9" t="n"/>
      <c r="I1785" s="10">
        <f>IF(G1785="","",G1785*H1785)</f>
        <v/>
      </c>
      <c r="J1785" s="7" t="n"/>
    </row>
    <row r="1786">
      <c r="A1786" s="6" t="n"/>
      <c r="B1786" s="7" t="n"/>
      <c r="C1786" s="7" t="n"/>
      <c r="D1786" s="7" t="n"/>
      <c r="E1786" s="7" t="n"/>
      <c r="F1786" s="7" t="n"/>
      <c r="G1786" s="8" t="n"/>
      <c r="H1786" s="9" t="n"/>
      <c r="I1786" s="10">
        <f>IF(G1786="","",G1786*H1786)</f>
        <v/>
      </c>
      <c r="J1786" s="7" t="n"/>
    </row>
    <row r="1787">
      <c r="A1787" s="6" t="n"/>
      <c r="B1787" s="7" t="n"/>
      <c r="C1787" s="7" t="n"/>
      <c r="D1787" s="7" t="n"/>
      <c r="E1787" s="7" t="n"/>
      <c r="F1787" s="7" t="n"/>
      <c r="G1787" s="8" t="n"/>
      <c r="H1787" s="9" t="n"/>
      <c r="I1787" s="10">
        <f>IF(G1787="","",G1787*H1787)</f>
        <v/>
      </c>
      <c r="J1787" s="7" t="n"/>
    </row>
    <row r="1788">
      <c r="A1788" s="6" t="n"/>
      <c r="B1788" s="7" t="n"/>
      <c r="C1788" s="7" t="n"/>
      <c r="D1788" s="7" t="n"/>
      <c r="E1788" s="7" t="n"/>
      <c r="F1788" s="7" t="n"/>
      <c r="G1788" s="8" t="n"/>
      <c r="H1788" s="9" t="n"/>
      <c r="I1788" s="10">
        <f>IF(G1788="","",G1788*H1788)</f>
        <v/>
      </c>
      <c r="J1788" s="7" t="n"/>
    </row>
    <row r="1789">
      <c r="A1789" s="6" t="n"/>
      <c r="B1789" s="7" t="n"/>
      <c r="C1789" s="7" t="n"/>
      <c r="D1789" s="7" t="n"/>
      <c r="E1789" s="7" t="n"/>
      <c r="F1789" s="7" t="n"/>
      <c r="G1789" s="8" t="n"/>
      <c r="H1789" s="9" t="n"/>
      <c r="I1789" s="10">
        <f>IF(G1789="","",G1789*H1789)</f>
        <v/>
      </c>
      <c r="J1789" s="7" t="n"/>
    </row>
    <row r="1790">
      <c r="A1790" s="6" t="n"/>
      <c r="B1790" s="7" t="n"/>
      <c r="C1790" s="7" t="n"/>
      <c r="D1790" s="7" t="n"/>
      <c r="E1790" s="7" t="n"/>
      <c r="F1790" s="7" t="n"/>
      <c r="G1790" s="8" t="n"/>
      <c r="H1790" s="9" t="n"/>
      <c r="I1790" s="10">
        <f>IF(G1790="","",G1790*H1790)</f>
        <v/>
      </c>
      <c r="J1790" s="7" t="n"/>
    </row>
    <row r="1791">
      <c r="A1791" s="6" t="n"/>
      <c r="B1791" s="7" t="n"/>
      <c r="C1791" s="7" t="n"/>
      <c r="D1791" s="7" t="n"/>
      <c r="E1791" s="7" t="n"/>
      <c r="F1791" s="7" t="n"/>
      <c r="G1791" s="8" t="n"/>
      <c r="H1791" s="9" t="n"/>
      <c r="I1791" s="10">
        <f>IF(G1791="","",G1791*H1791)</f>
        <v/>
      </c>
      <c r="J1791" s="7" t="n"/>
    </row>
    <row r="1792">
      <c r="A1792" s="6" t="n"/>
      <c r="B1792" s="7" t="n"/>
      <c r="C1792" s="7" t="n"/>
      <c r="D1792" s="7" t="n"/>
      <c r="E1792" s="7" t="n"/>
      <c r="F1792" s="7" t="n"/>
      <c r="G1792" s="8" t="n"/>
      <c r="H1792" s="9" t="n"/>
      <c r="I1792" s="10">
        <f>IF(G1792="","",G1792*H1792)</f>
        <v/>
      </c>
      <c r="J1792" s="7" t="n"/>
    </row>
    <row r="1793">
      <c r="A1793" s="6" t="n"/>
      <c r="B1793" s="7" t="n"/>
      <c r="C1793" s="7" t="n"/>
      <c r="D1793" s="7" t="n"/>
      <c r="E1793" s="7" t="n"/>
      <c r="F1793" s="7" t="n"/>
      <c r="G1793" s="8" t="n"/>
      <c r="H1793" s="9" t="n"/>
      <c r="I1793" s="10">
        <f>IF(G1793="","",G1793*H1793)</f>
        <v/>
      </c>
      <c r="J1793" s="7" t="n"/>
    </row>
    <row r="1794">
      <c r="A1794" s="6" t="n"/>
      <c r="B1794" s="7" t="n"/>
      <c r="C1794" s="7" t="n"/>
      <c r="D1794" s="7" t="n"/>
      <c r="E1794" s="7" t="n"/>
      <c r="F1794" s="7" t="n"/>
      <c r="G1794" s="8" t="n"/>
      <c r="H1794" s="9" t="n"/>
      <c r="I1794" s="10">
        <f>IF(G1794="","",G1794*H1794)</f>
        <v/>
      </c>
      <c r="J1794" s="7" t="n"/>
    </row>
    <row r="1795">
      <c r="A1795" s="6" t="n"/>
      <c r="B1795" s="7" t="n"/>
      <c r="C1795" s="7" t="n"/>
      <c r="D1795" s="7" t="n"/>
      <c r="E1795" s="7" t="n"/>
      <c r="F1795" s="7" t="n"/>
      <c r="G1795" s="8" t="n"/>
      <c r="H1795" s="9" t="n"/>
      <c r="I1795" s="10">
        <f>IF(G1795="","",G1795*H1795)</f>
        <v/>
      </c>
      <c r="J1795" s="7" t="n"/>
    </row>
    <row r="1796">
      <c r="A1796" s="6" t="n"/>
      <c r="B1796" s="7" t="n"/>
      <c r="C1796" s="7" t="n"/>
      <c r="D1796" s="7" t="n"/>
      <c r="E1796" s="7" t="n"/>
      <c r="F1796" s="7" t="n"/>
      <c r="G1796" s="8" t="n"/>
      <c r="H1796" s="9" t="n"/>
      <c r="I1796" s="10">
        <f>IF(G1796="","",G1796*H1796)</f>
        <v/>
      </c>
      <c r="J1796" s="7" t="n"/>
    </row>
    <row r="1797">
      <c r="A1797" s="6" t="n"/>
      <c r="B1797" s="7" t="n"/>
      <c r="C1797" s="7" t="n"/>
      <c r="D1797" s="7" t="n"/>
      <c r="E1797" s="7" t="n"/>
      <c r="F1797" s="7" t="n"/>
      <c r="G1797" s="8" t="n"/>
      <c r="H1797" s="9" t="n"/>
      <c r="I1797" s="10">
        <f>IF(G1797="","",G1797*H1797)</f>
        <v/>
      </c>
      <c r="J1797" s="7" t="n"/>
    </row>
    <row r="1798">
      <c r="A1798" s="6" t="n"/>
      <c r="B1798" s="7" t="n"/>
      <c r="C1798" s="7" t="n"/>
      <c r="D1798" s="7" t="n"/>
      <c r="E1798" s="7" t="n"/>
      <c r="F1798" s="7" t="n"/>
      <c r="G1798" s="8" t="n"/>
      <c r="H1798" s="9" t="n"/>
      <c r="I1798" s="10">
        <f>IF(G1798="","",G1798*H1798)</f>
        <v/>
      </c>
      <c r="J1798" s="7" t="n"/>
    </row>
    <row r="1799">
      <c r="A1799" s="6" t="n"/>
      <c r="B1799" s="7" t="n"/>
      <c r="C1799" s="7" t="n"/>
      <c r="D1799" s="7" t="n"/>
      <c r="E1799" s="7" t="n"/>
      <c r="F1799" s="7" t="n"/>
      <c r="G1799" s="8" t="n"/>
      <c r="H1799" s="9" t="n"/>
      <c r="I1799" s="10">
        <f>IF(G1799="","",G1799*H1799)</f>
        <v/>
      </c>
      <c r="J1799" s="7" t="n"/>
    </row>
    <row r="1800">
      <c r="A1800" s="6" t="n"/>
      <c r="B1800" s="7" t="n"/>
      <c r="C1800" s="7" t="n"/>
      <c r="D1800" s="7" t="n"/>
      <c r="E1800" s="7" t="n"/>
      <c r="F1800" s="7" t="n"/>
      <c r="G1800" s="8" t="n"/>
      <c r="H1800" s="9" t="n"/>
      <c r="I1800" s="10">
        <f>IF(G1800="","",G1800*H1800)</f>
        <v/>
      </c>
      <c r="J1800" s="7" t="n"/>
    </row>
    <row r="1801">
      <c r="A1801" s="6" t="n"/>
      <c r="B1801" s="7" t="n"/>
      <c r="C1801" s="7" t="n"/>
      <c r="D1801" s="7" t="n"/>
      <c r="E1801" s="7" t="n"/>
      <c r="F1801" s="7" t="n"/>
      <c r="G1801" s="8" t="n"/>
      <c r="H1801" s="9" t="n"/>
      <c r="I1801" s="10">
        <f>IF(G1801="","",G1801*H1801)</f>
        <v/>
      </c>
      <c r="J1801" s="7" t="n"/>
    </row>
    <row r="1802">
      <c r="A1802" s="6" t="n"/>
      <c r="B1802" s="7" t="n"/>
      <c r="C1802" s="7" t="n"/>
      <c r="D1802" s="7" t="n"/>
      <c r="E1802" s="7" t="n"/>
      <c r="F1802" s="7" t="n"/>
      <c r="G1802" s="8" t="n"/>
      <c r="H1802" s="9" t="n"/>
      <c r="I1802" s="10">
        <f>IF(G1802="","",G1802*H1802)</f>
        <v/>
      </c>
      <c r="J1802" s="7" t="n"/>
    </row>
    <row r="1803">
      <c r="A1803" s="6" t="n"/>
      <c r="B1803" s="7" t="n"/>
      <c r="C1803" s="7" t="n"/>
      <c r="D1803" s="7" t="n"/>
      <c r="E1803" s="7" t="n"/>
      <c r="F1803" s="7" t="n"/>
      <c r="G1803" s="8" t="n"/>
      <c r="H1803" s="9" t="n"/>
      <c r="I1803" s="10">
        <f>IF(G1803="","",G1803*H1803)</f>
        <v/>
      </c>
      <c r="J1803" s="7" t="n"/>
    </row>
    <row r="1804">
      <c r="A1804" s="6" t="n"/>
      <c r="B1804" s="7" t="n"/>
      <c r="C1804" s="7" t="n"/>
      <c r="D1804" s="7" t="n"/>
      <c r="E1804" s="7" t="n"/>
      <c r="F1804" s="7" t="n"/>
      <c r="G1804" s="8" t="n"/>
      <c r="H1804" s="9" t="n"/>
      <c r="I1804" s="10">
        <f>IF(G1804="","",G1804*H1804)</f>
        <v/>
      </c>
      <c r="J1804" s="7" t="n"/>
    </row>
    <row r="1805">
      <c r="A1805" s="6" t="n"/>
      <c r="B1805" s="7" t="n"/>
      <c r="C1805" s="7" t="n"/>
      <c r="D1805" s="7" t="n"/>
      <c r="E1805" s="7" t="n"/>
      <c r="F1805" s="7" t="n"/>
      <c r="G1805" s="8" t="n"/>
      <c r="H1805" s="9" t="n"/>
      <c r="I1805" s="10">
        <f>IF(G1805="","",G1805*H1805)</f>
        <v/>
      </c>
      <c r="J1805" s="7" t="n"/>
    </row>
    <row r="1806">
      <c r="A1806" s="6" t="n"/>
      <c r="B1806" s="7" t="n"/>
      <c r="C1806" s="7" t="n"/>
      <c r="D1806" s="7" t="n"/>
      <c r="E1806" s="7" t="n"/>
      <c r="F1806" s="7" t="n"/>
      <c r="G1806" s="8" t="n"/>
      <c r="H1806" s="9" t="n"/>
      <c r="I1806" s="10">
        <f>IF(G1806="","",G1806*H1806)</f>
        <v/>
      </c>
      <c r="J1806" s="7" t="n"/>
    </row>
    <row r="1807">
      <c r="A1807" s="6" t="n"/>
      <c r="B1807" s="7" t="n"/>
      <c r="C1807" s="7" t="n"/>
      <c r="D1807" s="7" t="n"/>
      <c r="E1807" s="7" t="n"/>
      <c r="F1807" s="7" t="n"/>
      <c r="G1807" s="8" t="n"/>
      <c r="H1807" s="9" t="n"/>
      <c r="I1807" s="10">
        <f>IF(G1807="","",G1807*H1807)</f>
        <v/>
      </c>
      <c r="J1807" s="7" t="n"/>
    </row>
    <row r="1808">
      <c r="A1808" s="6" t="n"/>
      <c r="B1808" s="7" t="n"/>
      <c r="C1808" s="7" t="n"/>
      <c r="D1808" s="7" t="n"/>
      <c r="E1808" s="7" t="n"/>
      <c r="F1808" s="7" t="n"/>
      <c r="G1808" s="8" t="n"/>
      <c r="H1808" s="9" t="n"/>
      <c r="I1808" s="10">
        <f>IF(G1808="","",G1808*H1808)</f>
        <v/>
      </c>
      <c r="J1808" s="7" t="n"/>
    </row>
    <row r="1809">
      <c r="A1809" s="6" t="n"/>
      <c r="B1809" s="7" t="n"/>
      <c r="C1809" s="7" t="n"/>
      <c r="D1809" s="7" t="n"/>
      <c r="E1809" s="7" t="n"/>
      <c r="F1809" s="7" t="n"/>
      <c r="G1809" s="8" t="n"/>
      <c r="H1809" s="9" t="n"/>
      <c r="I1809" s="10">
        <f>IF(G1809="","",G1809*H1809)</f>
        <v/>
      </c>
      <c r="J1809" s="7" t="n"/>
    </row>
    <row r="1810">
      <c r="A1810" s="6" t="n"/>
      <c r="B1810" s="7" t="n"/>
      <c r="C1810" s="7" t="n"/>
      <c r="D1810" s="7" t="n"/>
      <c r="E1810" s="7" t="n"/>
      <c r="F1810" s="7" t="n"/>
      <c r="G1810" s="8" t="n"/>
      <c r="H1810" s="9" t="n"/>
      <c r="I1810" s="10">
        <f>IF(G1810="","",G1810*H1810)</f>
        <v/>
      </c>
      <c r="J1810" s="7" t="n"/>
    </row>
    <row r="1811">
      <c r="A1811" s="6" t="n"/>
      <c r="B1811" s="7" t="n"/>
      <c r="C1811" s="7" t="n"/>
      <c r="D1811" s="7" t="n"/>
      <c r="E1811" s="7" t="n"/>
      <c r="F1811" s="7" t="n"/>
      <c r="G1811" s="8" t="n"/>
      <c r="H1811" s="9" t="n"/>
      <c r="I1811" s="10">
        <f>IF(G1811="","",G1811*H1811)</f>
        <v/>
      </c>
      <c r="J1811" s="7" t="n"/>
    </row>
    <row r="1812">
      <c r="A1812" s="6" t="n"/>
      <c r="B1812" s="7" t="n"/>
      <c r="C1812" s="7" t="n"/>
      <c r="D1812" s="7" t="n"/>
      <c r="E1812" s="7" t="n"/>
      <c r="F1812" s="7" t="n"/>
      <c r="G1812" s="8" t="n"/>
      <c r="H1812" s="9" t="n"/>
      <c r="I1812" s="10">
        <f>IF(G1812="","",G1812*H1812)</f>
        <v/>
      </c>
      <c r="J1812" s="7" t="n"/>
    </row>
    <row r="1813">
      <c r="A1813" s="6" t="n"/>
      <c r="B1813" s="7" t="n"/>
      <c r="C1813" s="7" t="n"/>
      <c r="D1813" s="7" t="n"/>
      <c r="E1813" s="7" t="n"/>
      <c r="F1813" s="7" t="n"/>
      <c r="G1813" s="8" t="n"/>
      <c r="H1813" s="9" t="n"/>
      <c r="I1813" s="10">
        <f>IF(G1813="","",G1813*H1813)</f>
        <v/>
      </c>
      <c r="J1813" s="7" t="n"/>
    </row>
    <row r="1814">
      <c r="A1814" s="6" t="n"/>
      <c r="B1814" s="7" t="n"/>
      <c r="C1814" s="7" t="n"/>
      <c r="D1814" s="7" t="n"/>
      <c r="E1814" s="7" t="n"/>
      <c r="F1814" s="7" t="n"/>
      <c r="G1814" s="8" t="n"/>
      <c r="H1814" s="9" t="n"/>
      <c r="I1814" s="10">
        <f>IF(G1814="","",G1814*H1814)</f>
        <v/>
      </c>
      <c r="J1814" s="7" t="n"/>
    </row>
    <row r="1815">
      <c r="A1815" s="6" t="n"/>
      <c r="B1815" s="7" t="n"/>
      <c r="C1815" s="7" t="n"/>
      <c r="D1815" s="7" t="n"/>
      <c r="E1815" s="7" t="n"/>
      <c r="F1815" s="7" t="n"/>
      <c r="G1815" s="8" t="n"/>
      <c r="H1815" s="9" t="n"/>
      <c r="I1815" s="10">
        <f>IF(G1815="","",G1815*H1815)</f>
        <v/>
      </c>
      <c r="J1815" s="7" t="n"/>
    </row>
    <row r="1816">
      <c r="A1816" s="6" t="n"/>
      <c r="B1816" s="7" t="n"/>
      <c r="C1816" s="7" t="n"/>
      <c r="D1816" s="7" t="n"/>
      <c r="E1816" s="7" t="n"/>
      <c r="F1816" s="7" t="n"/>
      <c r="G1816" s="8" t="n"/>
      <c r="H1816" s="9" t="n"/>
      <c r="I1816" s="10">
        <f>IF(G1816="","",G1816*H1816)</f>
        <v/>
      </c>
      <c r="J1816" s="7" t="n"/>
    </row>
    <row r="1817">
      <c r="A1817" s="6" t="n"/>
      <c r="B1817" s="7" t="n"/>
      <c r="C1817" s="7" t="n"/>
      <c r="D1817" s="7" t="n"/>
      <c r="E1817" s="7" t="n"/>
      <c r="F1817" s="7" t="n"/>
      <c r="G1817" s="8" t="n"/>
      <c r="H1817" s="9" t="n"/>
      <c r="I1817" s="10">
        <f>IF(G1817="","",G1817*H1817)</f>
        <v/>
      </c>
      <c r="J1817" s="7" t="n"/>
    </row>
    <row r="1818">
      <c r="A1818" s="6" t="n"/>
      <c r="B1818" s="7" t="n"/>
      <c r="C1818" s="7" t="n"/>
      <c r="D1818" s="7" t="n"/>
      <c r="E1818" s="7" t="n"/>
      <c r="F1818" s="7" t="n"/>
      <c r="G1818" s="8" t="n"/>
      <c r="H1818" s="9" t="n"/>
      <c r="I1818" s="10">
        <f>IF(G1818="","",G1818*H1818)</f>
        <v/>
      </c>
      <c r="J1818" s="7" t="n"/>
    </row>
    <row r="1819">
      <c r="A1819" s="6" t="n"/>
      <c r="B1819" s="7" t="n"/>
      <c r="C1819" s="7" t="n"/>
      <c r="D1819" s="7" t="n"/>
      <c r="E1819" s="7" t="n"/>
      <c r="F1819" s="7" t="n"/>
      <c r="G1819" s="8" t="n"/>
      <c r="H1819" s="9" t="n"/>
      <c r="I1819" s="10">
        <f>IF(G1819="","",G1819*H1819)</f>
        <v/>
      </c>
      <c r="J1819" s="7" t="n"/>
    </row>
    <row r="1820">
      <c r="A1820" s="6" t="n"/>
      <c r="B1820" s="7" t="n"/>
      <c r="C1820" s="7" t="n"/>
      <c r="D1820" s="7" t="n"/>
      <c r="E1820" s="7" t="n"/>
      <c r="F1820" s="7" t="n"/>
      <c r="G1820" s="8" t="n"/>
      <c r="H1820" s="9" t="n"/>
      <c r="I1820" s="10">
        <f>IF(G1820="","",G1820*H1820)</f>
        <v/>
      </c>
      <c r="J1820" s="7" t="n"/>
    </row>
    <row r="1821">
      <c r="A1821" s="6" t="n"/>
      <c r="B1821" s="7" t="n"/>
      <c r="C1821" s="7" t="n"/>
      <c r="D1821" s="7" t="n"/>
      <c r="E1821" s="7" t="n"/>
      <c r="F1821" s="7" t="n"/>
      <c r="G1821" s="8" t="n"/>
      <c r="H1821" s="9" t="n"/>
      <c r="I1821" s="10">
        <f>IF(G1821="","",G1821*H1821)</f>
        <v/>
      </c>
      <c r="J1821" s="7" t="n"/>
    </row>
    <row r="1822">
      <c r="A1822" s="6" t="n"/>
      <c r="B1822" s="7" t="n"/>
      <c r="C1822" s="7" t="n"/>
      <c r="D1822" s="7" t="n"/>
      <c r="E1822" s="7" t="n"/>
      <c r="F1822" s="7" t="n"/>
      <c r="G1822" s="8" t="n"/>
      <c r="H1822" s="9" t="n"/>
      <c r="I1822" s="10">
        <f>IF(G1822="","",G1822*H1822)</f>
        <v/>
      </c>
      <c r="J1822" s="7" t="n"/>
    </row>
    <row r="1823">
      <c r="A1823" s="6" t="n"/>
      <c r="B1823" s="7" t="n"/>
      <c r="C1823" s="7" t="n"/>
      <c r="D1823" s="7" t="n"/>
      <c r="E1823" s="7" t="n"/>
      <c r="F1823" s="7" t="n"/>
      <c r="G1823" s="8" t="n"/>
      <c r="H1823" s="9" t="n"/>
      <c r="I1823" s="10">
        <f>IF(G1823="","",G1823*H1823)</f>
        <v/>
      </c>
      <c r="J1823" s="7" t="n"/>
    </row>
    <row r="1824">
      <c r="A1824" s="6" t="n"/>
      <c r="B1824" s="7" t="n"/>
      <c r="C1824" s="7" t="n"/>
      <c r="D1824" s="7" t="n"/>
      <c r="E1824" s="7" t="n"/>
      <c r="F1824" s="7" t="n"/>
      <c r="G1824" s="8" t="n"/>
      <c r="H1824" s="9" t="n"/>
      <c r="I1824" s="10">
        <f>IF(G1824="","",G1824*H1824)</f>
        <v/>
      </c>
      <c r="J1824" s="7" t="n"/>
    </row>
    <row r="1825">
      <c r="A1825" s="6" t="n"/>
      <c r="B1825" s="7" t="n"/>
      <c r="C1825" s="7" t="n"/>
      <c r="D1825" s="7" t="n"/>
      <c r="E1825" s="7" t="n"/>
      <c r="F1825" s="7" t="n"/>
      <c r="G1825" s="8" t="n"/>
      <c r="H1825" s="9" t="n"/>
      <c r="I1825" s="10">
        <f>IF(G1825="","",G1825*H1825)</f>
        <v/>
      </c>
      <c r="J1825" s="7" t="n"/>
    </row>
    <row r="1826">
      <c r="A1826" s="6" t="n"/>
      <c r="B1826" s="7" t="n"/>
      <c r="C1826" s="7" t="n"/>
      <c r="D1826" s="7" t="n"/>
      <c r="E1826" s="7" t="n"/>
      <c r="F1826" s="7" t="n"/>
      <c r="G1826" s="8" t="n"/>
      <c r="H1826" s="9" t="n"/>
      <c r="I1826" s="10">
        <f>IF(G1826="","",G1826*H1826)</f>
        <v/>
      </c>
      <c r="J1826" s="7" t="n"/>
    </row>
    <row r="1827">
      <c r="A1827" s="6" t="n"/>
      <c r="B1827" s="7" t="n"/>
      <c r="C1827" s="7" t="n"/>
      <c r="D1827" s="7" t="n"/>
      <c r="E1827" s="7" t="n"/>
      <c r="F1827" s="7" t="n"/>
      <c r="G1827" s="8" t="n"/>
      <c r="H1827" s="9" t="n"/>
      <c r="I1827" s="10">
        <f>IF(G1827="","",G1827*H1827)</f>
        <v/>
      </c>
      <c r="J1827" s="7" t="n"/>
    </row>
    <row r="1828">
      <c r="A1828" s="6" t="n"/>
      <c r="B1828" s="7" t="n"/>
      <c r="C1828" s="7" t="n"/>
      <c r="D1828" s="7" t="n"/>
      <c r="E1828" s="7" t="n"/>
      <c r="F1828" s="7" t="n"/>
      <c r="G1828" s="8" t="n"/>
      <c r="H1828" s="9" t="n"/>
      <c r="I1828" s="10">
        <f>IF(G1828="","",G1828*H1828)</f>
        <v/>
      </c>
      <c r="J1828" s="7" t="n"/>
    </row>
    <row r="1829">
      <c r="A1829" s="6" t="n"/>
      <c r="B1829" s="7" t="n"/>
      <c r="C1829" s="7" t="n"/>
      <c r="D1829" s="7" t="n"/>
      <c r="E1829" s="7" t="n"/>
      <c r="F1829" s="7" t="n"/>
      <c r="G1829" s="8" t="n"/>
      <c r="H1829" s="9" t="n"/>
      <c r="I1829" s="10">
        <f>IF(G1829="","",G1829*H1829)</f>
        <v/>
      </c>
      <c r="J1829" s="7" t="n"/>
    </row>
    <row r="1830">
      <c r="A1830" s="6" t="n"/>
      <c r="B1830" s="7" t="n"/>
      <c r="C1830" s="7" t="n"/>
      <c r="D1830" s="7" t="n"/>
      <c r="E1830" s="7" t="n"/>
      <c r="F1830" s="7" t="n"/>
      <c r="G1830" s="8" t="n"/>
      <c r="H1830" s="9" t="n"/>
      <c r="I1830" s="10">
        <f>IF(G1830="","",G1830*H1830)</f>
        <v/>
      </c>
      <c r="J1830" s="7" t="n"/>
    </row>
    <row r="1831">
      <c r="A1831" s="6" t="n"/>
      <c r="B1831" s="7" t="n"/>
      <c r="C1831" s="7" t="n"/>
      <c r="D1831" s="7" t="n"/>
      <c r="E1831" s="7" t="n"/>
      <c r="F1831" s="7" t="n"/>
      <c r="G1831" s="8" t="n"/>
      <c r="H1831" s="9" t="n"/>
      <c r="I1831" s="10">
        <f>IF(G1831="","",G1831*H1831)</f>
        <v/>
      </c>
      <c r="J1831" s="7" t="n"/>
    </row>
    <row r="1832">
      <c r="A1832" s="6" t="n"/>
      <c r="B1832" s="7" t="n"/>
      <c r="C1832" s="7" t="n"/>
      <c r="D1832" s="7" t="n"/>
      <c r="E1832" s="7" t="n"/>
      <c r="F1832" s="7" t="n"/>
      <c r="G1832" s="8" t="n"/>
      <c r="H1832" s="9" t="n"/>
      <c r="I1832" s="10">
        <f>IF(G1832="","",G1832*H1832)</f>
        <v/>
      </c>
      <c r="J1832" s="7" t="n"/>
    </row>
    <row r="1833">
      <c r="A1833" s="6" t="n"/>
      <c r="B1833" s="7" t="n"/>
      <c r="C1833" s="7" t="n"/>
      <c r="D1833" s="7" t="n"/>
      <c r="E1833" s="7" t="n"/>
      <c r="F1833" s="7" t="n"/>
      <c r="G1833" s="8" t="n"/>
      <c r="H1833" s="9" t="n"/>
      <c r="I1833" s="10">
        <f>IF(G1833="","",G1833*H1833)</f>
        <v/>
      </c>
      <c r="J1833" s="7" t="n"/>
    </row>
    <row r="1834">
      <c r="A1834" s="6" t="n"/>
      <c r="B1834" s="7" t="n"/>
      <c r="C1834" s="7" t="n"/>
      <c r="D1834" s="7" t="n"/>
      <c r="E1834" s="7" t="n"/>
      <c r="F1834" s="7" t="n"/>
      <c r="G1834" s="8" t="n"/>
      <c r="H1834" s="9" t="n"/>
      <c r="I1834" s="10">
        <f>IF(G1834="","",G1834*H1834)</f>
        <v/>
      </c>
      <c r="J1834" s="7" t="n"/>
    </row>
    <row r="1835">
      <c r="A1835" s="6" t="n"/>
      <c r="B1835" s="7" t="n"/>
      <c r="C1835" s="7" t="n"/>
      <c r="D1835" s="7" t="n"/>
      <c r="E1835" s="7" t="n"/>
      <c r="F1835" s="7" t="n"/>
      <c r="G1835" s="8" t="n"/>
      <c r="H1835" s="9" t="n"/>
      <c r="I1835" s="10">
        <f>IF(G1835="","",G1835*H1835)</f>
        <v/>
      </c>
      <c r="J1835" s="7" t="n"/>
    </row>
    <row r="1836">
      <c r="A1836" s="6" t="n"/>
      <c r="B1836" s="7" t="n"/>
      <c r="C1836" s="7" t="n"/>
      <c r="D1836" s="7" t="n"/>
      <c r="E1836" s="7" t="n"/>
      <c r="F1836" s="7" t="n"/>
      <c r="G1836" s="8" t="n"/>
      <c r="H1836" s="9" t="n"/>
      <c r="I1836" s="10">
        <f>IF(G1836="","",G1836*H1836)</f>
        <v/>
      </c>
      <c r="J1836" s="7" t="n"/>
    </row>
    <row r="1837">
      <c r="A1837" s="6" t="n"/>
      <c r="B1837" s="7" t="n"/>
      <c r="C1837" s="7" t="n"/>
      <c r="D1837" s="7" t="n"/>
      <c r="E1837" s="7" t="n"/>
      <c r="F1837" s="7" t="n"/>
      <c r="G1837" s="8" t="n"/>
      <c r="H1837" s="9" t="n"/>
      <c r="I1837" s="10">
        <f>IF(G1837="","",G1837*H1837)</f>
        <v/>
      </c>
      <c r="J1837" s="7" t="n"/>
    </row>
    <row r="1838">
      <c r="A1838" s="6" t="n"/>
      <c r="B1838" s="7" t="n"/>
      <c r="C1838" s="7" t="n"/>
      <c r="D1838" s="7" t="n"/>
      <c r="E1838" s="7" t="n"/>
      <c r="F1838" s="7" t="n"/>
      <c r="G1838" s="8" t="n"/>
      <c r="H1838" s="9" t="n"/>
      <c r="I1838" s="10">
        <f>IF(G1838="","",G1838*H1838)</f>
        <v/>
      </c>
      <c r="J1838" s="7" t="n"/>
    </row>
    <row r="1839">
      <c r="A1839" s="6" t="n"/>
      <c r="B1839" s="7" t="n"/>
      <c r="C1839" s="7" t="n"/>
      <c r="D1839" s="7" t="n"/>
      <c r="E1839" s="7" t="n"/>
      <c r="F1839" s="7" t="n"/>
      <c r="G1839" s="8" t="n"/>
      <c r="H1839" s="9" t="n"/>
      <c r="I1839" s="10">
        <f>IF(G1839="","",G1839*H1839)</f>
        <v/>
      </c>
      <c r="J1839" s="7" t="n"/>
    </row>
    <row r="1840">
      <c r="A1840" s="6" t="n"/>
      <c r="B1840" s="7" t="n"/>
      <c r="C1840" s="7" t="n"/>
      <c r="D1840" s="7" t="n"/>
      <c r="E1840" s="7" t="n"/>
      <c r="F1840" s="7" t="n"/>
      <c r="G1840" s="8" t="n"/>
      <c r="H1840" s="9" t="n"/>
      <c r="I1840" s="10">
        <f>IF(G1840="","",G1840*H1840)</f>
        <v/>
      </c>
      <c r="J1840" s="7" t="n"/>
    </row>
    <row r="1841">
      <c r="A1841" s="6" t="n"/>
      <c r="B1841" s="7" t="n"/>
      <c r="C1841" s="7" t="n"/>
      <c r="D1841" s="7" t="n"/>
      <c r="E1841" s="7" t="n"/>
      <c r="F1841" s="7" t="n"/>
      <c r="G1841" s="8" t="n"/>
      <c r="H1841" s="9" t="n"/>
      <c r="I1841" s="10">
        <f>IF(G1841="","",G1841*H1841)</f>
        <v/>
      </c>
      <c r="J1841" s="7" t="n"/>
    </row>
    <row r="1842">
      <c r="A1842" s="6" t="n"/>
      <c r="B1842" s="7" t="n"/>
      <c r="C1842" s="7" t="n"/>
      <c r="D1842" s="7" t="n"/>
      <c r="E1842" s="7" t="n"/>
      <c r="F1842" s="7" t="n"/>
      <c r="G1842" s="8" t="n"/>
      <c r="H1842" s="9" t="n"/>
      <c r="I1842" s="10">
        <f>IF(G1842="","",G1842*H1842)</f>
        <v/>
      </c>
      <c r="J1842" s="7" t="n"/>
    </row>
    <row r="1843">
      <c r="A1843" s="6" t="n"/>
      <c r="B1843" s="7" t="n"/>
      <c r="C1843" s="7" t="n"/>
      <c r="D1843" s="7" t="n"/>
      <c r="E1843" s="7" t="n"/>
      <c r="F1843" s="7" t="n"/>
      <c r="G1843" s="8" t="n"/>
      <c r="H1843" s="9" t="n"/>
      <c r="I1843" s="10">
        <f>IF(G1843="","",G1843*H1843)</f>
        <v/>
      </c>
      <c r="J1843" s="7" t="n"/>
    </row>
    <row r="1844">
      <c r="A1844" s="6" t="n"/>
      <c r="B1844" s="7" t="n"/>
      <c r="C1844" s="7" t="n"/>
      <c r="D1844" s="7" t="n"/>
      <c r="E1844" s="7" t="n"/>
      <c r="F1844" s="7" t="n"/>
      <c r="G1844" s="8" t="n"/>
      <c r="H1844" s="9" t="n"/>
      <c r="I1844" s="10">
        <f>IF(G1844="","",G1844*H1844)</f>
        <v/>
      </c>
      <c r="J1844" s="7" t="n"/>
    </row>
    <row r="1845">
      <c r="A1845" s="6" t="n"/>
      <c r="B1845" s="7" t="n"/>
      <c r="C1845" s="7" t="n"/>
      <c r="D1845" s="7" t="n"/>
      <c r="E1845" s="7" t="n"/>
      <c r="F1845" s="7" t="n"/>
      <c r="G1845" s="8" t="n"/>
      <c r="H1845" s="9" t="n"/>
      <c r="I1845" s="10">
        <f>IF(G1845="","",G1845*H1845)</f>
        <v/>
      </c>
      <c r="J1845" s="7" t="n"/>
    </row>
    <row r="1846">
      <c r="A1846" s="6" t="n"/>
      <c r="B1846" s="7" t="n"/>
      <c r="C1846" s="7" t="n"/>
      <c r="D1846" s="7" t="n"/>
      <c r="E1846" s="7" t="n"/>
      <c r="F1846" s="7" t="n"/>
      <c r="G1846" s="8" t="n"/>
      <c r="H1846" s="9" t="n"/>
      <c r="I1846" s="10">
        <f>IF(G1846="","",G1846*H1846)</f>
        <v/>
      </c>
      <c r="J1846" s="7" t="n"/>
    </row>
    <row r="1847">
      <c r="A1847" s="6" t="n"/>
      <c r="B1847" s="7" t="n"/>
      <c r="C1847" s="7" t="n"/>
      <c r="D1847" s="7" t="n"/>
      <c r="E1847" s="7" t="n"/>
      <c r="F1847" s="7" t="n"/>
      <c r="G1847" s="8" t="n"/>
      <c r="H1847" s="9" t="n"/>
      <c r="I1847" s="10">
        <f>IF(G1847="","",G1847*H1847)</f>
        <v/>
      </c>
      <c r="J1847" s="7" t="n"/>
    </row>
    <row r="1848">
      <c r="A1848" s="6" t="n"/>
      <c r="B1848" s="7" t="n"/>
      <c r="C1848" s="7" t="n"/>
      <c r="D1848" s="7" t="n"/>
      <c r="E1848" s="7" t="n"/>
      <c r="F1848" s="7" t="n"/>
      <c r="G1848" s="8" t="n"/>
      <c r="H1848" s="9" t="n"/>
      <c r="I1848" s="10">
        <f>IF(G1848="","",G1848*H1848)</f>
        <v/>
      </c>
      <c r="J1848" s="7" t="n"/>
    </row>
    <row r="1849">
      <c r="A1849" s="6" t="n"/>
      <c r="B1849" s="7" t="n"/>
      <c r="C1849" s="7" t="n"/>
      <c r="D1849" s="7" t="n"/>
      <c r="E1849" s="7" t="n"/>
      <c r="F1849" s="7" t="n"/>
      <c r="G1849" s="8" t="n"/>
      <c r="H1849" s="9" t="n"/>
      <c r="I1849" s="10">
        <f>IF(G1849="","",G1849*H1849)</f>
        <v/>
      </c>
      <c r="J1849" s="7" t="n"/>
    </row>
    <row r="1850">
      <c r="A1850" s="6" t="n"/>
      <c r="B1850" s="7" t="n"/>
      <c r="C1850" s="7" t="n"/>
      <c r="D1850" s="7" t="n"/>
      <c r="E1850" s="7" t="n"/>
      <c r="F1850" s="7" t="n"/>
      <c r="G1850" s="8" t="n"/>
      <c r="H1850" s="9" t="n"/>
      <c r="I1850" s="10">
        <f>IF(G1850="","",G1850*H1850)</f>
        <v/>
      </c>
      <c r="J1850" s="7" t="n"/>
    </row>
    <row r="1851">
      <c r="A1851" s="6" t="n"/>
      <c r="B1851" s="7" t="n"/>
      <c r="C1851" s="7" t="n"/>
      <c r="D1851" s="7" t="n"/>
      <c r="E1851" s="7" t="n"/>
      <c r="F1851" s="7" t="n"/>
      <c r="G1851" s="8" t="n"/>
      <c r="H1851" s="9" t="n"/>
      <c r="I1851" s="10">
        <f>IF(G1851="","",G1851*H1851)</f>
        <v/>
      </c>
      <c r="J1851" s="7" t="n"/>
    </row>
    <row r="1852">
      <c r="A1852" s="6" t="n"/>
      <c r="B1852" s="7" t="n"/>
      <c r="C1852" s="7" t="n"/>
      <c r="D1852" s="7" t="n"/>
      <c r="E1852" s="7" t="n"/>
      <c r="F1852" s="7" t="n"/>
      <c r="G1852" s="8" t="n"/>
      <c r="H1852" s="9" t="n"/>
      <c r="I1852" s="10">
        <f>IF(G1852="","",G1852*H1852)</f>
        <v/>
      </c>
      <c r="J1852" s="7" t="n"/>
    </row>
    <row r="1853">
      <c r="A1853" s="6" t="n"/>
      <c r="B1853" s="7" t="n"/>
      <c r="C1853" s="7" t="n"/>
      <c r="D1853" s="7" t="n"/>
      <c r="E1853" s="7" t="n"/>
      <c r="F1853" s="7" t="n"/>
      <c r="G1853" s="8" t="n"/>
      <c r="H1853" s="9" t="n"/>
      <c r="I1853" s="10">
        <f>IF(G1853="","",G1853*H1853)</f>
        <v/>
      </c>
      <c r="J1853" s="7" t="n"/>
    </row>
    <row r="1854">
      <c r="A1854" s="6" t="n"/>
      <c r="B1854" s="7" t="n"/>
      <c r="C1854" s="7" t="n"/>
      <c r="D1854" s="7" t="n"/>
      <c r="E1854" s="7" t="n"/>
      <c r="F1854" s="7" t="n"/>
      <c r="G1854" s="8" t="n"/>
      <c r="H1854" s="9" t="n"/>
      <c r="I1854" s="10">
        <f>IF(G1854="","",G1854*H1854)</f>
        <v/>
      </c>
      <c r="J1854" s="7" t="n"/>
    </row>
    <row r="1855">
      <c r="A1855" s="6" t="n"/>
      <c r="B1855" s="7" t="n"/>
      <c r="C1855" s="7" t="n"/>
      <c r="D1855" s="7" t="n"/>
      <c r="E1855" s="7" t="n"/>
      <c r="F1855" s="7" t="n"/>
      <c r="G1855" s="8" t="n"/>
      <c r="H1855" s="9" t="n"/>
      <c r="I1855" s="10">
        <f>IF(G1855="","",G1855*H1855)</f>
        <v/>
      </c>
      <c r="J1855" s="7" t="n"/>
    </row>
    <row r="1856">
      <c r="A1856" s="6" t="n"/>
      <c r="B1856" s="7" t="n"/>
      <c r="C1856" s="7" t="n"/>
      <c r="D1856" s="7" t="n"/>
      <c r="E1856" s="7" t="n"/>
      <c r="F1856" s="7" t="n"/>
      <c r="G1856" s="8" t="n"/>
      <c r="H1856" s="9" t="n"/>
      <c r="I1856" s="10">
        <f>IF(G1856="","",G1856*H1856)</f>
        <v/>
      </c>
      <c r="J1856" s="7" t="n"/>
    </row>
    <row r="1857">
      <c r="A1857" s="6" t="n"/>
      <c r="B1857" s="7" t="n"/>
      <c r="C1857" s="7" t="n"/>
      <c r="D1857" s="7" t="n"/>
      <c r="E1857" s="7" t="n"/>
      <c r="F1857" s="7" t="n"/>
      <c r="G1857" s="8" t="n"/>
      <c r="H1857" s="9" t="n"/>
      <c r="I1857" s="10">
        <f>IF(G1857="","",G1857*H1857)</f>
        <v/>
      </c>
      <c r="J1857" s="7" t="n"/>
    </row>
    <row r="1858">
      <c r="A1858" s="6" t="n"/>
      <c r="B1858" s="7" t="n"/>
      <c r="C1858" s="7" t="n"/>
      <c r="D1858" s="7" t="n"/>
      <c r="E1858" s="7" t="n"/>
      <c r="F1858" s="7" t="n"/>
      <c r="G1858" s="8" t="n"/>
      <c r="H1858" s="9" t="n"/>
      <c r="I1858" s="10">
        <f>IF(G1858="","",G1858*H1858)</f>
        <v/>
      </c>
      <c r="J1858" s="7" t="n"/>
    </row>
    <row r="1859">
      <c r="A1859" s="6" t="n"/>
      <c r="B1859" s="7" t="n"/>
      <c r="C1859" s="7" t="n"/>
      <c r="D1859" s="7" t="n"/>
      <c r="E1859" s="7" t="n"/>
      <c r="F1859" s="7" t="n"/>
      <c r="G1859" s="8" t="n"/>
      <c r="H1859" s="9" t="n"/>
      <c r="I1859" s="10">
        <f>IF(G1859="","",G1859*H1859)</f>
        <v/>
      </c>
      <c r="J1859" s="7" t="n"/>
    </row>
    <row r="1860">
      <c r="A1860" s="6" t="n"/>
      <c r="B1860" s="7" t="n"/>
      <c r="C1860" s="7" t="n"/>
      <c r="D1860" s="7" t="n"/>
      <c r="E1860" s="7" t="n"/>
      <c r="F1860" s="7" t="n"/>
      <c r="G1860" s="8" t="n"/>
      <c r="H1860" s="9" t="n"/>
      <c r="I1860" s="10">
        <f>IF(G1860="","",G1860*H1860)</f>
        <v/>
      </c>
      <c r="J1860" s="7" t="n"/>
    </row>
    <row r="1861">
      <c r="A1861" s="6" t="n"/>
      <c r="B1861" s="7" t="n"/>
      <c r="C1861" s="7" t="n"/>
      <c r="D1861" s="7" t="n"/>
      <c r="E1861" s="7" t="n"/>
      <c r="F1861" s="7" t="n"/>
      <c r="G1861" s="8" t="n"/>
      <c r="H1861" s="9" t="n"/>
      <c r="I1861" s="10">
        <f>IF(G1861="","",G1861*H1861)</f>
        <v/>
      </c>
      <c r="J1861" s="7" t="n"/>
    </row>
    <row r="1862">
      <c r="A1862" s="6" t="n"/>
      <c r="B1862" s="7" t="n"/>
      <c r="C1862" s="7" t="n"/>
      <c r="D1862" s="7" t="n"/>
      <c r="E1862" s="7" t="n"/>
      <c r="F1862" s="7" t="n"/>
      <c r="G1862" s="8" t="n"/>
      <c r="H1862" s="9" t="n"/>
      <c r="I1862" s="10">
        <f>IF(G1862="","",G1862*H1862)</f>
        <v/>
      </c>
      <c r="J1862" s="7" t="n"/>
    </row>
    <row r="1863">
      <c r="A1863" s="6" t="n"/>
      <c r="B1863" s="7" t="n"/>
      <c r="C1863" s="7" t="n"/>
      <c r="D1863" s="7" t="n"/>
      <c r="E1863" s="7" t="n"/>
      <c r="F1863" s="7" t="n"/>
      <c r="G1863" s="8" t="n"/>
      <c r="H1863" s="9" t="n"/>
      <c r="I1863" s="10">
        <f>IF(G1863="","",G1863*H1863)</f>
        <v/>
      </c>
      <c r="J1863" s="7" t="n"/>
    </row>
    <row r="1864">
      <c r="A1864" s="6" t="n"/>
      <c r="B1864" s="7" t="n"/>
      <c r="C1864" s="7" t="n"/>
      <c r="D1864" s="7" t="n"/>
      <c r="E1864" s="7" t="n"/>
      <c r="F1864" s="7" t="n"/>
      <c r="G1864" s="8" t="n"/>
      <c r="H1864" s="9" t="n"/>
      <c r="I1864" s="10">
        <f>IF(G1864="","",G1864*H1864)</f>
        <v/>
      </c>
      <c r="J1864" s="7" t="n"/>
    </row>
    <row r="1865">
      <c r="A1865" s="6" t="n"/>
      <c r="B1865" s="7" t="n"/>
      <c r="C1865" s="7" t="n"/>
      <c r="D1865" s="7" t="n"/>
      <c r="E1865" s="7" t="n"/>
      <c r="F1865" s="7" t="n"/>
      <c r="G1865" s="8" t="n"/>
      <c r="H1865" s="9" t="n"/>
      <c r="I1865" s="10">
        <f>IF(G1865="","",G1865*H1865)</f>
        <v/>
      </c>
      <c r="J1865" s="7" t="n"/>
    </row>
    <row r="1866">
      <c r="A1866" s="6" t="n"/>
      <c r="B1866" s="7" t="n"/>
      <c r="C1866" s="7" t="n"/>
      <c r="D1866" s="7" t="n"/>
      <c r="E1866" s="7" t="n"/>
      <c r="F1866" s="7" t="n"/>
      <c r="G1866" s="8" t="n"/>
      <c r="H1866" s="9" t="n"/>
      <c r="I1866" s="10">
        <f>IF(G1866="","",G1866*H1866)</f>
        <v/>
      </c>
      <c r="J1866" s="7" t="n"/>
    </row>
    <row r="1867">
      <c r="A1867" s="6" t="n"/>
      <c r="B1867" s="7" t="n"/>
      <c r="C1867" s="7" t="n"/>
      <c r="D1867" s="7" t="n"/>
      <c r="E1867" s="7" t="n"/>
      <c r="F1867" s="7" t="n"/>
      <c r="G1867" s="8" t="n"/>
      <c r="H1867" s="9" t="n"/>
      <c r="I1867" s="10">
        <f>IF(G1867="","",G1867*H1867)</f>
        <v/>
      </c>
      <c r="J1867" s="7" t="n"/>
    </row>
    <row r="1868">
      <c r="A1868" s="6" t="n"/>
      <c r="B1868" s="7" t="n"/>
      <c r="C1868" s="7" t="n"/>
      <c r="D1868" s="7" t="n"/>
      <c r="E1868" s="7" t="n"/>
      <c r="F1868" s="7" t="n"/>
      <c r="G1868" s="8" t="n"/>
      <c r="H1868" s="9" t="n"/>
      <c r="I1868" s="10">
        <f>IF(G1868="","",G1868*H1868)</f>
        <v/>
      </c>
      <c r="J1868" s="7" t="n"/>
    </row>
    <row r="1869">
      <c r="A1869" s="6" t="n"/>
      <c r="B1869" s="7" t="n"/>
      <c r="C1869" s="7" t="n"/>
      <c r="D1869" s="7" t="n"/>
      <c r="E1869" s="7" t="n"/>
      <c r="F1869" s="7" t="n"/>
      <c r="G1869" s="8" t="n"/>
      <c r="H1869" s="9" t="n"/>
      <c r="I1869" s="10">
        <f>IF(G1869="","",G1869*H1869)</f>
        <v/>
      </c>
      <c r="J1869" s="7" t="n"/>
    </row>
    <row r="1870">
      <c r="A1870" s="6" t="n"/>
      <c r="B1870" s="7" t="n"/>
      <c r="C1870" s="7" t="n"/>
      <c r="D1870" s="7" t="n"/>
      <c r="E1870" s="7" t="n"/>
      <c r="F1870" s="7" t="n"/>
      <c r="G1870" s="8" t="n"/>
      <c r="H1870" s="9" t="n"/>
      <c r="I1870" s="10">
        <f>IF(G1870="","",G1870*H1870)</f>
        <v/>
      </c>
      <c r="J1870" s="7" t="n"/>
    </row>
    <row r="1871">
      <c r="A1871" s="6" t="n"/>
      <c r="B1871" s="7" t="n"/>
      <c r="C1871" s="7" t="n"/>
      <c r="D1871" s="7" t="n"/>
      <c r="E1871" s="7" t="n"/>
      <c r="F1871" s="7" t="n"/>
      <c r="G1871" s="8" t="n"/>
      <c r="H1871" s="9" t="n"/>
      <c r="I1871" s="10">
        <f>IF(G1871="","",G1871*H1871)</f>
        <v/>
      </c>
      <c r="J1871" s="7" t="n"/>
    </row>
    <row r="1872">
      <c r="A1872" s="6" t="n"/>
      <c r="B1872" s="7" t="n"/>
      <c r="C1872" s="7" t="n"/>
      <c r="D1872" s="7" t="n"/>
      <c r="E1872" s="7" t="n"/>
      <c r="F1872" s="7" t="n"/>
      <c r="G1872" s="8" t="n"/>
      <c r="H1872" s="9" t="n"/>
      <c r="I1872" s="10">
        <f>IF(G1872="","",G1872*H1872)</f>
        <v/>
      </c>
      <c r="J1872" s="7" t="n"/>
    </row>
    <row r="1873">
      <c r="A1873" s="6" t="n"/>
      <c r="B1873" s="7" t="n"/>
      <c r="C1873" s="7" t="n"/>
      <c r="D1873" s="7" t="n"/>
      <c r="E1873" s="7" t="n"/>
      <c r="F1873" s="7" t="n"/>
      <c r="G1873" s="8" t="n"/>
      <c r="H1873" s="9" t="n"/>
      <c r="I1873" s="10">
        <f>IF(G1873="","",G1873*H1873)</f>
        <v/>
      </c>
      <c r="J1873" s="7" t="n"/>
    </row>
    <row r="1874">
      <c r="A1874" s="6" t="n"/>
      <c r="B1874" s="7" t="n"/>
      <c r="C1874" s="7" t="n"/>
      <c r="D1874" s="7" t="n"/>
      <c r="E1874" s="7" t="n"/>
      <c r="F1874" s="7" t="n"/>
      <c r="G1874" s="8" t="n"/>
      <c r="H1874" s="9" t="n"/>
      <c r="I1874" s="10">
        <f>IF(G1874="","",G1874*H1874)</f>
        <v/>
      </c>
      <c r="J1874" s="7" t="n"/>
    </row>
    <row r="1875">
      <c r="A1875" s="6" t="n"/>
      <c r="B1875" s="7" t="n"/>
      <c r="C1875" s="7" t="n"/>
      <c r="D1875" s="7" t="n"/>
      <c r="E1875" s="7" t="n"/>
      <c r="F1875" s="7" t="n"/>
      <c r="G1875" s="8" t="n"/>
      <c r="H1875" s="9" t="n"/>
      <c r="I1875" s="10">
        <f>IF(G1875="","",G1875*H1875)</f>
        <v/>
      </c>
      <c r="J1875" s="7" t="n"/>
    </row>
    <row r="1876">
      <c r="A1876" s="6" t="n"/>
      <c r="B1876" s="7" t="n"/>
      <c r="C1876" s="7" t="n"/>
      <c r="D1876" s="7" t="n"/>
      <c r="E1876" s="7" t="n"/>
      <c r="F1876" s="7" t="n"/>
      <c r="G1876" s="8" t="n"/>
      <c r="H1876" s="9" t="n"/>
      <c r="I1876" s="10">
        <f>IF(G1876="","",G1876*H1876)</f>
        <v/>
      </c>
      <c r="J1876" s="7" t="n"/>
    </row>
    <row r="1877">
      <c r="A1877" s="6" t="n"/>
      <c r="B1877" s="7" t="n"/>
      <c r="C1877" s="7" t="n"/>
      <c r="D1877" s="7" t="n"/>
      <c r="E1877" s="7" t="n"/>
      <c r="F1877" s="7" t="n"/>
      <c r="G1877" s="8" t="n"/>
      <c r="H1877" s="9" t="n"/>
      <c r="I1877" s="10">
        <f>IF(G1877="","",G1877*H1877)</f>
        <v/>
      </c>
      <c r="J1877" s="7" t="n"/>
    </row>
    <row r="1878">
      <c r="A1878" s="6" t="n"/>
      <c r="B1878" s="7" t="n"/>
      <c r="C1878" s="7" t="n"/>
      <c r="D1878" s="7" t="n"/>
      <c r="E1878" s="7" t="n"/>
      <c r="F1878" s="7" t="n"/>
      <c r="G1878" s="8" t="n"/>
      <c r="H1878" s="9" t="n"/>
      <c r="I1878" s="10">
        <f>IF(G1878="","",G1878*H1878)</f>
        <v/>
      </c>
      <c r="J1878" s="7" t="n"/>
    </row>
    <row r="1879">
      <c r="A1879" s="6" t="n"/>
      <c r="B1879" s="7" t="n"/>
      <c r="C1879" s="7" t="n"/>
      <c r="D1879" s="7" t="n"/>
      <c r="E1879" s="7" t="n"/>
      <c r="F1879" s="7" t="n"/>
      <c r="G1879" s="8" t="n"/>
      <c r="H1879" s="9" t="n"/>
      <c r="I1879" s="10">
        <f>IF(G1879="","",G1879*H1879)</f>
        <v/>
      </c>
      <c r="J1879" s="7" t="n"/>
    </row>
    <row r="1880">
      <c r="A1880" s="6" t="n"/>
      <c r="B1880" s="7" t="n"/>
      <c r="C1880" s="7" t="n"/>
      <c r="D1880" s="7" t="n"/>
      <c r="E1880" s="7" t="n"/>
      <c r="F1880" s="7" t="n"/>
      <c r="G1880" s="8" t="n"/>
      <c r="H1880" s="9" t="n"/>
      <c r="I1880" s="10">
        <f>IF(G1880="","",G1880*H1880)</f>
        <v/>
      </c>
      <c r="J1880" s="7" t="n"/>
    </row>
    <row r="1881">
      <c r="A1881" s="6" t="n"/>
      <c r="B1881" s="7" t="n"/>
      <c r="C1881" s="7" t="n"/>
      <c r="D1881" s="7" t="n"/>
      <c r="E1881" s="7" t="n"/>
      <c r="F1881" s="7" t="n"/>
      <c r="G1881" s="8" t="n"/>
      <c r="H1881" s="9" t="n"/>
      <c r="I1881" s="10">
        <f>IF(G1881="","",G1881*H1881)</f>
        <v/>
      </c>
      <c r="J1881" s="7" t="n"/>
    </row>
    <row r="1882">
      <c r="A1882" s="6" t="n"/>
      <c r="B1882" s="7" t="n"/>
      <c r="C1882" s="7" t="n"/>
      <c r="D1882" s="7" t="n"/>
      <c r="E1882" s="7" t="n"/>
      <c r="F1882" s="7" t="n"/>
      <c r="G1882" s="8" t="n"/>
      <c r="H1882" s="9" t="n"/>
      <c r="I1882" s="10">
        <f>IF(G1882="","",G1882*H1882)</f>
        <v/>
      </c>
      <c r="J1882" s="7" t="n"/>
    </row>
    <row r="1883">
      <c r="A1883" s="6" t="n"/>
      <c r="B1883" s="7" t="n"/>
      <c r="C1883" s="7" t="n"/>
      <c r="D1883" s="7" t="n"/>
      <c r="E1883" s="7" t="n"/>
      <c r="F1883" s="7" t="n"/>
      <c r="G1883" s="8" t="n"/>
      <c r="H1883" s="9" t="n"/>
      <c r="I1883" s="10">
        <f>IF(G1883="","",G1883*H1883)</f>
        <v/>
      </c>
      <c r="J1883" s="7" t="n"/>
    </row>
    <row r="1884">
      <c r="A1884" s="6" t="n"/>
      <c r="B1884" s="7" t="n"/>
      <c r="C1884" s="7" t="n"/>
      <c r="D1884" s="7" t="n"/>
      <c r="E1884" s="7" t="n"/>
      <c r="F1884" s="7" t="n"/>
      <c r="G1884" s="8" t="n"/>
      <c r="H1884" s="9" t="n"/>
      <c r="I1884" s="10">
        <f>IF(G1884="","",G1884*H1884)</f>
        <v/>
      </c>
      <c r="J1884" s="7" t="n"/>
    </row>
    <row r="1885">
      <c r="A1885" s="6" t="n"/>
      <c r="B1885" s="7" t="n"/>
      <c r="C1885" s="7" t="n"/>
      <c r="D1885" s="7" t="n"/>
      <c r="E1885" s="7" t="n"/>
      <c r="F1885" s="7" t="n"/>
      <c r="G1885" s="8" t="n"/>
      <c r="H1885" s="9" t="n"/>
      <c r="I1885" s="10">
        <f>IF(G1885="","",G1885*H1885)</f>
        <v/>
      </c>
      <c r="J1885" s="7" t="n"/>
    </row>
    <row r="1886">
      <c r="A1886" s="6" t="n"/>
      <c r="B1886" s="7" t="n"/>
      <c r="C1886" s="7" t="n"/>
      <c r="D1886" s="7" t="n"/>
      <c r="E1886" s="7" t="n"/>
      <c r="F1886" s="7" t="n"/>
      <c r="G1886" s="8" t="n"/>
      <c r="H1886" s="9" t="n"/>
      <c r="I1886" s="10">
        <f>IF(G1886="","",G1886*H1886)</f>
        <v/>
      </c>
      <c r="J1886" s="7" t="n"/>
    </row>
    <row r="1887">
      <c r="A1887" s="6" t="n"/>
      <c r="B1887" s="7" t="n"/>
      <c r="C1887" s="7" t="n"/>
      <c r="D1887" s="7" t="n"/>
      <c r="E1887" s="7" t="n"/>
      <c r="F1887" s="7" t="n"/>
      <c r="G1887" s="8" t="n"/>
      <c r="H1887" s="9" t="n"/>
      <c r="I1887" s="10">
        <f>IF(G1887="","",G1887*H1887)</f>
        <v/>
      </c>
      <c r="J1887" s="7" t="n"/>
    </row>
    <row r="1888">
      <c r="A1888" s="6" t="n"/>
      <c r="B1888" s="7" t="n"/>
      <c r="C1888" s="7" t="n"/>
      <c r="D1888" s="7" t="n"/>
      <c r="E1888" s="7" t="n"/>
      <c r="F1888" s="7" t="n"/>
      <c r="G1888" s="8" t="n"/>
      <c r="H1888" s="9" t="n"/>
      <c r="I1888" s="10">
        <f>IF(G1888="","",G1888*H1888)</f>
        <v/>
      </c>
      <c r="J1888" s="7" t="n"/>
    </row>
    <row r="1889">
      <c r="A1889" s="6" t="n"/>
      <c r="B1889" s="7" t="n"/>
      <c r="C1889" s="7" t="n"/>
      <c r="D1889" s="7" t="n"/>
      <c r="E1889" s="7" t="n"/>
      <c r="F1889" s="7" t="n"/>
      <c r="G1889" s="8" t="n"/>
      <c r="H1889" s="9" t="n"/>
      <c r="I1889" s="10">
        <f>IF(G1889="","",G1889*H1889)</f>
        <v/>
      </c>
      <c r="J1889" s="7" t="n"/>
    </row>
    <row r="1890">
      <c r="A1890" s="6" t="n"/>
      <c r="B1890" s="7" t="n"/>
      <c r="C1890" s="7" t="n"/>
      <c r="D1890" s="7" t="n"/>
      <c r="E1890" s="7" t="n"/>
      <c r="F1890" s="7" t="n"/>
      <c r="G1890" s="8" t="n"/>
      <c r="H1890" s="9" t="n"/>
      <c r="I1890" s="10">
        <f>IF(G1890="","",G1890*H1890)</f>
        <v/>
      </c>
      <c r="J1890" s="7" t="n"/>
    </row>
    <row r="1891">
      <c r="A1891" s="6" t="n"/>
      <c r="B1891" s="7" t="n"/>
      <c r="C1891" s="7" t="n"/>
      <c r="D1891" s="7" t="n"/>
      <c r="E1891" s="7" t="n"/>
      <c r="F1891" s="7" t="n"/>
      <c r="G1891" s="8" t="n"/>
      <c r="H1891" s="9" t="n"/>
      <c r="I1891" s="10">
        <f>IF(G1891="","",G1891*H1891)</f>
        <v/>
      </c>
      <c r="J1891" s="7" t="n"/>
    </row>
    <row r="1892">
      <c r="A1892" s="6" t="n"/>
      <c r="B1892" s="7" t="n"/>
      <c r="C1892" s="7" t="n"/>
      <c r="D1892" s="7" t="n"/>
      <c r="E1892" s="7" t="n"/>
      <c r="F1892" s="7" t="n"/>
      <c r="G1892" s="8" t="n"/>
      <c r="H1892" s="9" t="n"/>
      <c r="I1892" s="10">
        <f>IF(G1892="","",G1892*H1892)</f>
        <v/>
      </c>
      <c r="J1892" s="7" t="n"/>
    </row>
    <row r="1893">
      <c r="A1893" s="6" t="n"/>
      <c r="B1893" s="7" t="n"/>
      <c r="C1893" s="7" t="n"/>
      <c r="D1893" s="7" t="n"/>
      <c r="E1893" s="7" t="n"/>
      <c r="F1893" s="7" t="n"/>
      <c r="G1893" s="8" t="n"/>
      <c r="H1893" s="9" t="n"/>
      <c r="I1893" s="10">
        <f>IF(G1893="","",G1893*H1893)</f>
        <v/>
      </c>
      <c r="J1893" s="7" t="n"/>
    </row>
    <row r="1894">
      <c r="A1894" s="6" t="n"/>
      <c r="B1894" s="7" t="n"/>
      <c r="C1894" s="7" t="n"/>
      <c r="D1894" s="7" t="n"/>
      <c r="E1894" s="7" t="n"/>
      <c r="F1894" s="7" t="n"/>
      <c r="G1894" s="8" t="n"/>
      <c r="H1894" s="9" t="n"/>
      <c r="I1894" s="10">
        <f>IF(G1894="","",G1894*H1894)</f>
        <v/>
      </c>
      <c r="J1894" s="7" t="n"/>
    </row>
    <row r="1895">
      <c r="A1895" s="6" t="n"/>
      <c r="B1895" s="7" t="n"/>
      <c r="C1895" s="7" t="n"/>
      <c r="D1895" s="7" t="n"/>
      <c r="E1895" s="7" t="n"/>
      <c r="F1895" s="7" t="n"/>
      <c r="G1895" s="8" t="n"/>
      <c r="H1895" s="9" t="n"/>
      <c r="I1895" s="10">
        <f>IF(G1895="","",G1895*H1895)</f>
        <v/>
      </c>
      <c r="J1895" s="7" t="n"/>
    </row>
    <row r="1896">
      <c r="A1896" s="6" t="n"/>
      <c r="B1896" s="7" t="n"/>
      <c r="C1896" s="7" t="n"/>
      <c r="D1896" s="7" t="n"/>
      <c r="E1896" s="7" t="n"/>
      <c r="F1896" s="7" t="n"/>
      <c r="G1896" s="8" t="n"/>
      <c r="H1896" s="9" t="n"/>
      <c r="I1896" s="10">
        <f>IF(G1896="","",G1896*H1896)</f>
        <v/>
      </c>
      <c r="J1896" s="7" t="n"/>
    </row>
    <row r="1897">
      <c r="A1897" s="6" t="n"/>
      <c r="B1897" s="7" t="n"/>
      <c r="C1897" s="7" t="n"/>
      <c r="D1897" s="7" t="n"/>
      <c r="E1897" s="7" t="n"/>
      <c r="F1897" s="7" t="n"/>
      <c r="G1897" s="8" t="n"/>
      <c r="H1897" s="9" t="n"/>
      <c r="I1897" s="10">
        <f>IF(G1897="","",G1897*H1897)</f>
        <v/>
      </c>
      <c r="J1897" s="7" t="n"/>
    </row>
    <row r="1898">
      <c r="A1898" s="6" t="n"/>
      <c r="B1898" s="7" t="n"/>
      <c r="C1898" s="7" t="n"/>
      <c r="D1898" s="7" t="n"/>
      <c r="E1898" s="7" t="n"/>
      <c r="F1898" s="7" t="n"/>
      <c r="G1898" s="8" t="n"/>
      <c r="H1898" s="9" t="n"/>
      <c r="I1898" s="10">
        <f>IF(G1898="","",G1898*H1898)</f>
        <v/>
      </c>
      <c r="J1898" s="7" t="n"/>
    </row>
    <row r="1899">
      <c r="A1899" s="6" t="n"/>
      <c r="B1899" s="7" t="n"/>
      <c r="C1899" s="7" t="n"/>
      <c r="D1899" s="7" t="n"/>
      <c r="E1899" s="7" t="n"/>
      <c r="F1899" s="7" t="n"/>
      <c r="G1899" s="8" t="n"/>
      <c r="H1899" s="9" t="n"/>
      <c r="I1899" s="10">
        <f>IF(G1899="","",G1899*H1899)</f>
        <v/>
      </c>
      <c r="J1899" s="7" t="n"/>
    </row>
    <row r="1900">
      <c r="A1900" s="6" t="n"/>
      <c r="B1900" s="7" t="n"/>
      <c r="C1900" s="7" t="n"/>
      <c r="D1900" s="7" t="n"/>
      <c r="E1900" s="7" t="n"/>
      <c r="F1900" s="7" t="n"/>
      <c r="G1900" s="8" t="n"/>
      <c r="H1900" s="9" t="n"/>
      <c r="I1900" s="10">
        <f>IF(G1900="","",G1900*H1900)</f>
        <v/>
      </c>
      <c r="J1900" s="7" t="n"/>
    </row>
    <row r="1901">
      <c r="A1901" s="6" t="n"/>
      <c r="B1901" s="7" t="n"/>
      <c r="C1901" s="7" t="n"/>
      <c r="D1901" s="7" t="n"/>
      <c r="E1901" s="7" t="n"/>
      <c r="F1901" s="7" t="n"/>
      <c r="G1901" s="8" t="n"/>
      <c r="H1901" s="9" t="n"/>
      <c r="I1901" s="10">
        <f>IF(G1901="","",G1901*H1901)</f>
        <v/>
      </c>
      <c r="J1901" s="7" t="n"/>
    </row>
    <row r="1902">
      <c r="A1902" s="6" t="n"/>
      <c r="B1902" s="7" t="n"/>
      <c r="C1902" s="7" t="n"/>
      <c r="D1902" s="7" t="n"/>
      <c r="E1902" s="7" t="n"/>
      <c r="F1902" s="7" t="n"/>
      <c r="G1902" s="8" t="n"/>
      <c r="H1902" s="9" t="n"/>
      <c r="I1902" s="10">
        <f>IF(G1902="","",G1902*H1902)</f>
        <v/>
      </c>
      <c r="J1902" s="7" t="n"/>
    </row>
    <row r="1903">
      <c r="A1903" s="6" t="n"/>
      <c r="B1903" s="7" t="n"/>
      <c r="C1903" s="7" t="n"/>
      <c r="D1903" s="7" t="n"/>
      <c r="E1903" s="7" t="n"/>
      <c r="F1903" s="7" t="n"/>
      <c r="G1903" s="8" t="n"/>
      <c r="H1903" s="9" t="n"/>
      <c r="I1903" s="10">
        <f>IF(G1903="","",G1903*H1903)</f>
        <v/>
      </c>
      <c r="J1903" s="7" t="n"/>
    </row>
    <row r="1904">
      <c r="A1904" s="6" t="n"/>
      <c r="B1904" s="7" t="n"/>
      <c r="C1904" s="7" t="n"/>
      <c r="D1904" s="7" t="n"/>
      <c r="E1904" s="7" t="n"/>
      <c r="F1904" s="7" t="n"/>
      <c r="G1904" s="8" t="n"/>
      <c r="H1904" s="9" t="n"/>
      <c r="I1904" s="10">
        <f>IF(G1904="","",G1904*H1904)</f>
        <v/>
      </c>
      <c r="J1904" s="7" t="n"/>
    </row>
    <row r="1905">
      <c r="A1905" s="6" t="n"/>
      <c r="B1905" s="7" t="n"/>
      <c r="C1905" s="7" t="n"/>
      <c r="D1905" s="7" t="n"/>
      <c r="E1905" s="7" t="n"/>
      <c r="F1905" s="7" t="n"/>
      <c r="G1905" s="8" t="n"/>
      <c r="H1905" s="9" t="n"/>
      <c r="I1905" s="10">
        <f>IF(G1905="","",G1905*H1905)</f>
        <v/>
      </c>
      <c r="J1905" s="7" t="n"/>
    </row>
    <row r="1906">
      <c r="A1906" s="6" t="n"/>
      <c r="B1906" s="7" t="n"/>
      <c r="C1906" s="7" t="n"/>
      <c r="D1906" s="7" t="n"/>
      <c r="E1906" s="7" t="n"/>
      <c r="F1906" s="7" t="n"/>
      <c r="G1906" s="8" t="n"/>
      <c r="H1906" s="9" t="n"/>
      <c r="I1906" s="10">
        <f>IF(G1906="","",G1906*H1906)</f>
        <v/>
      </c>
      <c r="J1906" s="7" t="n"/>
    </row>
    <row r="1907">
      <c r="A1907" s="6" t="n"/>
      <c r="B1907" s="7" t="n"/>
      <c r="C1907" s="7" t="n"/>
      <c r="D1907" s="7" t="n"/>
      <c r="E1907" s="7" t="n"/>
      <c r="F1907" s="7" t="n"/>
      <c r="G1907" s="8" t="n"/>
      <c r="H1907" s="9" t="n"/>
      <c r="I1907" s="10">
        <f>IF(G1907="","",G1907*H1907)</f>
        <v/>
      </c>
      <c r="J1907" s="7" t="n"/>
    </row>
    <row r="1908">
      <c r="A1908" s="6" t="n"/>
      <c r="B1908" s="7" t="n"/>
      <c r="C1908" s="7" t="n"/>
      <c r="D1908" s="7" t="n"/>
      <c r="E1908" s="7" t="n"/>
      <c r="F1908" s="7" t="n"/>
      <c r="G1908" s="8" t="n"/>
      <c r="H1908" s="9" t="n"/>
      <c r="I1908" s="10">
        <f>IF(G1908="","",G1908*H1908)</f>
        <v/>
      </c>
      <c r="J1908" s="7" t="n"/>
    </row>
    <row r="1909">
      <c r="A1909" s="6" t="n"/>
      <c r="B1909" s="7" t="n"/>
      <c r="C1909" s="7" t="n"/>
      <c r="D1909" s="7" t="n"/>
      <c r="E1909" s="7" t="n"/>
      <c r="F1909" s="7" t="n"/>
      <c r="G1909" s="8" t="n"/>
      <c r="H1909" s="9" t="n"/>
      <c r="I1909" s="10">
        <f>IF(G1909="","",G1909*H1909)</f>
        <v/>
      </c>
      <c r="J1909" s="7" t="n"/>
    </row>
    <row r="1910">
      <c r="A1910" s="6" t="n"/>
      <c r="B1910" s="7" t="n"/>
      <c r="C1910" s="7" t="n"/>
      <c r="D1910" s="7" t="n"/>
      <c r="E1910" s="7" t="n"/>
      <c r="F1910" s="7" t="n"/>
      <c r="G1910" s="8" t="n"/>
      <c r="H1910" s="9" t="n"/>
      <c r="I1910" s="10">
        <f>IF(G1910="","",G1910*H1910)</f>
        <v/>
      </c>
      <c r="J1910" s="7" t="n"/>
    </row>
    <row r="1911">
      <c r="A1911" s="6" t="n"/>
      <c r="B1911" s="7" t="n"/>
      <c r="C1911" s="7" t="n"/>
      <c r="D1911" s="7" t="n"/>
      <c r="E1911" s="7" t="n"/>
      <c r="F1911" s="7" t="n"/>
      <c r="G1911" s="8" t="n"/>
      <c r="H1911" s="9" t="n"/>
      <c r="I1911" s="10">
        <f>IF(G1911="","",G1911*H1911)</f>
        <v/>
      </c>
      <c r="J1911" s="7" t="n"/>
    </row>
    <row r="1912">
      <c r="A1912" s="6" t="n"/>
      <c r="B1912" s="7" t="n"/>
      <c r="C1912" s="7" t="n"/>
      <c r="D1912" s="7" t="n"/>
      <c r="E1912" s="7" t="n"/>
      <c r="F1912" s="7" t="n"/>
      <c r="G1912" s="8" t="n"/>
      <c r="H1912" s="9" t="n"/>
      <c r="I1912" s="10">
        <f>IF(G1912="","",G1912*H1912)</f>
        <v/>
      </c>
      <c r="J1912" s="7" t="n"/>
    </row>
    <row r="1913">
      <c r="A1913" s="6" t="n"/>
      <c r="B1913" s="7" t="n"/>
      <c r="C1913" s="7" t="n"/>
      <c r="D1913" s="7" t="n"/>
      <c r="E1913" s="7" t="n"/>
      <c r="F1913" s="7" t="n"/>
      <c r="G1913" s="8" t="n"/>
      <c r="H1913" s="9" t="n"/>
      <c r="I1913" s="10">
        <f>IF(G1913="","",G1913*H1913)</f>
        <v/>
      </c>
      <c r="J1913" s="7" t="n"/>
    </row>
    <row r="1914">
      <c r="A1914" s="6" t="n"/>
      <c r="B1914" s="7" t="n"/>
      <c r="C1914" s="7" t="n"/>
      <c r="D1914" s="7" t="n"/>
      <c r="E1914" s="7" t="n"/>
      <c r="F1914" s="7" t="n"/>
      <c r="G1914" s="8" t="n"/>
      <c r="H1914" s="9" t="n"/>
      <c r="I1914" s="10">
        <f>IF(G1914="","",G1914*H1914)</f>
        <v/>
      </c>
      <c r="J1914" s="7" t="n"/>
    </row>
    <row r="1915">
      <c r="A1915" s="6" t="n"/>
      <c r="B1915" s="7" t="n"/>
      <c r="C1915" s="7" t="n"/>
      <c r="D1915" s="7" t="n"/>
      <c r="E1915" s="7" t="n"/>
      <c r="F1915" s="7" t="n"/>
      <c r="G1915" s="8" t="n"/>
      <c r="H1915" s="9" t="n"/>
      <c r="I1915" s="10">
        <f>IF(G1915="","",G1915*H1915)</f>
        <v/>
      </c>
      <c r="J1915" s="7" t="n"/>
    </row>
    <row r="1916">
      <c r="A1916" s="6" t="n"/>
      <c r="B1916" s="7" t="n"/>
      <c r="C1916" s="7" t="n"/>
      <c r="D1916" s="7" t="n"/>
      <c r="E1916" s="7" t="n"/>
      <c r="F1916" s="7" t="n"/>
      <c r="G1916" s="8" t="n"/>
      <c r="H1916" s="9" t="n"/>
      <c r="I1916" s="10">
        <f>IF(G1916="","",G1916*H1916)</f>
        <v/>
      </c>
      <c r="J1916" s="7" t="n"/>
    </row>
    <row r="1917">
      <c r="A1917" s="6" t="n"/>
      <c r="B1917" s="7" t="n"/>
      <c r="C1917" s="7" t="n"/>
      <c r="D1917" s="7" t="n"/>
      <c r="E1917" s="7" t="n"/>
      <c r="F1917" s="7" t="n"/>
      <c r="G1917" s="8" t="n"/>
      <c r="H1917" s="9" t="n"/>
      <c r="I1917" s="10">
        <f>IF(G1917="","",G1917*H1917)</f>
        <v/>
      </c>
      <c r="J1917" s="7" t="n"/>
    </row>
    <row r="1918">
      <c r="A1918" s="6" t="n"/>
      <c r="B1918" s="7" t="n"/>
      <c r="C1918" s="7" t="n"/>
      <c r="D1918" s="7" t="n"/>
      <c r="E1918" s="7" t="n"/>
      <c r="F1918" s="7" t="n"/>
      <c r="G1918" s="8" t="n"/>
      <c r="H1918" s="9" t="n"/>
      <c r="I1918" s="10">
        <f>IF(G1918="","",G1918*H1918)</f>
        <v/>
      </c>
      <c r="J1918" s="7" t="n"/>
    </row>
    <row r="1919">
      <c r="A1919" s="6" t="n"/>
      <c r="B1919" s="7" t="n"/>
      <c r="C1919" s="7" t="n"/>
      <c r="D1919" s="7" t="n"/>
      <c r="E1919" s="7" t="n"/>
      <c r="F1919" s="7" t="n"/>
      <c r="G1919" s="8" t="n"/>
      <c r="H1919" s="9" t="n"/>
      <c r="I1919" s="10">
        <f>IF(G1919="","",G1919*H1919)</f>
        <v/>
      </c>
      <c r="J1919" s="7" t="n"/>
    </row>
    <row r="1920">
      <c r="A1920" s="6" t="n"/>
      <c r="B1920" s="7" t="n"/>
      <c r="C1920" s="7" t="n"/>
      <c r="D1920" s="7" t="n"/>
      <c r="E1920" s="7" t="n"/>
      <c r="F1920" s="7" t="n"/>
      <c r="G1920" s="8" t="n"/>
      <c r="H1920" s="9" t="n"/>
      <c r="I1920" s="10">
        <f>IF(G1920="","",G1920*H1920)</f>
        <v/>
      </c>
      <c r="J1920" s="7" t="n"/>
    </row>
    <row r="1921">
      <c r="A1921" s="6" t="n"/>
      <c r="B1921" s="7" t="n"/>
      <c r="C1921" s="7" t="n"/>
      <c r="D1921" s="7" t="n"/>
      <c r="E1921" s="7" t="n"/>
      <c r="F1921" s="7" t="n"/>
      <c r="G1921" s="8" t="n"/>
      <c r="H1921" s="9" t="n"/>
      <c r="I1921" s="10">
        <f>IF(G1921="","",G1921*H1921)</f>
        <v/>
      </c>
      <c r="J1921" s="7" t="n"/>
    </row>
    <row r="1922">
      <c r="A1922" s="6" t="n"/>
      <c r="B1922" s="7" t="n"/>
      <c r="C1922" s="7" t="n"/>
      <c r="D1922" s="7" t="n"/>
      <c r="E1922" s="7" t="n"/>
      <c r="F1922" s="7" t="n"/>
      <c r="G1922" s="8" t="n"/>
      <c r="H1922" s="9" t="n"/>
      <c r="I1922" s="10">
        <f>IF(G1922="","",G1922*H1922)</f>
        <v/>
      </c>
      <c r="J1922" s="7" t="n"/>
    </row>
    <row r="1923">
      <c r="A1923" s="6" t="n"/>
      <c r="B1923" s="7" t="n"/>
      <c r="C1923" s="7" t="n"/>
      <c r="D1923" s="7" t="n"/>
      <c r="E1923" s="7" t="n"/>
      <c r="F1923" s="7" t="n"/>
      <c r="G1923" s="8" t="n"/>
      <c r="H1923" s="9" t="n"/>
      <c r="I1923" s="10">
        <f>IF(G1923="","",G1923*H1923)</f>
        <v/>
      </c>
      <c r="J1923" s="7" t="n"/>
    </row>
    <row r="1924">
      <c r="A1924" s="6" t="n"/>
      <c r="B1924" s="7" t="n"/>
      <c r="C1924" s="7" t="n"/>
      <c r="D1924" s="7" t="n"/>
      <c r="E1924" s="7" t="n"/>
      <c r="F1924" s="7" t="n"/>
      <c r="G1924" s="8" t="n"/>
      <c r="H1924" s="9" t="n"/>
      <c r="I1924" s="10">
        <f>IF(G1924="","",G1924*H1924)</f>
        <v/>
      </c>
      <c r="J1924" s="7" t="n"/>
    </row>
    <row r="1925">
      <c r="A1925" s="6" t="n"/>
      <c r="B1925" s="7" t="n"/>
      <c r="C1925" s="7" t="n"/>
      <c r="D1925" s="7" t="n"/>
      <c r="E1925" s="7" t="n"/>
      <c r="F1925" s="7" t="n"/>
      <c r="G1925" s="8" t="n"/>
      <c r="H1925" s="9" t="n"/>
      <c r="I1925" s="10">
        <f>IF(G1925="","",G1925*H1925)</f>
        <v/>
      </c>
      <c r="J1925" s="7" t="n"/>
    </row>
    <row r="1926">
      <c r="A1926" s="6" t="n"/>
      <c r="B1926" s="7" t="n"/>
      <c r="C1926" s="7" t="n"/>
      <c r="D1926" s="7" t="n"/>
      <c r="E1926" s="7" t="n"/>
      <c r="F1926" s="7" t="n"/>
      <c r="G1926" s="8" t="n"/>
      <c r="H1926" s="9" t="n"/>
      <c r="I1926" s="10">
        <f>IF(G1926="","",G1926*H1926)</f>
        <v/>
      </c>
      <c r="J1926" s="7" t="n"/>
    </row>
    <row r="1927">
      <c r="A1927" s="6" t="n"/>
      <c r="B1927" s="7" t="n"/>
      <c r="C1927" s="7" t="n"/>
      <c r="D1927" s="7" t="n"/>
      <c r="E1927" s="7" t="n"/>
      <c r="F1927" s="7" t="n"/>
      <c r="G1927" s="8" t="n"/>
      <c r="H1927" s="9" t="n"/>
      <c r="I1927" s="10">
        <f>IF(G1927="","",G1927*H1927)</f>
        <v/>
      </c>
      <c r="J1927" s="7" t="n"/>
    </row>
    <row r="1928">
      <c r="A1928" s="6" t="n"/>
      <c r="B1928" s="7" t="n"/>
      <c r="C1928" s="7" t="n"/>
      <c r="D1928" s="7" t="n"/>
      <c r="E1928" s="7" t="n"/>
      <c r="F1928" s="7" t="n"/>
      <c r="G1928" s="8" t="n"/>
      <c r="H1928" s="9" t="n"/>
      <c r="I1928" s="10">
        <f>IF(G1928="","",G1928*H1928)</f>
        <v/>
      </c>
      <c r="J1928" s="7" t="n"/>
    </row>
    <row r="1929">
      <c r="A1929" s="6" t="n"/>
      <c r="B1929" s="7" t="n"/>
      <c r="C1929" s="7" t="n"/>
      <c r="D1929" s="7" t="n"/>
      <c r="E1929" s="7" t="n"/>
      <c r="F1929" s="7" t="n"/>
      <c r="G1929" s="8" t="n"/>
      <c r="H1929" s="9" t="n"/>
      <c r="I1929" s="10">
        <f>IF(G1929="","",G1929*H1929)</f>
        <v/>
      </c>
      <c r="J1929" s="7" t="n"/>
    </row>
    <row r="1930">
      <c r="A1930" s="6" t="n"/>
      <c r="B1930" s="7" t="n"/>
      <c r="C1930" s="7" t="n"/>
      <c r="D1930" s="7" t="n"/>
      <c r="E1930" s="7" t="n"/>
      <c r="F1930" s="7" t="n"/>
      <c r="G1930" s="8" t="n"/>
      <c r="H1930" s="9" t="n"/>
      <c r="I1930" s="10">
        <f>IF(G1930="","",G1930*H1930)</f>
        <v/>
      </c>
      <c r="J1930" s="7" t="n"/>
    </row>
    <row r="1931">
      <c r="A1931" s="6" t="n"/>
      <c r="B1931" s="7" t="n"/>
      <c r="C1931" s="7" t="n"/>
      <c r="D1931" s="7" t="n"/>
      <c r="E1931" s="7" t="n"/>
      <c r="F1931" s="7" t="n"/>
      <c r="G1931" s="8" t="n"/>
      <c r="H1931" s="9" t="n"/>
      <c r="I1931" s="10">
        <f>IF(G1931="","",G1931*H1931)</f>
        <v/>
      </c>
      <c r="J1931" s="7" t="n"/>
    </row>
    <row r="1932">
      <c r="A1932" s="6" t="n"/>
      <c r="B1932" s="7" t="n"/>
      <c r="C1932" s="7" t="n"/>
      <c r="D1932" s="7" t="n"/>
      <c r="E1932" s="7" t="n"/>
      <c r="F1932" s="7" t="n"/>
      <c r="G1932" s="8" t="n"/>
      <c r="H1932" s="9" t="n"/>
      <c r="I1932" s="10">
        <f>IF(G1932="","",G1932*H1932)</f>
        <v/>
      </c>
      <c r="J1932" s="7" t="n"/>
    </row>
    <row r="1933">
      <c r="A1933" s="6" t="n"/>
      <c r="B1933" s="7" t="n"/>
      <c r="C1933" s="7" t="n"/>
      <c r="D1933" s="7" t="n"/>
      <c r="E1933" s="7" t="n"/>
      <c r="F1933" s="7" t="n"/>
      <c r="G1933" s="8" t="n"/>
      <c r="H1933" s="9" t="n"/>
      <c r="I1933" s="10">
        <f>IF(G1933="","",G1933*H1933)</f>
        <v/>
      </c>
      <c r="J1933" s="7" t="n"/>
    </row>
    <row r="1934">
      <c r="A1934" s="6" t="n"/>
      <c r="B1934" s="7" t="n"/>
      <c r="C1934" s="7" t="n"/>
      <c r="D1934" s="7" t="n"/>
      <c r="E1934" s="7" t="n"/>
      <c r="F1934" s="7" t="n"/>
      <c r="G1934" s="8" t="n"/>
      <c r="H1934" s="9" t="n"/>
      <c r="I1934" s="10">
        <f>IF(G1934="","",G1934*H1934)</f>
        <v/>
      </c>
      <c r="J1934" s="7" t="n"/>
    </row>
    <row r="1935">
      <c r="A1935" s="6" t="n"/>
      <c r="B1935" s="7" t="n"/>
      <c r="C1935" s="7" t="n"/>
      <c r="D1935" s="7" t="n"/>
      <c r="E1935" s="7" t="n"/>
      <c r="F1935" s="7" t="n"/>
      <c r="G1935" s="8" t="n"/>
      <c r="H1935" s="9" t="n"/>
      <c r="I1935" s="10">
        <f>IF(G1935="","",G1935*H1935)</f>
        <v/>
      </c>
      <c r="J1935" s="7" t="n"/>
    </row>
    <row r="1936">
      <c r="A1936" s="6" t="n"/>
      <c r="B1936" s="7" t="n"/>
      <c r="C1936" s="7" t="n"/>
      <c r="D1936" s="7" t="n"/>
      <c r="E1936" s="7" t="n"/>
      <c r="F1936" s="7" t="n"/>
      <c r="G1936" s="8" t="n"/>
      <c r="H1936" s="9" t="n"/>
      <c r="I1936" s="10">
        <f>IF(G1936="","",G1936*H1936)</f>
        <v/>
      </c>
      <c r="J1936" s="7" t="n"/>
    </row>
    <row r="1937">
      <c r="A1937" s="6" t="n"/>
      <c r="B1937" s="7" t="n"/>
      <c r="C1937" s="7" t="n"/>
      <c r="D1937" s="7" t="n"/>
      <c r="E1937" s="7" t="n"/>
      <c r="F1937" s="7" t="n"/>
      <c r="G1937" s="8" t="n"/>
      <c r="H1937" s="9" t="n"/>
      <c r="I1937" s="10">
        <f>IF(G1937="","",G1937*H1937)</f>
        <v/>
      </c>
      <c r="J1937" s="7" t="n"/>
    </row>
    <row r="1938">
      <c r="A1938" s="6" t="n"/>
      <c r="B1938" s="7" t="n"/>
      <c r="C1938" s="7" t="n"/>
      <c r="D1938" s="7" t="n"/>
      <c r="E1938" s="7" t="n"/>
      <c r="F1938" s="7" t="n"/>
      <c r="G1938" s="8" t="n"/>
      <c r="H1938" s="9" t="n"/>
      <c r="I1938" s="10">
        <f>IF(G1938="","",G1938*H1938)</f>
        <v/>
      </c>
      <c r="J1938" s="7" t="n"/>
    </row>
    <row r="1939">
      <c r="A1939" s="6" t="n"/>
      <c r="B1939" s="7" t="n"/>
      <c r="C1939" s="7" t="n"/>
      <c r="D1939" s="7" t="n"/>
      <c r="E1939" s="7" t="n"/>
      <c r="F1939" s="7" t="n"/>
      <c r="G1939" s="8" t="n"/>
      <c r="H1939" s="9" t="n"/>
      <c r="I1939" s="10">
        <f>IF(G1939="","",G1939*H1939)</f>
        <v/>
      </c>
      <c r="J1939" s="7" t="n"/>
    </row>
    <row r="1940">
      <c r="A1940" s="6" t="n"/>
      <c r="B1940" s="7" t="n"/>
      <c r="C1940" s="7" t="n"/>
      <c r="D1940" s="7" t="n"/>
      <c r="E1940" s="7" t="n"/>
      <c r="F1940" s="7" t="n"/>
      <c r="G1940" s="8" t="n"/>
      <c r="H1940" s="9" t="n"/>
      <c r="I1940" s="10">
        <f>IF(G1940="","",G1940*H1940)</f>
        <v/>
      </c>
      <c r="J1940" s="7" t="n"/>
    </row>
    <row r="1941">
      <c r="A1941" s="6" t="n"/>
      <c r="B1941" s="7" t="n"/>
      <c r="C1941" s="7" t="n"/>
      <c r="D1941" s="7" t="n"/>
      <c r="E1941" s="7" t="n"/>
      <c r="F1941" s="7" t="n"/>
      <c r="G1941" s="8" t="n"/>
      <c r="H1941" s="9" t="n"/>
      <c r="I1941" s="10">
        <f>IF(G1941="","",G1941*H1941)</f>
        <v/>
      </c>
      <c r="J1941" s="7" t="n"/>
    </row>
    <row r="1942">
      <c r="A1942" s="6" t="n"/>
      <c r="B1942" s="7" t="n"/>
      <c r="C1942" s="7" t="n"/>
      <c r="D1942" s="7" t="n"/>
      <c r="E1942" s="7" t="n"/>
      <c r="F1942" s="7" t="n"/>
      <c r="G1942" s="8" t="n"/>
      <c r="H1942" s="9" t="n"/>
      <c r="I1942" s="10">
        <f>IF(G1942="","",G1942*H1942)</f>
        <v/>
      </c>
      <c r="J1942" s="7" t="n"/>
    </row>
    <row r="1943">
      <c r="A1943" s="6" t="n"/>
      <c r="B1943" s="7" t="n"/>
      <c r="C1943" s="7" t="n"/>
      <c r="D1943" s="7" t="n"/>
      <c r="E1943" s="7" t="n"/>
      <c r="F1943" s="7" t="n"/>
      <c r="G1943" s="8" t="n"/>
      <c r="H1943" s="9" t="n"/>
      <c r="I1943" s="10">
        <f>IF(G1943="","",G1943*H1943)</f>
        <v/>
      </c>
      <c r="J1943" s="7" t="n"/>
    </row>
    <row r="1944">
      <c r="A1944" s="6" t="n"/>
      <c r="B1944" s="7" t="n"/>
      <c r="C1944" s="7" t="n"/>
      <c r="D1944" s="7" t="n"/>
      <c r="E1944" s="7" t="n"/>
      <c r="F1944" s="7" t="n"/>
      <c r="G1944" s="8" t="n"/>
      <c r="H1944" s="9" t="n"/>
      <c r="I1944" s="10">
        <f>IF(G1944="","",G1944*H1944)</f>
        <v/>
      </c>
      <c r="J1944" s="7" t="n"/>
    </row>
    <row r="1945">
      <c r="A1945" s="6" t="n"/>
      <c r="B1945" s="7" t="n"/>
      <c r="C1945" s="7" t="n"/>
      <c r="D1945" s="7" t="n"/>
      <c r="E1945" s="7" t="n"/>
      <c r="F1945" s="7" t="n"/>
      <c r="G1945" s="8" t="n"/>
      <c r="H1945" s="9" t="n"/>
      <c r="I1945" s="10">
        <f>IF(G1945="","",G1945*H1945)</f>
        <v/>
      </c>
      <c r="J1945" s="7" t="n"/>
    </row>
    <row r="1946">
      <c r="A1946" s="6" t="n"/>
      <c r="B1946" s="7" t="n"/>
      <c r="C1946" s="7" t="n"/>
      <c r="D1946" s="7" t="n"/>
      <c r="E1946" s="7" t="n"/>
      <c r="F1946" s="7" t="n"/>
      <c r="G1946" s="8" t="n"/>
      <c r="H1946" s="9" t="n"/>
      <c r="I1946" s="10">
        <f>IF(G1946="","",G1946*H1946)</f>
        <v/>
      </c>
      <c r="J1946" s="7" t="n"/>
    </row>
    <row r="1947">
      <c r="A1947" s="6" t="n"/>
      <c r="B1947" s="7" t="n"/>
      <c r="C1947" s="7" t="n"/>
      <c r="D1947" s="7" t="n"/>
      <c r="E1947" s="7" t="n"/>
      <c r="F1947" s="7" t="n"/>
      <c r="G1947" s="8" t="n"/>
      <c r="H1947" s="9" t="n"/>
      <c r="I1947" s="10">
        <f>IF(G1947="","",G1947*H1947)</f>
        <v/>
      </c>
      <c r="J1947" s="7" t="n"/>
    </row>
    <row r="1948">
      <c r="A1948" s="6" t="n"/>
      <c r="B1948" s="7" t="n"/>
      <c r="C1948" s="7" t="n"/>
      <c r="D1948" s="7" t="n"/>
      <c r="E1948" s="7" t="n"/>
      <c r="F1948" s="7" t="n"/>
      <c r="G1948" s="8" t="n"/>
      <c r="H1948" s="9" t="n"/>
      <c r="I1948" s="10">
        <f>IF(G1948="","",G1948*H1948)</f>
        <v/>
      </c>
      <c r="J1948" s="7" t="n"/>
    </row>
    <row r="1949">
      <c r="A1949" s="6" t="n"/>
      <c r="B1949" s="7" t="n"/>
      <c r="C1949" s="7" t="n"/>
      <c r="D1949" s="7" t="n"/>
      <c r="E1949" s="7" t="n"/>
      <c r="F1949" s="7" t="n"/>
      <c r="G1949" s="8" t="n"/>
      <c r="H1949" s="9" t="n"/>
      <c r="I1949" s="10">
        <f>IF(G1949="","",G1949*H1949)</f>
        <v/>
      </c>
      <c r="J1949" s="7" t="n"/>
    </row>
    <row r="1950">
      <c r="A1950" s="6" t="n"/>
      <c r="B1950" s="7" t="n"/>
      <c r="C1950" s="7" t="n"/>
      <c r="D1950" s="7" t="n"/>
      <c r="E1950" s="7" t="n"/>
      <c r="F1950" s="7" t="n"/>
      <c r="G1950" s="8" t="n"/>
      <c r="H1950" s="9" t="n"/>
      <c r="I1950" s="10">
        <f>IF(G1950="","",G1950*H1950)</f>
        <v/>
      </c>
      <c r="J1950" s="7" t="n"/>
    </row>
    <row r="1951">
      <c r="A1951" s="6" t="n"/>
      <c r="B1951" s="7" t="n"/>
      <c r="C1951" s="7" t="n"/>
      <c r="D1951" s="7" t="n"/>
      <c r="E1951" s="7" t="n"/>
      <c r="F1951" s="7" t="n"/>
      <c r="G1951" s="8" t="n"/>
      <c r="H1951" s="9" t="n"/>
      <c r="I1951" s="10">
        <f>IF(G1951="","",G1951*H1951)</f>
        <v/>
      </c>
      <c r="J1951" s="7" t="n"/>
    </row>
    <row r="1952">
      <c r="A1952" s="6" t="n"/>
      <c r="B1952" s="7" t="n"/>
      <c r="C1952" s="7" t="n"/>
      <c r="D1952" s="7" t="n"/>
      <c r="E1952" s="7" t="n"/>
      <c r="F1952" s="7" t="n"/>
      <c r="G1952" s="8" t="n"/>
      <c r="H1952" s="9" t="n"/>
      <c r="I1952" s="10">
        <f>IF(G1952="","",G1952*H1952)</f>
        <v/>
      </c>
      <c r="J1952" s="7" t="n"/>
    </row>
    <row r="1953">
      <c r="A1953" s="6" t="n"/>
      <c r="B1953" s="7" t="n"/>
      <c r="C1953" s="7" t="n"/>
      <c r="D1953" s="7" t="n"/>
      <c r="E1953" s="7" t="n"/>
      <c r="F1953" s="7" t="n"/>
      <c r="G1953" s="8" t="n"/>
      <c r="H1953" s="9" t="n"/>
      <c r="I1953" s="10">
        <f>IF(G1953="","",G1953*H1953)</f>
        <v/>
      </c>
      <c r="J1953" s="7" t="n"/>
    </row>
    <row r="1954">
      <c r="A1954" s="6" t="n"/>
      <c r="B1954" s="7" t="n"/>
      <c r="C1954" s="7" t="n"/>
      <c r="D1954" s="7" t="n"/>
      <c r="E1954" s="7" t="n"/>
      <c r="F1954" s="7" t="n"/>
      <c r="G1954" s="8" t="n"/>
      <c r="H1954" s="9" t="n"/>
      <c r="I1954" s="10">
        <f>IF(G1954="","",G1954*H1954)</f>
        <v/>
      </c>
      <c r="J1954" s="7" t="n"/>
    </row>
    <row r="1955">
      <c r="A1955" s="6" t="n"/>
      <c r="B1955" s="7" t="n"/>
      <c r="C1955" s="7" t="n"/>
      <c r="D1955" s="7" t="n"/>
      <c r="E1955" s="7" t="n"/>
      <c r="F1955" s="7" t="n"/>
      <c r="G1955" s="8" t="n"/>
      <c r="H1955" s="9" t="n"/>
      <c r="I1955" s="10">
        <f>IF(G1955="","",G1955*H1955)</f>
        <v/>
      </c>
      <c r="J1955" s="7" t="n"/>
    </row>
    <row r="1956">
      <c r="A1956" s="6" t="n"/>
      <c r="B1956" s="7" t="n"/>
      <c r="C1956" s="7" t="n"/>
      <c r="D1956" s="7" t="n"/>
      <c r="E1956" s="7" t="n"/>
      <c r="F1956" s="7" t="n"/>
      <c r="G1956" s="8" t="n"/>
      <c r="H1956" s="9" t="n"/>
      <c r="I1956" s="10">
        <f>IF(G1956="","",G1956*H1956)</f>
        <v/>
      </c>
      <c r="J1956" s="7" t="n"/>
    </row>
    <row r="1957">
      <c r="A1957" s="6" t="n"/>
      <c r="B1957" s="7" t="n"/>
      <c r="C1957" s="7" t="n"/>
      <c r="D1957" s="7" t="n"/>
      <c r="E1957" s="7" t="n"/>
      <c r="F1957" s="7" t="n"/>
      <c r="G1957" s="8" t="n"/>
      <c r="H1957" s="9" t="n"/>
      <c r="I1957" s="10">
        <f>IF(G1957="","",G1957*H1957)</f>
        <v/>
      </c>
      <c r="J1957" s="7" t="n"/>
    </row>
    <row r="1958">
      <c r="A1958" s="6" t="n"/>
      <c r="B1958" s="7" t="n"/>
      <c r="C1958" s="7" t="n"/>
      <c r="D1958" s="7" t="n"/>
      <c r="E1958" s="7" t="n"/>
      <c r="F1958" s="7" t="n"/>
      <c r="G1958" s="8" t="n"/>
      <c r="H1958" s="9" t="n"/>
      <c r="I1958" s="10">
        <f>IF(G1958="","",G1958*H1958)</f>
        <v/>
      </c>
      <c r="J1958" s="7" t="n"/>
    </row>
    <row r="1959">
      <c r="A1959" s="6" t="n"/>
      <c r="B1959" s="7" t="n"/>
      <c r="C1959" s="7" t="n"/>
      <c r="D1959" s="7" t="n"/>
      <c r="E1959" s="7" t="n"/>
      <c r="F1959" s="7" t="n"/>
      <c r="G1959" s="8" t="n"/>
      <c r="H1959" s="9" t="n"/>
      <c r="I1959" s="10">
        <f>IF(G1959="","",G1959*H1959)</f>
        <v/>
      </c>
      <c r="J1959" s="7" t="n"/>
    </row>
    <row r="1960">
      <c r="A1960" s="6" t="n"/>
      <c r="B1960" s="7" t="n"/>
      <c r="C1960" s="7" t="n"/>
      <c r="D1960" s="7" t="n"/>
      <c r="E1960" s="7" t="n"/>
      <c r="F1960" s="7" t="n"/>
      <c r="G1960" s="8" t="n"/>
      <c r="H1960" s="9" t="n"/>
      <c r="I1960" s="10">
        <f>IF(G1960="","",G1960*H1960)</f>
        <v/>
      </c>
      <c r="J1960" s="7" t="n"/>
    </row>
    <row r="1961">
      <c r="A1961" s="6" t="n"/>
      <c r="B1961" s="7" t="n"/>
      <c r="C1961" s="7" t="n"/>
      <c r="D1961" s="7" t="n"/>
      <c r="E1961" s="7" t="n"/>
      <c r="F1961" s="7" t="n"/>
      <c r="G1961" s="8" t="n"/>
      <c r="H1961" s="9" t="n"/>
      <c r="I1961" s="10">
        <f>IF(G1961="","",G1961*H1961)</f>
        <v/>
      </c>
      <c r="J1961" s="7" t="n"/>
    </row>
    <row r="1962">
      <c r="A1962" s="6" t="n"/>
      <c r="B1962" s="7" t="n"/>
      <c r="C1962" s="7" t="n"/>
      <c r="D1962" s="7" t="n"/>
      <c r="E1962" s="7" t="n"/>
      <c r="F1962" s="7" t="n"/>
      <c r="G1962" s="8" t="n"/>
      <c r="H1962" s="9" t="n"/>
      <c r="I1962" s="10">
        <f>IF(G1962="","",G1962*H1962)</f>
        <v/>
      </c>
      <c r="J1962" s="7" t="n"/>
    </row>
    <row r="1963">
      <c r="A1963" s="6" t="n"/>
      <c r="B1963" s="7" t="n"/>
      <c r="C1963" s="7" t="n"/>
      <c r="D1963" s="7" t="n"/>
      <c r="E1963" s="7" t="n"/>
      <c r="F1963" s="7" t="n"/>
      <c r="G1963" s="8" t="n"/>
      <c r="H1963" s="9" t="n"/>
      <c r="I1963" s="10">
        <f>IF(G1963="","",G1963*H1963)</f>
        <v/>
      </c>
      <c r="J1963" s="7" t="n"/>
    </row>
    <row r="1964">
      <c r="A1964" s="6" t="n"/>
      <c r="B1964" s="7" t="n"/>
      <c r="C1964" s="7" t="n"/>
      <c r="D1964" s="7" t="n"/>
      <c r="E1964" s="7" t="n"/>
      <c r="F1964" s="7" t="n"/>
      <c r="G1964" s="8" t="n"/>
      <c r="H1964" s="9" t="n"/>
      <c r="I1964" s="10">
        <f>IF(G1964="","",G1964*H1964)</f>
        <v/>
      </c>
      <c r="J1964" s="7" t="n"/>
    </row>
    <row r="1965">
      <c r="A1965" s="6" t="n"/>
      <c r="B1965" s="7" t="n"/>
      <c r="C1965" s="7" t="n"/>
      <c r="D1965" s="7" t="n"/>
      <c r="E1965" s="7" t="n"/>
      <c r="F1965" s="7" t="n"/>
      <c r="G1965" s="8" t="n"/>
      <c r="H1965" s="9" t="n"/>
      <c r="I1965" s="10">
        <f>IF(G1965="","",G1965*H1965)</f>
        <v/>
      </c>
      <c r="J1965" s="7" t="n"/>
    </row>
    <row r="1966">
      <c r="A1966" s="6" t="n"/>
      <c r="B1966" s="7" t="n"/>
      <c r="C1966" s="7" t="n"/>
      <c r="D1966" s="7" t="n"/>
      <c r="E1966" s="7" t="n"/>
      <c r="F1966" s="7" t="n"/>
      <c r="G1966" s="8" t="n"/>
      <c r="H1966" s="9" t="n"/>
      <c r="I1966" s="10">
        <f>IF(G1966="","",G1966*H1966)</f>
        <v/>
      </c>
      <c r="J1966" s="7" t="n"/>
    </row>
    <row r="1967">
      <c r="A1967" s="6" t="n"/>
      <c r="B1967" s="7" t="n"/>
      <c r="C1967" s="7" t="n"/>
      <c r="D1967" s="7" t="n"/>
      <c r="E1967" s="7" t="n"/>
      <c r="F1967" s="7" t="n"/>
      <c r="G1967" s="8" t="n"/>
      <c r="H1967" s="9" t="n"/>
      <c r="I1967" s="10">
        <f>IF(G1967="","",G1967*H1967)</f>
        <v/>
      </c>
      <c r="J1967" s="7" t="n"/>
    </row>
    <row r="1968">
      <c r="A1968" s="6" t="n"/>
      <c r="B1968" s="7" t="n"/>
      <c r="C1968" s="7" t="n"/>
      <c r="D1968" s="7" t="n"/>
      <c r="E1968" s="7" t="n"/>
      <c r="F1968" s="7" t="n"/>
      <c r="G1968" s="8" t="n"/>
      <c r="H1968" s="9" t="n"/>
      <c r="I1968" s="10">
        <f>IF(G1968="","",G1968*H1968)</f>
        <v/>
      </c>
      <c r="J1968" s="7" t="n"/>
    </row>
    <row r="1969">
      <c r="A1969" s="6" t="n"/>
      <c r="B1969" s="7" t="n"/>
      <c r="C1969" s="7" t="n"/>
      <c r="D1969" s="7" t="n"/>
      <c r="E1969" s="7" t="n"/>
      <c r="F1969" s="7" t="n"/>
      <c r="G1969" s="8" t="n"/>
      <c r="H1969" s="9" t="n"/>
      <c r="I1969" s="10">
        <f>IF(G1969="","",G1969*H1969)</f>
        <v/>
      </c>
      <c r="J1969" s="7" t="n"/>
    </row>
    <row r="1970">
      <c r="A1970" s="6" t="n"/>
      <c r="B1970" s="7" t="n"/>
      <c r="C1970" s="7" t="n"/>
      <c r="D1970" s="7" t="n"/>
      <c r="E1970" s="7" t="n"/>
      <c r="F1970" s="7" t="n"/>
      <c r="G1970" s="8" t="n"/>
      <c r="H1970" s="9" t="n"/>
      <c r="I1970" s="10">
        <f>IF(G1970="","",G1970*H1970)</f>
        <v/>
      </c>
      <c r="J1970" s="7" t="n"/>
    </row>
    <row r="1971">
      <c r="A1971" s="6" t="n"/>
      <c r="B1971" s="7" t="n"/>
      <c r="C1971" s="7" t="n"/>
      <c r="D1971" s="7" t="n"/>
      <c r="E1971" s="7" t="n"/>
      <c r="F1971" s="7" t="n"/>
      <c r="G1971" s="8" t="n"/>
      <c r="H1971" s="9" t="n"/>
      <c r="I1971" s="10">
        <f>IF(G1971="","",G1971*H1971)</f>
        <v/>
      </c>
      <c r="J1971" s="7" t="n"/>
    </row>
    <row r="1972">
      <c r="A1972" s="6" t="n"/>
      <c r="B1972" s="7" t="n"/>
      <c r="C1972" s="7" t="n"/>
      <c r="D1972" s="7" t="n"/>
      <c r="E1972" s="7" t="n"/>
      <c r="F1972" s="7" t="n"/>
      <c r="G1972" s="8" t="n"/>
      <c r="H1972" s="9" t="n"/>
      <c r="I1972" s="10">
        <f>IF(G1972="","",G1972*H1972)</f>
        <v/>
      </c>
      <c r="J1972" s="7" t="n"/>
    </row>
    <row r="1973">
      <c r="A1973" s="6" t="n"/>
      <c r="B1973" s="7" t="n"/>
      <c r="C1973" s="7" t="n"/>
      <c r="D1973" s="7" t="n"/>
      <c r="E1973" s="7" t="n"/>
      <c r="F1973" s="7" t="n"/>
      <c r="G1973" s="8" t="n"/>
      <c r="H1973" s="9" t="n"/>
      <c r="I1973" s="10">
        <f>IF(G1973="","",G1973*H1973)</f>
        <v/>
      </c>
      <c r="J1973" s="7" t="n"/>
    </row>
    <row r="1974">
      <c r="A1974" s="6" t="n"/>
      <c r="B1974" s="7" t="n"/>
      <c r="C1974" s="7" t="n"/>
      <c r="D1974" s="7" t="n"/>
      <c r="E1974" s="7" t="n"/>
      <c r="F1974" s="7" t="n"/>
      <c r="G1974" s="8" t="n"/>
      <c r="H1974" s="9" t="n"/>
      <c r="I1974" s="10">
        <f>IF(G1974="","",G1974*H1974)</f>
        <v/>
      </c>
      <c r="J1974" s="7" t="n"/>
    </row>
    <row r="1975">
      <c r="A1975" s="6" t="n"/>
      <c r="B1975" s="7" t="n"/>
      <c r="C1975" s="7" t="n"/>
      <c r="D1975" s="7" t="n"/>
      <c r="E1975" s="7" t="n"/>
      <c r="F1975" s="7" t="n"/>
      <c r="G1975" s="8" t="n"/>
      <c r="H1975" s="9" t="n"/>
      <c r="I1975" s="10">
        <f>IF(G1975="","",G1975*H1975)</f>
        <v/>
      </c>
      <c r="J1975" s="7" t="n"/>
    </row>
    <row r="1976">
      <c r="A1976" s="6" t="n"/>
      <c r="B1976" s="7" t="n"/>
      <c r="C1976" s="7" t="n"/>
      <c r="D1976" s="7" t="n"/>
      <c r="E1976" s="7" t="n"/>
      <c r="F1976" s="7" t="n"/>
      <c r="G1976" s="8" t="n"/>
      <c r="H1976" s="9" t="n"/>
      <c r="I1976" s="10">
        <f>IF(G1976="","",G1976*H1976)</f>
        <v/>
      </c>
      <c r="J1976" s="7" t="n"/>
    </row>
    <row r="1977">
      <c r="A1977" s="6" t="n"/>
      <c r="B1977" s="7" t="n"/>
      <c r="C1977" s="7" t="n"/>
      <c r="D1977" s="7" t="n"/>
      <c r="E1977" s="7" t="n"/>
      <c r="F1977" s="7" t="n"/>
      <c r="G1977" s="8" t="n"/>
      <c r="H1977" s="9" t="n"/>
      <c r="I1977" s="10">
        <f>IF(G1977="","",G1977*H1977)</f>
        <v/>
      </c>
      <c r="J1977" s="7" t="n"/>
    </row>
    <row r="1978">
      <c r="A1978" s="6" t="n"/>
      <c r="B1978" s="7" t="n"/>
      <c r="C1978" s="7" t="n"/>
      <c r="D1978" s="7" t="n"/>
      <c r="E1978" s="7" t="n"/>
      <c r="F1978" s="7" t="n"/>
      <c r="G1978" s="8" t="n"/>
      <c r="H1978" s="9" t="n"/>
      <c r="I1978" s="10">
        <f>IF(G1978="","",G1978*H1978)</f>
        <v/>
      </c>
      <c r="J1978" s="7" t="n"/>
    </row>
    <row r="1979">
      <c r="A1979" s="6" t="n"/>
      <c r="B1979" s="7" t="n"/>
      <c r="C1979" s="7" t="n"/>
      <c r="D1979" s="7" t="n"/>
      <c r="E1979" s="7" t="n"/>
      <c r="F1979" s="7" t="n"/>
      <c r="G1979" s="8" t="n"/>
      <c r="H1979" s="9" t="n"/>
      <c r="I1979" s="10">
        <f>IF(G1979="","",G1979*H1979)</f>
        <v/>
      </c>
      <c r="J1979" s="7" t="n"/>
    </row>
    <row r="1980">
      <c r="A1980" s="6" t="n"/>
      <c r="B1980" s="7" t="n"/>
      <c r="C1980" s="7" t="n"/>
      <c r="D1980" s="7" t="n"/>
      <c r="E1980" s="7" t="n"/>
      <c r="F1980" s="7" t="n"/>
      <c r="G1980" s="8" t="n"/>
      <c r="H1980" s="9" t="n"/>
      <c r="I1980" s="10">
        <f>IF(G1980="","",G1980*H1980)</f>
        <v/>
      </c>
      <c r="J1980" s="7" t="n"/>
    </row>
    <row r="1981">
      <c r="A1981" s="6" t="n"/>
      <c r="B1981" s="7" t="n"/>
      <c r="C1981" s="7" t="n"/>
      <c r="D1981" s="7" t="n"/>
      <c r="E1981" s="7" t="n"/>
      <c r="F1981" s="7" t="n"/>
      <c r="G1981" s="8" t="n"/>
      <c r="H1981" s="9" t="n"/>
      <c r="I1981" s="10">
        <f>IF(G1981="","",G1981*H1981)</f>
        <v/>
      </c>
      <c r="J1981" s="7" t="n"/>
    </row>
    <row r="1982">
      <c r="A1982" s="6" t="n"/>
      <c r="B1982" s="7" t="n"/>
      <c r="C1982" s="7" t="n"/>
      <c r="D1982" s="7" t="n"/>
      <c r="E1982" s="7" t="n"/>
      <c r="F1982" s="7" t="n"/>
      <c r="G1982" s="8" t="n"/>
      <c r="H1982" s="9" t="n"/>
      <c r="I1982" s="10">
        <f>IF(G1982="","",G1982*H1982)</f>
        <v/>
      </c>
      <c r="J1982" s="7" t="n"/>
    </row>
    <row r="1983">
      <c r="A1983" s="6" t="n"/>
      <c r="B1983" s="7" t="n"/>
      <c r="C1983" s="7" t="n"/>
      <c r="D1983" s="7" t="n"/>
      <c r="E1983" s="7" t="n"/>
      <c r="F1983" s="7" t="n"/>
      <c r="G1983" s="8" t="n"/>
      <c r="H1983" s="9" t="n"/>
      <c r="I1983" s="10">
        <f>IF(G1983="","",G1983*H1983)</f>
        <v/>
      </c>
      <c r="J1983" s="7" t="n"/>
    </row>
    <row r="1984">
      <c r="A1984" s="6" t="n"/>
      <c r="B1984" s="7" t="n"/>
      <c r="C1984" s="7" t="n"/>
      <c r="D1984" s="7" t="n"/>
      <c r="E1984" s="7" t="n"/>
      <c r="F1984" s="7" t="n"/>
      <c r="G1984" s="8" t="n"/>
      <c r="H1984" s="9" t="n"/>
      <c r="I1984" s="10">
        <f>IF(G1984="","",G1984*H1984)</f>
        <v/>
      </c>
      <c r="J1984" s="7" t="n"/>
    </row>
    <row r="1985">
      <c r="A1985" s="6" t="n"/>
      <c r="B1985" s="7" t="n"/>
      <c r="C1985" s="7" t="n"/>
      <c r="D1985" s="7" t="n"/>
      <c r="E1985" s="7" t="n"/>
      <c r="F1985" s="7" t="n"/>
      <c r="G1985" s="8" t="n"/>
      <c r="H1985" s="9" t="n"/>
      <c r="I1985" s="10">
        <f>IF(G1985="","",G1985*H1985)</f>
        <v/>
      </c>
      <c r="J1985" s="7" t="n"/>
    </row>
    <row r="1986">
      <c r="A1986" s="6" t="n"/>
      <c r="B1986" s="7" t="n"/>
      <c r="C1986" s="7" t="n"/>
      <c r="D1986" s="7" t="n"/>
      <c r="E1986" s="7" t="n"/>
      <c r="F1986" s="7" t="n"/>
      <c r="G1986" s="8" t="n"/>
      <c r="H1986" s="9" t="n"/>
      <c r="I1986" s="10">
        <f>IF(G1986="","",G1986*H1986)</f>
        <v/>
      </c>
      <c r="J1986" s="7" t="n"/>
    </row>
    <row r="1987">
      <c r="A1987" s="6" t="n"/>
      <c r="B1987" s="7" t="n"/>
      <c r="C1987" s="7" t="n"/>
      <c r="D1987" s="7" t="n"/>
      <c r="E1987" s="7" t="n"/>
      <c r="F1987" s="7" t="n"/>
      <c r="G1987" s="8" t="n"/>
      <c r="H1987" s="9" t="n"/>
      <c r="I1987" s="10">
        <f>IF(G1987="","",G1987*H1987)</f>
        <v/>
      </c>
      <c r="J1987" s="7" t="n"/>
    </row>
    <row r="1988">
      <c r="A1988" s="6" t="n"/>
      <c r="B1988" s="7" t="n"/>
      <c r="C1988" s="7" t="n"/>
      <c r="D1988" s="7" t="n"/>
      <c r="E1988" s="7" t="n"/>
      <c r="F1988" s="7" t="n"/>
      <c r="G1988" s="8" t="n"/>
      <c r="H1988" s="9" t="n"/>
      <c r="I1988" s="10">
        <f>IF(G1988="","",G1988*H1988)</f>
        <v/>
      </c>
      <c r="J1988" s="7" t="n"/>
    </row>
    <row r="1989">
      <c r="A1989" s="6" t="n"/>
      <c r="B1989" s="7" t="n"/>
      <c r="C1989" s="7" t="n"/>
      <c r="D1989" s="7" t="n"/>
      <c r="E1989" s="7" t="n"/>
      <c r="F1989" s="7" t="n"/>
      <c r="G1989" s="8" t="n"/>
      <c r="H1989" s="9" t="n"/>
      <c r="I1989" s="10">
        <f>IF(G1989="","",G1989*H1989)</f>
        <v/>
      </c>
      <c r="J1989" s="7" t="n"/>
    </row>
    <row r="1990">
      <c r="A1990" s="6" t="n"/>
      <c r="B1990" s="7" t="n"/>
      <c r="C1990" s="7" t="n"/>
      <c r="D1990" s="7" t="n"/>
      <c r="E1990" s="7" t="n"/>
      <c r="F1990" s="7" t="n"/>
      <c r="G1990" s="8" t="n"/>
      <c r="H1990" s="9" t="n"/>
      <c r="I1990" s="10">
        <f>IF(G1990="","",G1990*H1990)</f>
        <v/>
      </c>
      <c r="J1990" s="7" t="n"/>
    </row>
    <row r="1991">
      <c r="A1991" s="6" t="n"/>
      <c r="B1991" s="7" t="n"/>
      <c r="C1991" s="7" t="n"/>
      <c r="D1991" s="7" t="n"/>
      <c r="E1991" s="7" t="n"/>
      <c r="F1991" s="7" t="n"/>
      <c r="G1991" s="8" t="n"/>
      <c r="H1991" s="9" t="n"/>
      <c r="I1991" s="10">
        <f>IF(G1991="","",G1991*H1991)</f>
        <v/>
      </c>
      <c r="J1991" s="7" t="n"/>
    </row>
    <row r="1992">
      <c r="A1992" s="6" t="n"/>
      <c r="B1992" s="7" t="n"/>
      <c r="C1992" s="7" t="n"/>
      <c r="D1992" s="7" t="n"/>
      <c r="E1992" s="7" t="n"/>
      <c r="F1992" s="7" t="n"/>
      <c r="G1992" s="8" t="n"/>
      <c r="H1992" s="9" t="n"/>
      <c r="I1992" s="10">
        <f>IF(G1992="","",G1992*H1992)</f>
        <v/>
      </c>
      <c r="J1992" s="7" t="n"/>
    </row>
    <row r="1993">
      <c r="A1993" s="6" t="n"/>
      <c r="B1993" s="7" t="n"/>
      <c r="C1993" s="7" t="n"/>
      <c r="D1993" s="7" t="n"/>
      <c r="E1993" s="7" t="n"/>
      <c r="F1993" s="7" t="n"/>
      <c r="G1993" s="8" t="n"/>
      <c r="H1993" s="9" t="n"/>
      <c r="I1993" s="10">
        <f>IF(G1993="","",G1993*H1993)</f>
        <v/>
      </c>
      <c r="J1993" s="7" t="n"/>
    </row>
    <row r="1994">
      <c r="A1994" s="6" t="n"/>
      <c r="B1994" s="7" t="n"/>
      <c r="C1994" s="7" t="n"/>
      <c r="D1994" s="7" t="n"/>
      <c r="E1994" s="7" t="n"/>
      <c r="F1994" s="7" t="n"/>
      <c r="G1994" s="8" t="n"/>
      <c r="H1994" s="9" t="n"/>
      <c r="I1994" s="10">
        <f>IF(G1994="","",G1994*H1994)</f>
        <v/>
      </c>
      <c r="J1994" s="7" t="n"/>
    </row>
    <row r="1995">
      <c r="A1995" s="6" t="n"/>
      <c r="B1995" s="7" t="n"/>
      <c r="C1995" s="7" t="n"/>
      <c r="D1995" s="7" t="n"/>
      <c r="E1995" s="7" t="n"/>
      <c r="F1995" s="7" t="n"/>
      <c r="G1995" s="8" t="n"/>
      <c r="H1995" s="9" t="n"/>
      <c r="I1995" s="10">
        <f>IF(G1995="","",G1995*H1995)</f>
        <v/>
      </c>
      <c r="J1995" s="7" t="n"/>
    </row>
    <row r="1996">
      <c r="A1996" s="6" t="n"/>
      <c r="B1996" s="7" t="n"/>
      <c r="C1996" s="7" t="n"/>
      <c r="D1996" s="7" t="n"/>
      <c r="E1996" s="7" t="n"/>
      <c r="F1996" s="7" t="n"/>
      <c r="G1996" s="8" t="n"/>
      <c r="H1996" s="9" t="n"/>
      <c r="I1996" s="10">
        <f>IF(G1996="","",G1996*H1996)</f>
        <v/>
      </c>
      <c r="J1996" s="7" t="n"/>
    </row>
    <row r="1997">
      <c r="A1997" s="6" t="n"/>
      <c r="B1997" s="7" t="n"/>
      <c r="C1997" s="7" t="n"/>
      <c r="D1997" s="7" t="n"/>
      <c r="E1997" s="7" t="n"/>
      <c r="F1997" s="7" t="n"/>
      <c r="G1997" s="8" t="n"/>
      <c r="H1997" s="9" t="n"/>
      <c r="I1997" s="10">
        <f>IF(G1997="","",G1997*H1997)</f>
        <v/>
      </c>
      <c r="J1997" s="7" t="n"/>
    </row>
    <row r="1998">
      <c r="A1998" s="6" t="n"/>
      <c r="B1998" s="7" t="n"/>
      <c r="C1998" s="7" t="n"/>
      <c r="D1998" s="7" t="n"/>
      <c r="E1998" s="7" t="n"/>
      <c r="F1998" s="7" t="n"/>
      <c r="G1998" s="8" t="n"/>
      <c r="H1998" s="9" t="n"/>
      <c r="I1998" s="10">
        <f>IF(G1998="","",G1998*H1998)</f>
        <v/>
      </c>
      <c r="J1998" s="7" t="n"/>
    </row>
    <row r="1999">
      <c r="A1999" s="6" t="n"/>
      <c r="B1999" s="7" t="n"/>
      <c r="C1999" s="7" t="n"/>
      <c r="D1999" s="7" t="n"/>
      <c r="E1999" s="7" t="n"/>
      <c r="F1999" s="7" t="n"/>
      <c r="G1999" s="8" t="n"/>
      <c r="H1999" s="9" t="n"/>
      <c r="I1999" s="10">
        <f>IF(G1999="","",G1999*H1999)</f>
        <v/>
      </c>
      <c r="J1999" s="7" t="n"/>
    </row>
    <row r="2000">
      <c r="A2000" s="6" t="n"/>
      <c r="B2000" s="7" t="n"/>
      <c r="C2000" s="7" t="n"/>
      <c r="D2000" s="7" t="n"/>
      <c r="E2000" s="7" t="n"/>
      <c r="F2000" s="7" t="n"/>
      <c r="G2000" s="8" t="n"/>
      <c r="H2000" s="9" t="n"/>
      <c r="I2000" s="10">
        <f>IF(G2000="","",G2000*H2000)</f>
        <v/>
      </c>
      <c r="J2000" s="7" t="n"/>
    </row>
    <row r="2001">
      <c r="A2001" s="6" t="n"/>
      <c r="B2001" s="7" t="n"/>
      <c r="C2001" s="7" t="n"/>
      <c r="D2001" s="7" t="n"/>
      <c r="E2001" s="7" t="n"/>
      <c r="F2001" s="7" t="n"/>
      <c r="G2001" s="8" t="n"/>
      <c r="H2001" s="9" t="n"/>
      <c r="I2001" s="10">
        <f>IF(G2001="","",G2001*H2001)</f>
        <v/>
      </c>
      <c r="J2001" s="7" t="n"/>
    </row>
  </sheetData>
  <mergeCells count="2">
    <mergeCell ref="A1:J1"/>
    <mergeCell ref="A2:J2"/>
  </mergeCells>
  <dataValidations count="4">
    <dataValidation sqref="B5:B2001" showDropDown="0" showInputMessage="0" showErrorMessage="0" allowBlank="1" type="list">
      <formula1>=Lists!$A$2:$A$200</formula1>
    </dataValidation>
    <dataValidation sqref="C5:C2001" showDropDown="0" showInputMessage="0" showErrorMessage="0" allowBlank="1" type="list">
      <formula1>=Lists!$B$2:$B$200</formula1>
    </dataValidation>
    <dataValidation sqref="D5:D2001" showDropDown="0" showInputMessage="0" showErrorMessage="0" allowBlank="1" type="list">
      <formula1>='Item List'!$A$5:$A$500</formula1>
    </dataValidation>
    <dataValidation sqref="E5:E2001" showDropDown="0" showInputMessage="0" showErrorMessage="0" allowBlank="1" type="list">
      <formula1>='Item List'!$B$5:$B$500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80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4" customWidth="1" min="2" max="2"/>
    <col width="16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2" t="inlineStr">
        <is>
          <t>Item Lookup - search one item</t>
        </is>
      </c>
    </row>
    <row r="2">
      <c r="A2" s="3" t="inlineStr">
        <is>
          <t>Type or pick an Item Code (or Item Name) in the yellow box below. Everything else updates automatically.</t>
        </is>
      </c>
    </row>
    <row r="4">
      <c r="A4" s="1" t="inlineStr">
        <is>
          <t>Search by Item Code or Name:</t>
        </is>
      </c>
      <c r="C4" s="16" t="inlineStr">
        <is>
          <t>G0075</t>
        </is>
      </c>
      <c r="D4" s="17" t="n"/>
      <c r="E4" s="18" t="n"/>
    </row>
    <row r="6">
      <c r="A6" s="1" t="inlineStr">
        <is>
          <t>Item Name:</t>
        </is>
      </c>
      <c r="C6" s="19">
        <f>IFERROR(INDEX('Item List'!$B$5:$B$500,MATCH('Item Lookup'!$C$4,'Item List'!$A$5:$A$500,0)),IF(COUNTIF('Item List'!$B$5:$B$500,'Item Lookup'!$C$4)&gt;0,'Item Lookup'!$C$4,"(not found in Item List - showing history only)"))</f>
        <v/>
      </c>
    </row>
    <row r="7">
      <c r="A7" s="1" t="inlineStr">
        <is>
          <t>Unit:</t>
        </is>
      </c>
      <c r="C7" s="19">
        <f>IFERROR(INDEX('Item List'!$C$5:$C$500,MATCH('Item Lookup'!$C$4,'Item List'!$A$5:$A$500,0)),"")</f>
        <v/>
      </c>
    </row>
    <row r="8">
      <c r="A8" s="1" t="inlineStr">
        <is>
          <t>Last Price Paid:</t>
        </is>
      </c>
      <c r="C8" s="20">
        <f>IFERROR(INDEX('All Data'!$H$5:$H$2001,MATCH(1,('All Data'!$J$5:$J$2001='Item Lookup'!$C$4)*('All Data'!$A$5:$A$2001=C9),0)),"")</f>
        <v/>
      </c>
    </row>
    <row r="9">
      <c r="A9" s="1" t="inlineStr">
        <is>
          <t>Last Purchase Date:</t>
        </is>
      </c>
      <c r="C9" s="21">
        <f>IFERROR(MAX(IF('All Data'!$J$5:$J$2001='Item Lookup'!$C$4,'All Data'!$A$5:$A$2001)),"No purchases yet")</f>
        <v/>
      </c>
    </row>
    <row r="10">
      <c r="A10" s="1" t="inlineStr">
        <is>
          <t>Last Location:</t>
        </is>
      </c>
      <c r="C10" s="19">
        <f>IFERROR(INDEX('All Data'!$B$5:$B$2001,MATCH(1,('All Data'!$J$5:$J$2001='Item Lookup'!$C$4)*('All Data'!$A$5:$A$2001=C9),0)),"")</f>
        <v/>
      </c>
    </row>
    <row r="11">
      <c r="A11" s="1" t="inlineStr">
        <is>
          <t>Previous Price (before that):</t>
        </is>
      </c>
      <c r="C11" s="21">
        <f>IFERROR(LARGE(IF(('All Data'!$J$5:$J$2001='Item Lookup'!$C$4)*('All Data'!$A$5:$A$2001&lt;&gt;C9),'All Data'!$A$5:$A$2001),1),"")</f>
        <v/>
      </c>
      <c r="D11" s="3" t="inlineStr">
        <is>
          <t>(date)</t>
        </is>
      </c>
      <c r="E11" s="22">
        <f>IFERROR(INDEX('All Data'!$H$5:$H$2001,MATCH(1,('All Data'!$J$5:$J$2001='Item Lookup'!$C$4)*('All Data'!$A$5:$A$2001=C11),0)),"")</f>
        <v/>
      </c>
      <c r="F11" s="3" t="inlineStr">
        <is>
          <t>(price)</t>
        </is>
      </c>
    </row>
    <row r="12">
      <c r="A12" s="1" t="inlineStr">
        <is>
          <t>Change vs Previous:</t>
        </is>
      </c>
      <c r="C12" s="23">
        <f>IF(OR(C8="",E11=""),"",C8-E11)</f>
        <v/>
      </c>
      <c r="D12" s="24">
        <f>IF(OR(C8="",E11="",E11=0),"",TEXT((C8-E11)/E11,"+0.0%;-0.0%"))</f>
        <v/>
      </c>
    </row>
    <row r="13">
      <c r="A13" s="1" t="inlineStr">
        <is>
          <t>Lowest Price Ever:</t>
        </is>
      </c>
      <c r="C13" s="20">
        <f>IFERROR(MIN(IF('All Data'!$J$5:$J$2001='Item Lookup'!$C$4,'All Data'!$H$5:$H$2001)),"")</f>
        <v/>
      </c>
    </row>
    <row r="14">
      <c r="A14" s="1" t="inlineStr">
        <is>
          <t xml:space="preserve">  ...at Location:</t>
        </is>
      </c>
      <c r="C14" s="19">
        <f>IFERROR(INDEX('All Data'!$B$5:$B$2001,MATCH(1,('All Data'!$J$5:$J$2001='Item Lookup'!$C$4)*('All Data'!$H$5:$H$2001=C13),0)),"")</f>
        <v/>
      </c>
    </row>
    <row r="15">
      <c r="A15" s="1" t="inlineStr">
        <is>
          <t>Highest Price Ever:</t>
        </is>
      </c>
      <c r="C15" s="20">
        <f>IFERROR(MAX(IF('All Data'!$J$5:$J$2001='Item Lookup'!$C$4,'All Data'!$H$5:$H$2001)),"")</f>
        <v/>
      </c>
    </row>
    <row r="16">
      <c r="A16" s="1" t="inlineStr">
        <is>
          <t xml:space="preserve">  ...at Location:</t>
        </is>
      </c>
      <c r="C16" s="19">
        <f>IFERROR(INDEX('All Data'!$B$5:$B$2001,MATCH(1,('All Data'!$J$5:$J$2001='Item Lookup'!$C$4)*('All Data'!$H$5:$H$2001=C15),0)),"")</f>
        <v/>
      </c>
    </row>
    <row r="17">
      <c r="A17" s="1" t="inlineStr">
        <is>
          <t>Times Purchased:</t>
        </is>
      </c>
      <c r="C17" s="19">
        <f>COUNTIFS('All Data'!$J$5:$J$2001,'Item Lookup'!$C$4)</f>
        <v/>
      </c>
    </row>
    <row r="19">
      <c r="A19" s="25" t="inlineStr">
        <is>
          <t>Full Purchase History for this Item</t>
        </is>
      </c>
    </row>
    <row r="20" ht="26" customHeight="1">
      <c r="A20" s="4" t="inlineStr">
        <is>
          <t>Date</t>
        </is>
      </c>
      <c r="B20" s="4" t="inlineStr">
        <is>
          <t>Location</t>
        </is>
      </c>
      <c r="C20" s="4" t="inlineStr">
        <is>
          <t>Supplier</t>
        </is>
      </c>
      <c r="D20" s="4" t="inlineStr">
        <is>
          <t>Qty</t>
        </is>
      </c>
      <c r="E20" s="4" t="inlineStr">
        <is>
          <t>Unit Price ($)</t>
        </is>
      </c>
      <c r="F20" s="4" t="inlineStr">
        <is>
          <t>Amount ($)</t>
        </is>
      </c>
      <c r="G20" s="4" t="inlineStr">
        <is>
          <t>Change vs Prev ($)</t>
        </is>
      </c>
      <c r="H20" s="4" t="inlineStr">
        <is>
          <t>Flag</t>
        </is>
      </c>
    </row>
    <row r="21">
      <c r="A21" s="11">
        <f>IFERROR(LARGE(IF('All Data'!$J$5:$J$2001='Item Lookup'!$C$4,'All Data'!$A$5:$A$2001),1),"")</f>
        <v/>
      </c>
      <c r="B21" s="12">
        <f>IF($A21="","",IFERROR(INDEX('All Data'!$B$5:$B$2001,MATCH(1,('All Data'!$J$5:$J$2001='Item Lookup'!$C$4)*('All Data'!$A$5:$A$2001=$A21),0)),""))</f>
        <v/>
      </c>
      <c r="C21" s="12">
        <f>IF($A21="","",IFERROR(INDEX('All Data'!$C$5:$C$2001,MATCH(1,('All Data'!$J$5:$J$2001='Item Lookup'!$C$4)*('All Data'!$A$5:$A$2001=$A21),0)),""))</f>
        <v/>
      </c>
      <c r="D21" s="12">
        <f>IF($A21="","",IFERROR(INDEX('All Data'!$G$5:$G$2001,MATCH(1,('All Data'!$J$5:$J$2001='Item Lookup'!$C$4)*('All Data'!$A$5:$A$2001=$A21),0)),""))</f>
        <v/>
      </c>
      <c r="E21" s="10">
        <f>IF($A21="","",IFERROR(INDEX('All Data'!$H$5:$H$2001,MATCH(1,('All Data'!$J$5:$J$2001='Item Lookup'!$C$4)*('All Data'!$A$5:$A$2001=$A21),0)),""))</f>
        <v/>
      </c>
      <c r="F21" s="10">
        <f>IF($A21="","",IFERROR(INDEX('All Data'!$I$5:$I$2001,MATCH(1,('All Data'!$J$5:$J$2001='Item Lookup'!$C$4)*('All Data'!$A$5:$A$2001=$A21),0)),""))</f>
        <v/>
      </c>
      <c r="G21" s="14">
        <f>IF($A21="","",IFERROR(INDEX('All Data'!$L$5:$L$2001,MATCH(1,('All Data'!$J$5:$J$2001='Item Lookup'!$C$4)*('All Data'!$A$5:$A$2001=$A21),0)),""))</f>
        <v/>
      </c>
      <c r="H21" s="12">
        <f>IF($A21="","",IFERROR(INDEX('All Data'!$N$5:$N$2001,MATCH(1,('All Data'!$J$5:$J$2001='Item Lookup'!$C$4)*('All Data'!$A$5:$A$2001=$A21),0)),""))</f>
        <v/>
      </c>
    </row>
    <row r="22">
      <c r="A22" s="11">
        <f>IFERROR(LARGE(IF('All Data'!$J$5:$J$2001='Item Lookup'!$C$4,'All Data'!$A$5:$A$2001),2),"")</f>
        <v/>
      </c>
      <c r="B22" s="12">
        <f>IF($A22="","",IFERROR(INDEX('All Data'!$B$5:$B$2001,MATCH(1,('All Data'!$J$5:$J$2001='Item Lookup'!$C$4)*('All Data'!$A$5:$A$2001=$A22),0)),""))</f>
        <v/>
      </c>
      <c r="C22" s="12">
        <f>IF($A22="","",IFERROR(INDEX('All Data'!$C$5:$C$2001,MATCH(1,('All Data'!$J$5:$J$2001='Item Lookup'!$C$4)*('All Data'!$A$5:$A$2001=$A22),0)),""))</f>
        <v/>
      </c>
      <c r="D22" s="12">
        <f>IF($A22="","",IFERROR(INDEX('All Data'!$G$5:$G$2001,MATCH(1,('All Data'!$J$5:$J$2001='Item Lookup'!$C$4)*('All Data'!$A$5:$A$2001=$A22),0)),""))</f>
        <v/>
      </c>
      <c r="E22" s="10">
        <f>IF($A22="","",IFERROR(INDEX('All Data'!$H$5:$H$2001,MATCH(1,('All Data'!$J$5:$J$2001='Item Lookup'!$C$4)*('All Data'!$A$5:$A$2001=$A22),0)),""))</f>
        <v/>
      </c>
      <c r="F22" s="10">
        <f>IF($A22="","",IFERROR(INDEX('All Data'!$I$5:$I$2001,MATCH(1,('All Data'!$J$5:$J$2001='Item Lookup'!$C$4)*('All Data'!$A$5:$A$2001=$A22),0)),""))</f>
        <v/>
      </c>
      <c r="G22" s="14">
        <f>IF($A22="","",IFERROR(INDEX('All Data'!$L$5:$L$2001,MATCH(1,('All Data'!$J$5:$J$2001='Item Lookup'!$C$4)*('All Data'!$A$5:$A$2001=$A22),0)),""))</f>
        <v/>
      </c>
      <c r="H22" s="12">
        <f>IF($A22="","",IFERROR(INDEX('All Data'!$N$5:$N$2001,MATCH(1,('All Data'!$J$5:$J$2001='Item Lookup'!$C$4)*('All Data'!$A$5:$A$2001=$A22),0)),""))</f>
        <v/>
      </c>
    </row>
    <row r="23">
      <c r="A23" s="11">
        <f>IFERROR(LARGE(IF('All Data'!$J$5:$J$2001='Item Lookup'!$C$4,'All Data'!$A$5:$A$2001),3),"")</f>
        <v/>
      </c>
      <c r="B23" s="12">
        <f>IF($A23="","",IFERROR(INDEX('All Data'!$B$5:$B$2001,MATCH(1,('All Data'!$J$5:$J$2001='Item Lookup'!$C$4)*('All Data'!$A$5:$A$2001=$A23),0)),""))</f>
        <v/>
      </c>
      <c r="C23" s="12">
        <f>IF($A23="","",IFERROR(INDEX('All Data'!$C$5:$C$2001,MATCH(1,('All Data'!$J$5:$J$2001='Item Lookup'!$C$4)*('All Data'!$A$5:$A$2001=$A23),0)),""))</f>
        <v/>
      </c>
      <c r="D23" s="12">
        <f>IF($A23="","",IFERROR(INDEX('All Data'!$G$5:$G$2001,MATCH(1,('All Data'!$J$5:$J$2001='Item Lookup'!$C$4)*('All Data'!$A$5:$A$2001=$A23),0)),""))</f>
        <v/>
      </c>
      <c r="E23" s="10">
        <f>IF($A23="","",IFERROR(INDEX('All Data'!$H$5:$H$2001,MATCH(1,('All Data'!$J$5:$J$2001='Item Lookup'!$C$4)*('All Data'!$A$5:$A$2001=$A23),0)),""))</f>
        <v/>
      </c>
      <c r="F23" s="10">
        <f>IF($A23="","",IFERROR(INDEX('All Data'!$I$5:$I$2001,MATCH(1,('All Data'!$J$5:$J$2001='Item Lookup'!$C$4)*('All Data'!$A$5:$A$2001=$A23),0)),""))</f>
        <v/>
      </c>
      <c r="G23" s="14">
        <f>IF($A23="","",IFERROR(INDEX('All Data'!$L$5:$L$2001,MATCH(1,('All Data'!$J$5:$J$2001='Item Lookup'!$C$4)*('All Data'!$A$5:$A$2001=$A23),0)),""))</f>
        <v/>
      </c>
      <c r="H23" s="12">
        <f>IF($A23="","",IFERROR(INDEX('All Data'!$N$5:$N$2001,MATCH(1,('All Data'!$J$5:$J$2001='Item Lookup'!$C$4)*('All Data'!$A$5:$A$2001=$A23),0)),""))</f>
        <v/>
      </c>
    </row>
    <row r="24">
      <c r="A24" s="11">
        <f>IFERROR(LARGE(IF('All Data'!$J$5:$J$2001='Item Lookup'!$C$4,'All Data'!$A$5:$A$2001),4),"")</f>
        <v/>
      </c>
      <c r="B24" s="12">
        <f>IF($A24="","",IFERROR(INDEX('All Data'!$B$5:$B$2001,MATCH(1,('All Data'!$J$5:$J$2001='Item Lookup'!$C$4)*('All Data'!$A$5:$A$2001=$A24),0)),""))</f>
        <v/>
      </c>
      <c r="C24" s="12">
        <f>IF($A24="","",IFERROR(INDEX('All Data'!$C$5:$C$2001,MATCH(1,('All Data'!$J$5:$J$2001='Item Lookup'!$C$4)*('All Data'!$A$5:$A$2001=$A24),0)),""))</f>
        <v/>
      </c>
      <c r="D24" s="12">
        <f>IF($A24="","",IFERROR(INDEX('All Data'!$G$5:$G$2001,MATCH(1,('All Data'!$J$5:$J$2001='Item Lookup'!$C$4)*('All Data'!$A$5:$A$2001=$A24),0)),""))</f>
        <v/>
      </c>
      <c r="E24" s="10">
        <f>IF($A24="","",IFERROR(INDEX('All Data'!$H$5:$H$2001,MATCH(1,('All Data'!$J$5:$J$2001='Item Lookup'!$C$4)*('All Data'!$A$5:$A$2001=$A24),0)),""))</f>
        <v/>
      </c>
      <c r="F24" s="10">
        <f>IF($A24="","",IFERROR(INDEX('All Data'!$I$5:$I$2001,MATCH(1,('All Data'!$J$5:$J$2001='Item Lookup'!$C$4)*('All Data'!$A$5:$A$2001=$A24),0)),""))</f>
        <v/>
      </c>
      <c r="G24" s="14">
        <f>IF($A24="","",IFERROR(INDEX('All Data'!$L$5:$L$2001,MATCH(1,('All Data'!$J$5:$J$2001='Item Lookup'!$C$4)*('All Data'!$A$5:$A$2001=$A24),0)),""))</f>
        <v/>
      </c>
      <c r="H24" s="12">
        <f>IF($A24="","",IFERROR(INDEX('All Data'!$N$5:$N$2001,MATCH(1,('All Data'!$J$5:$J$2001='Item Lookup'!$C$4)*('All Data'!$A$5:$A$2001=$A24),0)),""))</f>
        <v/>
      </c>
    </row>
    <row r="25">
      <c r="A25" s="11">
        <f>IFERROR(LARGE(IF('All Data'!$J$5:$J$2001='Item Lookup'!$C$4,'All Data'!$A$5:$A$2001),5),"")</f>
        <v/>
      </c>
      <c r="B25" s="12">
        <f>IF($A25="","",IFERROR(INDEX('All Data'!$B$5:$B$2001,MATCH(1,('All Data'!$J$5:$J$2001='Item Lookup'!$C$4)*('All Data'!$A$5:$A$2001=$A25),0)),""))</f>
        <v/>
      </c>
      <c r="C25" s="12">
        <f>IF($A25="","",IFERROR(INDEX('All Data'!$C$5:$C$2001,MATCH(1,('All Data'!$J$5:$J$2001='Item Lookup'!$C$4)*('All Data'!$A$5:$A$2001=$A25),0)),""))</f>
        <v/>
      </c>
      <c r="D25" s="12">
        <f>IF($A25="","",IFERROR(INDEX('All Data'!$G$5:$G$2001,MATCH(1,('All Data'!$J$5:$J$2001='Item Lookup'!$C$4)*('All Data'!$A$5:$A$2001=$A25),0)),""))</f>
        <v/>
      </c>
      <c r="E25" s="10">
        <f>IF($A25="","",IFERROR(INDEX('All Data'!$H$5:$H$2001,MATCH(1,('All Data'!$J$5:$J$2001='Item Lookup'!$C$4)*('All Data'!$A$5:$A$2001=$A25),0)),""))</f>
        <v/>
      </c>
      <c r="F25" s="10">
        <f>IF($A25="","",IFERROR(INDEX('All Data'!$I$5:$I$2001,MATCH(1,('All Data'!$J$5:$J$2001='Item Lookup'!$C$4)*('All Data'!$A$5:$A$2001=$A25),0)),""))</f>
        <v/>
      </c>
      <c r="G25" s="14">
        <f>IF($A25="","",IFERROR(INDEX('All Data'!$L$5:$L$2001,MATCH(1,('All Data'!$J$5:$J$2001='Item Lookup'!$C$4)*('All Data'!$A$5:$A$2001=$A25),0)),""))</f>
        <v/>
      </c>
      <c r="H25" s="12">
        <f>IF($A25="","",IFERROR(INDEX('All Data'!$N$5:$N$2001,MATCH(1,('All Data'!$J$5:$J$2001='Item Lookup'!$C$4)*('All Data'!$A$5:$A$2001=$A25),0)),""))</f>
        <v/>
      </c>
    </row>
    <row r="26">
      <c r="A26" s="11">
        <f>IFERROR(LARGE(IF('All Data'!$J$5:$J$2001='Item Lookup'!$C$4,'All Data'!$A$5:$A$2001),6),"")</f>
        <v/>
      </c>
      <c r="B26" s="12">
        <f>IF($A26="","",IFERROR(INDEX('All Data'!$B$5:$B$2001,MATCH(1,('All Data'!$J$5:$J$2001='Item Lookup'!$C$4)*('All Data'!$A$5:$A$2001=$A26),0)),""))</f>
        <v/>
      </c>
      <c r="C26" s="12">
        <f>IF($A26="","",IFERROR(INDEX('All Data'!$C$5:$C$2001,MATCH(1,('All Data'!$J$5:$J$2001='Item Lookup'!$C$4)*('All Data'!$A$5:$A$2001=$A26),0)),""))</f>
        <v/>
      </c>
      <c r="D26" s="12">
        <f>IF($A26="","",IFERROR(INDEX('All Data'!$G$5:$G$2001,MATCH(1,('All Data'!$J$5:$J$2001='Item Lookup'!$C$4)*('All Data'!$A$5:$A$2001=$A26),0)),""))</f>
        <v/>
      </c>
      <c r="E26" s="10">
        <f>IF($A26="","",IFERROR(INDEX('All Data'!$H$5:$H$2001,MATCH(1,('All Data'!$J$5:$J$2001='Item Lookup'!$C$4)*('All Data'!$A$5:$A$2001=$A26),0)),""))</f>
        <v/>
      </c>
      <c r="F26" s="10">
        <f>IF($A26="","",IFERROR(INDEX('All Data'!$I$5:$I$2001,MATCH(1,('All Data'!$J$5:$J$2001='Item Lookup'!$C$4)*('All Data'!$A$5:$A$2001=$A26),0)),""))</f>
        <v/>
      </c>
      <c r="G26" s="14">
        <f>IF($A26="","",IFERROR(INDEX('All Data'!$L$5:$L$2001,MATCH(1,('All Data'!$J$5:$J$2001='Item Lookup'!$C$4)*('All Data'!$A$5:$A$2001=$A26),0)),""))</f>
        <v/>
      </c>
      <c r="H26" s="12">
        <f>IF($A26="","",IFERROR(INDEX('All Data'!$N$5:$N$2001,MATCH(1,('All Data'!$J$5:$J$2001='Item Lookup'!$C$4)*('All Data'!$A$5:$A$2001=$A26),0)),""))</f>
        <v/>
      </c>
    </row>
    <row r="27">
      <c r="A27" s="11">
        <f>IFERROR(LARGE(IF('All Data'!$J$5:$J$2001='Item Lookup'!$C$4,'All Data'!$A$5:$A$2001),7),"")</f>
        <v/>
      </c>
      <c r="B27" s="12">
        <f>IF($A27="","",IFERROR(INDEX('All Data'!$B$5:$B$2001,MATCH(1,('All Data'!$J$5:$J$2001='Item Lookup'!$C$4)*('All Data'!$A$5:$A$2001=$A27),0)),""))</f>
        <v/>
      </c>
      <c r="C27" s="12">
        <f>IF($A27="","",IFERROR(INDEX('All Data'!$C$5:$C$2001,MATCH(1,('All Data'!$J$5:$J$2001='Item Lookup'!$C$4)*('All Data'!$A$5:$A$2001=$A27),0)),""))</f>
        <v/>
      </c>
      <c r="D27" s="12">
        <f>IF($A27="","",IFERROR(INDEX('All Data'!$G$5:$G$2001,MATCH(1,('All Data'!$J$5:$J$2001='Item Lookup'!$C$4)*('All Data'!$A$5:$A$2001=$A27),0)),""))</f>
        <v/>
      </c>
      <c r="E27" s="10">
        <f>IF($A27="","",IFERROR(INDEX('All Data'!$H$5:$H$2001,MATCH(1,('All Data'!$J$5:$J$2001='Item Lookup'!$C$4)*('All Data'!$A$5:$A$2001=$A27),0)),""))</f>
        <v/>
      </c>
      <c r="F27" s="10">
        <f>IF($A27="","",IFERROR(INDEX('All Data'!$I$5:$I$2001,MATCH(1,('All Data'!$J$5:$J$2001='Item Lookup'!$C$4)*('All Data'!$A$5:$A$2001=$A27),0)),""))</f>
        <v/>
      </c>
      <c r="G27" s="14">
        <f>IF($A27="","",IFERROR(INDEX('All Data'!$L$5:$L$2001,MATCH(1,('All Data'!$J$5:$J$2001='Item Lookup'!$C$4)*('All Data'!$A$5:$A$2001=$A27),0)),""))</f>
        <v/>
      </c>
      <c r="H27" s="12">
        <f>IF($A27="","",IFERROR(INDEX('All Data'!$N$5:$N$2001,MATCH(1,('All Data'!$J$5:$J$2001='Item Lookup'!$C$4)*('All Data'!$A$5:$A$2001=$A27),0)),""))</f>
        <v/>
      </c>
    </row>
    <row r="28">
      <c r="A28" s="11">
        <f>IFERROR(LARGE(IF('All Data'!$J$5:$J$2001='Item Lookup'!$C$4,'All Data'!$A$5:$A$2001),8),"")</f>
        <v/>
      </c>
      <c r="B28" s="12">
        <f>IF($A28="","",IFERROR(INDEX('All Data'!$B$5:$B$2001,MATCH(1,('All Data'!$J$5:$J$2001='Item Lookup'!$C$4)*('All Data'!$A$5:$A$2001=$A28),0)),""))</f>
        <v/>
      </c>
      <c r="C28" s="12">
        <f>IF($A28="","",IFERROR(INDEX('All Data'!$C$5:$C$2001,MATCH(1,('All Data'!$J$5:$J$2001='Item Lookup'!$C$4)*('All Data'!$A$5:$A$2001=$A28),0)),""))</f>
        <v/>
      </c>
      <c r="D28" s="12">
        <f>IF($A28="","",IFERROR(INDEX('All Data'!$G$5:$G$2001,MATCH(1,('All Data'!$J$5:$J$2001='Item Lookup'!$C$4)*('All Data'!$A$5:$A$2001=$A28),0)),""))</f>
        <v/>
      </c>
      <c r="E28" s="10">
        <f>IF($A28="","",IFERROR(INDEX('All Data'!$H$5:$H$2001,MATCH(1,('All Data'!$J$5:$J$2001='Item Lookup'!$C$4)*('All Data'!$A$5:$A$2001=$A28),0)),""))</f>
        <v/>
      </c>
      <c r="F28" s="10">
        <f>IF($A28="","",IFERROR(INDEX('All Data'!$I$5:$I$2001,MATCH(1,('All Data'!$J$5:$J$2001='Item Lookup'!$C$4)*('All Data'!$A$5:$A$2001=$A28),0)),""))</f>
        <v/>
      </c>
      <c r="G28" s="14">
        <f>IF($A28="","",IFERROR(INDEX('All Data'!$L$5:$L$2001,MATCH(1,('All Data'!$J$5:$J$2001='Item Lookup'!$C$4)*('All Data'!$A$5:$A$2001=$A28),0)),""))</f>
        <v/>
      </c>
      <c r="H28" s="12">
        <f>IF($A28="","",IFERROR(INDEX('All Data'!$N$5:$N$2001,MATCH(1,('All Data'!$J$5:$J$2001='Item Lookup'!$C$4)*('All Data'!$A$5:$A$2001=$A28),0)),""))</f>
        <v/>
      </c>
    </row>
    <row r="29">
      <c r="A29" s="11">
        <f>IFERROR(LARGE(IF('All Data'!$J$5:$J$2001='Item Lookup'!$C$4,'All Data'!$A$5:$A$2001),9),"")</f>
        <v/>
      </c>
      <c r="B29" s="12">
        <f>IF($A29="","",IFERROR(INDEX('All Data'!$B$5:$B$2001,MATCH(1,('All Data'!$J$5:$J$2001='Item Lookup'!$C$4)*('All Data'!$A$5:$A$2001=$A29),0)),""))</f>
        <v/>
      </c>
      <c r="C29" s="12">
        <f>IF($A29="","",IFERROR(INDEX('All Data'!$C$5:$C$2001,MATCH(1,('All Data'!$J$5:$J$2001='Item Lookup'!$C$4)*('All Data'!$A$5:$A$2001=$A29),0)),""))</f>
        <v/>
      </c>
      <c r="D29" s="12">
        <f>IF($A29="","",IFERROR(INDEX('All Data'!$G$5:$G$2001,MATCH(1,('All Data'!$J$5:$J$2001='Item Lookup'!$C$4)*('All Data'!$A$5:$A$2001=$A29),0)),""))</f>
        <v/>
      </c>
      <c r="E29" s="10">
        <f>IF($A29="","",IFERROR(INDEX('All Data'!$H$5:$H$2001,MATCH(1,('All Data'!$J$5:$J$2001='Item Lookup'!$C$4)*('All Data'!$A$5:$A$2001=$A29),0)),""))</f>
        <v/>
      </c>
      <c r="F29" s="10">
        <f>IF($A29="","",IFERROR(INDEX('All Data'!$I$5:$I$2001,MATCH(1,('All Data'!$J$5:$J$2001='Item Lookup'!$C$4)*('All Data'!$A$5:$A$2001=$A29),0)),""))</f>
        <v/>
      </c>
      <c r="G29" s="14">
        <f>IF($A29="","",IFERROR(INDEX('All Data'!$L$5:$L$2001,MATCH(1,('All Data'!$J$5:$J$2001='Item Lookup'!$C$4)*('All Data'!$A$5:$A$2001=$A29),0)),""))</f>
        <v/>
      </c>
      <c r="H29" s="12">
        <f>IF($A29="","",IFERROR(INDEX('All Data'!$N$5:$N$2001,MATCH(1,('All Data'!$J$5:$J$2001='Item Lookup'!$C$4)*('All Data'!$A$5:$A$2001=$A29),0)),""))</f>
        <v/>
      </c>
    </row>
    <row r="30">
      <c r="A30" s="11">
        <f>IFERROR(LARGE(IF('All Data'!$J$5:$J$2001='Item Lookup'!$C$4,'All Data'!$A$5:$A$2001),10),"")</f>
        <v/>
      </c>
      <c r="B30" s="12">
        <f>IF($A30="","",IFERROR(INDEX('All Data'!$B$5:$B$2001,MATCH(1,('All Data'!$J$5:$J$2001='Item Lookup'!$C$4)*('All Data'!$A$5:$A$2001=$A30),0)),""))</f>
        <v/>
      </c>
      <c r="C30" s="12">
        <f>IF($A30="","",IFERROR(INDEX('All Data'!$C$5:$C$2001,MATCH(1,('All Data'!$J$5:$J$2001='Item Lookup'!$C$4)*('All Data'!$A$5:$A$2001=$A30),0)),""))</f>
        <v/>
      </c>
      <c r="D30" s="12">
        <f>IF($A30="","",IFERROR(INDEX('All Data'!$G$5:$G$2001,MATCH(1,('All Data'!$J$5:$J$2001='Item Lookup'!$C$4)*('All Data'!$A$5:$A$2001=$A30),0)),""))</f>
        <v/>
      </c>
      <c r="E30" s="10">
        <f>IF($A30="","",IFERROR(INDEX('All Data'!$H$5:$H$2001,MATCH(1,('All Data'!$J$5:$J$2001='Item Lookup'!$C$4)*('All Data'!$A$5:$A$2001=$A30),0)),""))</f>
        <v/>
      </c>
      <c r="F30" s="10">
        <f>IF($A30="","",IFERROR(INDEX('All Data'!$I$5:$I$2001,MATCH(1,('All Data'!$J$5:$J$2001='Item Lookup'!$C$4)*('All Data'!$A$5:$A$2001=$A30),0)),""))</f>
        <v/>
      </c>
      <c r="G30" s="14">
        <f>IF($A30="","",IFERROR(INDEX('All Data'!$L$5:$L$2001,MATCH(1,('All Data'!$J$5:$J$2001='Item Lookup'!$C$4)*('All Data'!$A$5:$A$2001=$A30),0)),""))</f>
        <v/>
      </c>
      <c r="H30" s="12">
        <f>IF($A30="","",IFERROR(INDEX('All Data'!$N$5:$N$2001,MATCH(1,('All Data'!$J$5:$J$2001='Item Lookup'!$C$4)*('All Data'!$A$5:$A$2001=$A30),0)),""))</f>
        <v/>
      </c>
    </row>
    <row r="31">
      <c r="A31" s="11">
        <f>IFERROR(LARGE(IF('All Data'!$J$5:$J$2001='Item Lookup'!$C$4,'All Data'!$A$5:$A$2001),11),"")</f>
        <v/>
      </c>
      <c r="B31" s="12">
        <f>IF($A31="","",IFERROR(INDEX('All Data'!$B$5:$B$2001,MATCH(1,('All Data'!$J$5:$J$2001='Item Lookup'!$C$4)*('All Data'!$A$5:$A$2001=$A31),0)),""))</f>
        <v/>
      </c>
      <c r="C31" s="12">
        <f>IF($A31="","",IFERROR(INDEX('All Data'!$C$5:$C$2001,MATCH(1,('All Data'!$J$5:$J$2001='Item Lookup'!$C$4)*('All Data'!$A$5:$A$2001=$A31),0)),""))</f>
        <v/>
      </c>
      <c r="D31" s="12">
        <f>IF($A31="","",IFERROR(INDEX('All Data'!$G$5:$G$2001,MATCH(1,('All Data'!$J$5:$J$2001='Item Lookup'!$C$4)*('All Data'!$A$5:$A$2001=$A31),0)),""))</f>
        <v/>
      </c>
      <c r="E31" s="10">
        <f>IF($A31="","",IFERROR(INDEX('All Data'!$H$5:$H$2001,MATCH(1,('All Data'!$J$5:$J$2001='Item Lookup'!$C$4)*('All Data'!$A$5:$A$2001=$A31),0)),""))</f>
        <v/>
      </c>
      <c r="F31" s="10">
        <f>IF($A31="","",IFERROR(INDEX('All Data'!$I$5:$I$2001,MATCH(1,('All Data'!$J$5:$J$2001='Item Lookup'!$C$4)*('All Data'!$A$5:$A$2001=$A31),0)),""))</f>
        <v/>
      </c>
      <c r="G31" s="14">
        <f>IF($A31="","",IFERROR(INDEX('All Data'!$L$5:$L$2001,MATCH(1,('All Data'!$J$5:$J$2001='Item Lookup'!$C$4)*('All Data'!$A$5:$A$2001=$A31),0)),""))</f>
        <v/>
      </c>
      <c r="H31" s="12">
        <f>IF($A31="","",IFERROR(INDEX('All Data'!$N$5:$N$2001,MATCH(1,('All Data'!$J$5:$J$2001='Item Lookup'!$C$4)*('All Data'!$A$5:$A$2001=$A31),0)),""))</f>
        <v/>
      </c>
    </row>
    <row r="32">
      <c r="A32" s="11">
        <f>IFERROR(LARGE(IF('All Data'!$J$5:$J$2001='Item Lookup'!$C$4,'All Data'!$A$5:$A$2001),12),"")</f>
        <v/>
      </c>
      <c r="B32" s="12">
        <f>IF($A32="","",IFERROR(INDEX('All Data'!$B$5:$B$2001,MATCH(1,('All Data'!$J$5:$J$2001='Item Lookup'!$C$4)*('All Data'!$A$5:$A$2001=$A32),0)),""))</f>
        <v/>
      </c>
      <c r="C32" s="12">
        <f>IF($A32="","",IFERROR(INDEX('All Data'!$C$5:$C$2001,MATCH(1,('All Data'!$J$5:$J$2001='Item Lookup'!$C$4)*('All Data'!$A$5:$A$2001=$A32),0)),""))</f>
        <v/>
      </c>
      <c r="D32" s="12">
        <f>IF($A32="","",IFERROR(INDEX('All Data'!$G$5:$G$2001,MATCH(1,('All Data'!$J$5:$J$2001='Item Lookup'!$C$4)*('All Data'!$A$5:$A$2001=$A32),0)),""))</f>
        <v/>
      </c>
      <c r="E32" s="10">
        <f>IF($A32="","",IFERROR(INDEX('All Data'!$H$5:$H$2001,MATCH(1,('All Data'!$J$5:$J$2001='Item Lookup'!$C$4)*('All Data'!$A$5:$A$2001=$A32),0)),""))</f>
        <v/>
      </c>
      <c r="F32" s="10">
        <f>IF($A32="","",IFERROR(INDEX('All Data'!$I$5:$I$2001,MATCH(1,('All Data'!$J$5:$J$2001='Item Lookup'!$C$4)*('All Data'!$A$5:$A$2001=$A32),0)),""))</f>
        <v/>
      </c>
      <c r="G32" s="14">
        <f>IF($A32="","",IFERROR(INDEX('All Data'!$L$5:$L$2001,MATCH(1,('All Data'!$J$5:$J$2001='Item Lookup'!$C$4)*('All Data'!$A$5:$A$2001=$A32),0)),""))</f>
        <v/>
      </c>
      <c r="H32" s="12">
        <f>IF($A32="","",IFERROR(INDEX('All Data'!$N$5:$N$2001,MATCH(1,('All Data'!$J$5:$J$2001='Item Lookup'!$C$4)*('All Data'!$A$5:$A$2001=$A32),0)),""))</f>
        <v/>
      </c>
    </row>
    <row r="33">
      <c r="A33" s="11">
        <f>IFERROR(LARGE(IF('All Data'!$J$5:$J$2001='Item Lookup'!$C$4,'All Data'!$A$5:$A$2001),13),"")</f>
        <v/>
      </c>
      <c r="B33" s="12">
        <f>IF($A33="","",IFERROR(INDEX('All Data'!$B$5:$B$2001,MATCH(1,('All Data'!$J$5:$J$2001='Item Lookup'!$C$4)*('All Data'!$A$5:$A$2001=$A33),0)),""))</f>
        <v/>
      </c>
      <c r="C33" s="12">
        <f>IF($A33="","",IFERROR(INDEX('All Data'!$C$5:$C$2001,MATCH(1,('All Data'!$J$5:$J$2001='Item Lookup'!$C$4)*('All Data'!$A$5:$A$2001=$A33),0)),""))</f>
        <v/>
      </c>
      <c r="D33" s="12">
        <f>IF($A33="","",IFERROR(INDEX('All Data'!$G$5:$G$2001,MATCH(1,('All Data'!$J$5:$J$2001='Item Lookup'!$C$4)*('All Data'!$A$5:$A$2001=$A33),0)),""))</f>
        <v/>
      </c>
      <c r="E33" s="10">
        <f>IF($A33="","",IFERROR(INDEX('All Data'!$H$5:$H$2001,MATCH(1,('All Data'!$J$5:$J$2001='Item Lookup'!$C$4)*('All Data'!$A$5:$A$2001=$A33),0)),""))</f>
        <v/>
      </c>
      <c r="F33" s="10">
        <f>IF($A33="","",IFERROR(INDEX('All Data'!$I$5:$I$2001,MATCH(1,('All Data'!$J$5:$J$2001='Item Lookup'!$C$4)*('All Data'!$A$5:$A$2001=$A33),0)),""))</f>
        <v/>
      </c>
      <c r="G33" s="14">
        <f>IF($A33="","",IFERROR(INDEX('All Data'!$L$5:$L$2001,MATCH(1,('All Data'!$J$5:$J$2001='Item Lookup'!$C$4)*('All Data'!$A$5:$A$2001=$A33),0)),""))</f>
        <v/>
      </c>
      <c r="H33" s="12">
        <f>IF($A33="","",IFERROR(INDEX('All Data'!$N$5:$N$2001,MATCH(1,('All Data'!$J$5:$J$2001='Item Lookup'!$C$4)*('All Data'!$A$5:$A$2001=$A33),0)),""))</f>
        <v/>
      </c>
    </row>
    <row r="34">
      <c r="A34" s="11">
        <f>IFERROR(LARGE(IF('All Data'!$J$5:$J$2001='Item Lookup'!$C$4,'All Data'!$A$5:$A$2001),14),"")</f>
        <v/>
      </c>
      <c r="B34" s="12">
        <f>IF($A34="","",IFERROR(INDEX('All Data'!$B$5:$B$2001,MATCH(1,('All Data'!$J$5:$J$2001='Item Lookup'!$C$4)*('All Data'!$A$5:$A$2001=$A34),0)),""))</f>
        <v/>
      </c>
      <c r="C34" s="12">
        <f>IF($A34="","",IFERROR(INDEX('All Data'!$C$5:$C$2001,MATCH(1,('All Data'!$J$5:$J$2001='Item Lookup'!$C$4)*('All Data'!$A$5:$A$2001=$A34),0)),""))</f>
        <v/>
      </c>
      <c r="D34" s="12">
        <f>IF($A34="","",IFERROR(INDEX('All Data'!$G$5:$G$2001,MATCH(1,('All Data'!$J$5:$J$2001='Item Lookup'!$C$4)*('All Data'!$A$5:$A$2001=$A34),0)),""))</f>
        <v/>
      </c>
      <c r="E34" s="10">
        <f>IF($A34="","",IFERROR(INDEX('All Data'!$H$5:$H$2001,MATCH(1,('All Data'!$J$5:$J$2001='Item Lookup'!$C$4)*('All Data'!$A$5:$A$2001=$A34),0)),""))</f>
        <v/>
      </c>
      <c r="F34" s="10">
        <f>IF($A34="","",IFERROR(INDEX('All Data'!$I$5:$I$2001,MATCH(1,('All Data'!$J$5:$J$2001='Item Lookup'!$C$4)*('All Data'!$A$5:$A$2001=$A34),0)),""))</f>
        <v/>
      </c>
      <c r="G34" s="14">
        <f>IF($A34="","",IFERROR(INDEX('All Data'!$L$5:$L$2001,MATCH(1,('All Data'!$J$5:$J$2001='Item Lookup'!$C$4)*('All Data'!$A$5:$A$2001=$A34),0)),""))</f>
        <v/>
      </c>
      <c r="H34" s="12">
        <f>IF($A34="","",IFERROR(INDEX('All Data'!$N$5:$N$2001,MATCH(1,('All Data'!$J$5:$J$2001='Item Lookup'!$C$4)*('All Data'!$A$5:$A$2001=$A34),0)),""))</f>
        <v/>
      </c>
    </row>
    <row r="35">
      <c r="A35" s="11">
        <f>IFERROR(LARGE(IF('All Data'!$J$5:$J$2001='Item Lookup'!$C$4,'All Data'!$A$5:$A$2001),15),"")</f>
        <v/>
      </c>
      <c r="B35" s="12">
        <f>IF($A35="","",IFERROR(INDEX('All Data'!$B$5:$B$2001,MATCH(1,('All Data'!$J$5:$J$2001='Item Lookup'!$C$4)*('All Data'!$A$5:$A$2001=$A35),0)),""))</f>
        <v/>
      </c>
      <c r="C35" s="12">
        <f>IF($A35="","",IFERROR(INDEX('All Data'!$C$5:$C$2001,MATCH(1,('All Data'!$J$5:$J$2001='Item Lookup'!$C$4)*('All Data'!$A$5:$A$2001=$A35),0)),""))</f>
        <v/>
      </c>
      <c r="D35" s="12">
        <f>IF($A35="","",IFERROR(INDEX('All Data'!$G$5:$G$2001,MATCH(1,('All Data'!$J$5:$J$2001='Item Lookup'!$C$4)*('All Data'!$A$5:$A$2001=$A35),0)),""))</f>
        <v/>
      </c>
      <c r="E35" s="10">
        <f>IF($A35="","",IFERROR(INDEX('All Data'!$H$5:$H$2001,MATCH(1,('All Data'!$J$5:$J$2001='Item Lookup'!$C$4)*('All Data'!$A$5:$A$2001=$A35),0)),""))</f>
        <v/>
      </c>
      <c r="F35" s="10">
        <f>IF($A35="","",IFERROR(INDEX('All Data'!$I$5:$I$2001,MATCH(1,('All Data'!$J$5:$J$2001='Item Lookup'!$C$4)*('All Data'!$A$5:$A$2001=$A35),0)),""))</f>
        <v/>
      </c>
      <c r="G35" s="14">
        <f>IF($A35="","",IFERROR(INDEX('All Data'!$L$5:$L$2001,MATCH(1,('All Data'!$J$5:$J$2001='Item Lookup'!$C$4)*('All Data'!$A$5:$A$2001=$A35),0)),""))</f>
        <v/>
      </c>
      <c r="H35" s="12">
        <f>IF($A35="","",IFERROR(INDEX('All Data'!$N$5:$N$2001,MATCH(1,('All Data'!$J$5:$J$2001='Item Lookup'!$C$4)*('All Data'!$A$5:$A$2001=$A35),0)),""))</f>
        <v/>
      </c>
    </row>
    <row r="36">
      <c r="A36" s="11">
        <f>IFERROR(LARGE(IF('All Data'!$J$5:$J$2001='Item Lookup'!$C$4,'All Data'!$A$5:$A$2001),16),"")</f>
        <v/>
      </c>
      <c r="B36" s="12">
        <f>IF($A36="","",IFERROR(INDEX('All Data'!$B$5:$B$2001,MATCH(1,('All Data'!$J$5:$J$2001='Item Lookup'!$C$4)*('All Data'!$A$5:$A$2001=$A36),0)),""))</f>
        <v/>
      </c>
      <c r="C36" s="12">
        <f>IF($A36="","",IFERROR(INDEX('All Data'!$C$5:$C$2001,MATCH(1,('All Data'!$J$5:$J$2001='Item Lookup'!$C$4)*('All Data'!$A$5:$A$2001=$A36),0)),""))</f>
        <v/>
      </c>
      <c r="D36" s="12">
        <f>IF($A36="","",IFERROR(INDEX('All Data'!$G$5:$G$2001,MATCH(1,('All Data'!$J$5:$J$2001='Item Lookup'!$C$4)*('All Data'!$A$5:$A$2001=$A36),0)),""))</f>
        <v/>
      </c>
      <c r="E36" s="10">
        <f>IF($A36="","",IFERROR(INDEX('All Data'!$H$5:$H$2001,MATCH(1,('All Data'!$J$5:$J$2001='Item Lookup'!$C$4)*('All Data'!$A$5:$A$2001=$A36),0)),""))</f>
        <v/>
      </c>
      <c r="F36" s="10">
        <f>IF($A36="","",IFERROR(INDEX('All Data'!$I$5:$I$2001,MATCH(1,('All Data'!$J$5:$J$2001='Item Lookup'!$C$4)*('All Data'!$A$5:$A$2001=$A36),0)),""))</f>
        <v/>
      </c>
      <c r="G36" s="14">
        <f>IF($A36="","",IFERROR(INDEX('All Data'!$L$5:$L$2001,MATCH(1,('All Data'!$J$5:$J$2001='Item Lookup'!$C$4)*('All Data'!$A$5:$A$2001=$A36),0)),""))</f>
        <v/>
      </c>
      <c r="H36" s="12">
        <f>IF($A36="","",IFERROR(INDEX('All Data'!$N$5:$N$2001,MATCH(1,('All Data'!$J$5:$J$2001='Item Lookup'!$C$4)*('All Data'!$A$5:$A$2001=$A36),0)),""))</f>
        <v/>
      </c>
    </row>
    <row r="37">
      <c r="A37" s="11">
        <f>IFERROR(LARGE(IF('All Data'!$J$5:$J$2001='Item Lookup'!$C$4,'All Data'!$A$5:$A$2001),17),"")</f>
        <v/>
      </c>
      <c r="B37" s="12">
        <f>IF($A37="","",IFERROR(INDEX('All Data'!$B$5:$B$2001,MATCH(1,('All Data'!$J$5:$J$2001='Item Lookup'!$C$4)*('All Data'!$A$5:$A$2001=$A37),0)),""))</f>
        <v/>
      </c>
      <c r="C37" s="12">
        <f>IF($A37="","",IFERROR(INDEX('All Data'!$C$5:$C$2001,MATCH(1,('All Data'!$J$5:$J$2001='Item Lookup'!$C$4)*('All Data'!$A$5:$A$2001=$A37),0)),""))</f>
        <v/>
      </c>
      <c r="D37" s="12">
        <f>IF($A37="","",IFERROR(INDEX('All Data'!$G$5:$G$2001,MATCH(1,('All Data'!$J$5:$J$2001='Item Lookup'!$C$4)*('All Data'!$A$5:$A$2001=$A37),0)),""))</f>
        <v/>
      </c>
      <c r="E37" s="10">
        <f>IF($A37="","",IFERROR(INDEX('All Data'!$H$5:$H$2001,MATCH(1,('All Data'!$J$5:$J$2001='Item Lookup'!$C$4)*('All Data'!$A$5:$A$2001=$A37),0)),""))</f>
        <v/>
      </c>
      <c r="F37" s="10">
        <f>IF($A37="","",IFERROR(INDEX('All Data'!$I$5:$I$2001,MATCH(1,('All Data'!$J$5:$J$2001='Item Lookup'!$C$4)*('All Data'!$A$5:$A$2001=$A37),0)),""))</f>
        <v/>
      </c>
      <c r="G37" s="14">
        <f>IF($A37="","",IFERROR(INDEX('All Data'!$L$5:$L$2001,MATCH(1,('All Data'!$J$5:$J$2001='Item Lookup'!$C$4)*('All Data'!$A$5:$A$2001=$A37),0)),""))</f>
        <v/>
      </c>
      <c r="H37" s="12">
        <f>IF($A37="","",IFERROR(INDEX('All Data'!$N$5:$N$2001,MATCH(1,('All Data'!$J$5:$J$2001='Item Lookup'!$C$4)*('All Data'!$A$5:$A$2001=$A37),0)),""))</f>
        <v/>
      </c>
    </row>
    <row r="38">
      <c r="A38" s="11">
        <f>IFERROR(LARGE(IF('All Data'!$J$5:$J$2001='Item Lookup'!$C$4,'All Data'!$A$5:$A$2001),18),"")</f>
        <v/>
      </c>
      <c r="B38" s="12">
        <f>IF($A38="","",IFERROR(INDEX('All Data'!$B$5:$B$2001,MATCH(1,('All Data'!$J$5:$J$2001='Item Lookup'!$C$4)*('All Data'!$A$5:$A$2001=$A38),0)),""))</f>
        <v/>
      </c>
      <c r="C38" s="12">
        <f>IF($A38="","",IFERROR(INDEX('All Data'!$C$5:$C$2001,MATCH(1,('All Data'!$J$5:$J$2001='Item Lookup'!$C$4)*('All Data'!$A$5:$A$2001=$A38),0)),""))</f>
        <v/>
      </c>
      <c r="D38" s="12">
        <f>IF($A38="","",IFERROR(INDEX('All Data'!$G$5:$G$2001,MATCH(1,('All Data'!$J$5:$J$2001='Item Lookup'!$C$4)*('All Data'!$A$5:$A$2001=$A38),0)),""))</f>
        <v/>
      </c>
      <c r="E38" s="10">
        <f>IF($A38="","",IFERROR(INDEX('All Data'!$H$5:$H$2001,MATCH(1,('All Data'!$J$5:$J$2001='Item Lookup'!$C$4)*('All Data'!$A$5:$A$2001=$A38),0)),""))</f>
        <v/>
      </c>
      <c r="F38" s="10">
        <f>IF($A38="","",IFERROR(INDEX('All Data'!$I$5:$I$2001,MATCH(1,('All Data'!$J$5:$J$2001='Item Lookup'!$C$4)*('All Data'!$A$5:$A$2001=$A38),0)),""))</f>
        <v/>
      </c>
      <c r="G38" s="14">
        <f>IF($A38="","",IFERROR(INDEX('All Data'!$L$5:$L$2001,MATCH(1,('All Data'!$J$5:$J$2001='Item Lookup'!$C$4)*('All Data'!$A$5:$A$2001=$A38),0)),""))</f>
        <v/>
      </c>
      <c r="H38" s="12">
        <f>IF($A38="","",IFERROR(INDEX('All Data'!$N$5:$N$2001,MATCH(1,('All Data'!$J$5:$J$2001='Item Lookup'!$C$4)*('All Data'!$A$5:$A$2001=$A38),0)),""))</f>
        <v/>
      </c>
    </row>
    <row r="39">
      <c r="A39" s="11">
        <f>IFERROR(LARGE(IF('All Data'!$J$5:$J$2001='Item Lookup'!$C$4,'All Data'!$A$5:$A$2001),19),"")</f>
        <v/>
      </c>
      <c r="B39" s="12">
        <f>IF($A39="","",IFERROR(INDEX('All Data'!$B$5:$B$2001,MATCH(1,('All Data'!$J$5:$J$2001='Item Lookup'!$C$4)*('All Data'!$A$5:$A$2001=$A39),0)),""))</f>
        <v/>
      </c>
      <c r="C39" s="12">
        <f>IF($A39="","",IFERROR(INDEX('All Data'!$C$5:$C$2001,MATCH(1,('All Data'!$J$5:$J$2001='Item Lookup'!$C$4)*('All Data'!$A$5:$A$2001=$A39),0)),""))</f>
        <v/>
      </c>
      <c r="D39" s="12">
        <f>IF($A39="","",IFERROR(INDEX('All Data'!$G$5:$G$2001,MATCH(1,('All Data'!$J$5:$J$2001='Item Lookup'!$C$4)*('All Data'!$A$5:$A$2001=$A39),0)),""))</f>
        <v/>
      </c>
      <c r="E39" s="10">
        <f>IF($A39="","",IFERROR(INDEX('All Data'!$H$5:$H$2001,MATCH(1,('All Data'!$J$5:$J$2001='Item Lookup'!$C$4)*('All Data'!$A$5:$A$2001=$A39),0)),""))</f>
        <v/>
      </c>
      <c r="F39" s="10">
        <f>IF($A39="","",IFERROR(INDEX('All Data'!$I$5:$I$2001,MATCH(1,('All Data'!$J$5:$J$2001='Item Lookup'!$C$4)*('All Data'!$A$5:$A$2001=$A39),0)),""))</f>
        <v/>
      </c>
      <c r="G39" s="14">
        <f>IF($A39="","",IFERROR(INDEX('All Data'!$L$5:$L$2001,MATCH(1,('All Data'!$J$5:$J$2001='Item Lookup'!$C$4)*('All Data'!$A$5:$A$2001=$A39),0)),""))</f>
        <v/>
      </c>
      <c r="H39" s="12">
        <f>IF($A39="","",IFERROR(INDEX('All Data'!$N$5:$N$2001,MATCH(1,('All Data'!$J$5:$J$2001='Item Lookup'!$C$4)*('All Data'!$A$5:$A$2001=$A39),0)),""))</f>
        <v/>
      </c>
    </row>
    <row r="40">
      <c r="A40" s="11">
        <f>IFERROR(LARGE(IF('All Data'!$J$5:$J$2001='Item Lookup'!$C$4,'All Data'!$A$5:$A$2001),20),"")</f>
        <v/>
      </c>
      <c r="B40" s="12">
        <f>IF($A40="","",IFERROR(INDEX('All Data'!$B$5:$B$2001,MATCH(1,('All Data'!$J$5:$J$2001='Item Lookup'!$C$4)*('All Data'!$A$5:$A$2001=$A40),0)),""))</f>
        <v/>
      </c>
      <c r="C40" s="12">
        <f>IF($A40="","",IFERROR(INDEX('All Data'!$C$5:$C$2001,MATCH(1,('All Data'!$J$5:$J$2001='Item Lookup'!$C$4)*('All Data'!$A$5:$A$2001=$A40),0)),""))</f>
        <v/>
      </c>
      <c r="D40" s="12">
        <f>IF($A40="","",IFERROR(INDEX('All Data'!$G$5:$G$2001,MATCH(1,('All Data'!$J$5:$J$2001='Item Lookup'!$C$4)*('All Data'!$A$5:$A$2001=$A40),0)),""))</f>
        <v/>
      </c>
      <c r="E40" s="10">
        <f>IF($A40="","",IFERROR(INDEX('All Data'!$H$5:$H$2001,MATCH(1,('All Data'!$J$5:$J$2001='Item Lookup'!$C$4)*('All Data'!$A$5:$A$2001=$A40),0)),""))</f>
        <v/>
      </c>
      <c r="F40" s="10">
        <f>IF($A40="","",IFERROR(INDEX('All Data'!$I$5:$I$2001,MATCH(1,('All Data'!$J$5:$J$2001='Item Lookup'!$C$4)*('All Data'!$A$5:$A$2001=$A40),0)),""))</f>
        <v/>
      </c>
      <c r="G40" s="14">
        <f>IF($A40="","",IFERROR(INDEX('All Data'!$L$5:$L$2001,MATCH(1,('All Data'!$J$5:$J$2001='Item Lookup'!$C$4)*('All Data'!$A$5:$A$2001=$A40),0)),""))</f>
        <v/>
      </c>
      <c r="H40" s="12">
        <f>IF($A40="","",IFERROR(INDEX('All Data'!$N$5:$N$2001,MATCH(1,('All Data'!$J$5:$J$2001='Item Lookup'!$C$4)*('All Data'!$A$5:$A$2001=$A40),0)),""))</f>
        <v/>
      </c>
    </row>
    <row r="41">
      <c r="A41" s="11">
        <f>IFERROR(LARGE(IF('All Data'!$J$5:$J$2001='Item Lookup'!$C$4,'All Data'!$A$5:$A$2001),21),"")</f>
        <v/>
      </c>
      <c r="B41" s="12">
        <f>IF($A41="","",IFERROR(INDEX('All Data'!$B$5:$B$2001,MATCH(1,('All Data'!$J$5:$J$2001='Item Lookup'!$C$4)*('All Data'!$A$5:$A$2001=$A41),0)),""))</f>
        <v/>
      </c>
      <c r="C41" s="12">
        <f>IF($A41="","",IFERROR(INDEX('All Data'!$C$5:$C$2001,MATCH(1,('All Data'!$J$5:$J$2001='Item Lookup'!$C$4)*('All Data'!$A$5:$A$2001=$A41),0)),""))</f>
        <v/>
      </c>
      <c r="D41" s="12">
        <f>IF($A41="","",IFERROR(INDEX('All Data'!$G$5:$G$2001,MATCH(1,('All Data'!$J$5:$J$2001='Item Lookup'!$C$4)*('All Data'!$A$5:$A$2001=$A41),0)),""))</f>
        <v/>
      </c>
      <c r="E41" s="10">
        <f>IF($A41="","",IFERROR(INDEX('All Data'!$H$5:$H$2001,MATCH(1,('All Data'!$J$5:$J$2001='Item Lookup'!$C$4)*('All Data'!$A$5:$A$2001=$A41),0)),""))</f>
        <v/>
      </c>
      <c r="F41" s="10">
        <f>IF($A41="","",IFERROR(INDEX('All Data'!$I$5:$I$2001,MATCH(1,('All Data'!$J$5:$J$2001='Item Lookup'!$C$4)*('All Data'!$A$5:$A$2001=$A41),0)),""))</f>
        <v/>
      </c>
      <c r="G41" s="14">
        <f>IF($A41="","",IFERROR(INDEX('All Data'!$L$5:$L$2001,MATCH(1,('All Data'!$J$5:$J$2001='Item Lookup'!$C$4)*('All Data'!$A$5:$A$2001=$A41),0)),""))</f>
        <v/>
      </c>
      <c r="H41" s="12">
        <f>IF($A41="","",IFERROR(INDEX('All Data'!$N$5:$N$2001,MATCH(1,('All Data'!$J$5:$J$2001='Item Lookup'!$C$4)*('All Data'!$A$5:$A$2001=$A41),0)),""))</f>
        <v/>
      </c>
    </row>
    <row r="42">
      <c r="A42" s="11">
        <f>IFERROR(LARGE(IF('All Data'!$J$5:$J$2001='Item Lookup'!$C$4,'All Data'!$A$5:$A$2001),22),"")</f>
        <v/>
      </c>
      <c r="B42" s="12">
        <f>IF($A42="","",IFERROR(INDEX('All Data'!$B$5:$B$2001,MATCH(1,('All Data'!$J$5:$J$2001='Item Lookup'!$C$4)*('All Data'!$A$5:$A$2001=$A42),0)),""))</f>
        <v/>
      </c>
      <c r="C42" s="12">
        <f>IF($A42="","",IFERROR(INDEX('All Data'!$C$5:$C$2001,MATCH(1,('All Data'!$J$5:$J$2001='Item Lookup'!$C$4)*('All Data'!$A$5:$A$2001=$A42),0)),""))</f>
        <v/>
      </c>
      <c r="D42" s="12">
        <f>IF($A42="","",IFERROR(INDEX('All Data'!$G$5:$G$2001,MATCH(1,('All Data'!$J$5:$J$2001='Item Lookup'!$C$4)*('All Data'!$A$5:$A$2001=$A42),0)),""))</f>
        <v/>
      </c>
      <c r="E42" s="10">
        <f>IF($A42="","",IFERROR(INDEX('All Data'!$H$5:$H$2001,MATCH(1,('All Data'!$J$5:$J$2001='Item Lookup'!$C$4)*('All Data'!$A$5:$A$2001=$A42),0)),""))</f>
        <v/>
      </c>
      <c r="F42" s="10">
        <f>IF($A42="","",IFERROR(INDEX('All Data'!$I$5:$I$2001,MATCH(1,('All Data'!$J$5:$J$2001='Item Lookup'!$C$4)*('All Data'!$A$5:$A$2001=$A42),0)),""))</f>
        <v/>
      </c>
      <c r="G42" s="14">
        <f>IF($A42="","",IFERROR(INDEX('All Data'!$L$5:$L$2001,MATCH(1,('All Data'!$J$5:$J$2001='Item Lookup'!$C$4)*('All Data'!$A$5:$A$2001=$A42),0)),""))</f>
        <v/>
      </c>
      <c r="H42" s="12">
        <f>IF($A42="","",IFERROR(INDEX('All Data'!$N$5:$N$2001,MATCH(1,('All Data'!$J$5:$J$2001='Item Lookup'!$C$4)*('All Data'!$A$5:$A$2001=$A42),0)),""))</f>
        <v/>
      </c>
    </row>
    <row r="43">
      <c r="A43" s="11">
        <f>IFERROR(LARGE(IF('All Data'!$J$5:$J$2001='Item Lookup'!$C$4,'All Data'!$A$5:$A$2001),23),"")</f>
        <v/>
      </c>
      <c r="B43" s="12">
        <f>IF($A43="","",IFERROR(INDEX('All Data'!$B$5:$B$2001,MATCH(1,('All Data'!$J$5:$J$2001='Item Lookup'!$C$4)*('All Data'!$A$5:$A$2001=$A43),0)),""))</f>
        <v/>
      </c>
      <c r="C43" s="12">
        <f>IF($A43="","",IFERROR(INDEX('All Data'!$C$5:$C$2001,MATCH(1,('All Data'!$J$5:$J$2001='Item Lookup'!$C$4)*('All Data'!$A$5:$A$2001=$A43),0)),""))</f>
        <v/>
      </c>
      <c r="D43" s="12">
        <f>IF($A43="","",IFERROR(INDEX('All Data'!$G$5:$G$2001,MATCH(1,('All Data'!$J$5:$J$2001='Item Lookup'!$C$4)*('All Data'!$A$5:$A$2001=$A43),0)),""))</f>
        <v/>
      </c>
      <c r="E43" s="10">
        <f>IF($A43="","",IFERROR(INDEX('All Data'!$H$5:$H$2001,MATCH(1,('All Data'!$J$5:$J$2001='Item Lookup'!$C$4)*('All Data'!$A$5:$A$2001=$A43),0)),""))</f>
        <v/>
      </c>
      <c r="F43" s="10">
        <f>IF($A43="","",IFERROR(INDEX('All Data'!$I$5:$I$2001,MATCH(1,('All Data'!$J$5:$J$2001='Item Lookup'!$C$4)*('All Data'!$A$5:$A$2001=$A43),0)),""))</f>
        <v/>
      </c>
      <c r="G43" s="14">
        <f>IF($A43="","",IFERROR(INDEX('All Data'!$L$5:$L$2001,MATCH(1,('All Data'!$J$5:$J$2001='Item Lookup'!$C$4)*('All Data'!$A$5:$A$2001=$A43),0)),""))</f>
        <v/>
      </c>
      <c r="H43" s="12">
        <f>IF($A43="","",IFERROR(INDEX('All Data'!$N$5:$N$2001,MATCH(1,('All Data'!$J$5:$J$2001='Item Lookup'!$C$4)*('All Data'!$A$5:$A$2001=$A43),0)),""))</f>
        <v/>
      </c>
    </row>
    <row r="44">
      <c r="A44" s="11">
        <f>IFERROR(LARGE(IF('All Data'!$J$5:$J$2001='Item Lookup'!$C$4,'All Data'!$A$5:$A$2001),24),"")</f>
        <v/>
      </c>
      <c r="B44" s="12">
        <f>IF($A44="","",IFERROR(INDEX('All Data'!$B$5:$B$2001,MATCH(1,('All Data'!$J$5:$J$2001='Item Lookup'!$C$4)*('All Data'!$A$5:$A$2001=$A44),0)),""))</f>
        <v/>
      </c>
      <c r="C44" s="12">
        <f>IF($A44="","",IFERROR(INDEX('All Data'!$C$5:$C$2001,MATCH(1,('All Data'!$J$5:$J$2001='Item Lookup'!$C$4)*('All Data'!$A$5:$A$2001=$A44),0)),""))</f>
        <v/>
      </c>
      <c r="D44" s="12">
        <f>IF($A44="","",IFERROR(INDEX('All Data'!$G$5:$G$2001,MATCH(1,('All Data'!$J$5:$J$2001='Item Lookup'!$C$4)*('All Data'!$A$5:$A$2001=$A44),0)),""))</f>
        <v/>
      </c>
      <c r="E44" s="10">
        <f>IF($A44="","",IFERROR(INDEX('All Data'!$H$5:$H$2001,MATCH(1,('All Data'!$J$5:$J$2001='Item Lookup'!$C$4)*('All Data'!$A$5:$A$2001=$A44),0)),""))</f>
        <v/>
      </c>
      <c r="F44" s="10">
        <f>IF($A44="","",IFERROR(INDEX('All Data'!$I$5:$I$2001,MATCH(1,('All Data'!$J$5:$J$2001='Item Lookup'!$C$4)*('All Data'!$A$5:$A$2001=$A44),0)),""))</f>
        <v/>
      </c>
      <c r="G44" s="14">
        <f>IF($A44="","",IFERROR(INDEX('All Data'!$L$5:$L$2001,MATCH(1,('All Data'!$J$5:$J$2001='Item Lookup'!$C$4)*('All Data'!$A$5:$A$2001=$A44),0)),""))</f>
        <v/>
      </c>
      <c r="H44" s="12">
        <f>IF($A44="","",IFERROR(INDEX('All Data'!$N$5:$N$2001,MATCH(1,('All Data'!$J$5:$J$2001='Item Lookup'!$C$4)*('All Data'!$A$5:$A$2001=$A44),0)),""))</f>
        <v/>
      </c>
    </row>
    <row r="45">
      <c r="A45" s="11">
        <f>IFERROR(LARGE(IF('All Data'!$J$5:$J$2001='Item Lookup'!$C$4,'All Data'!$A$5:$A$2001),25),"")</f>
        <v/>
      </c>
      <c r="B45" s="12">
        <f>IF($A45="","",IFERROR(INDEX('All Data'!$B$5:$B$2001,MATCH(1,('All Data'!$J$5:$J$2001='Item Lookup'!$C$4)*('All Data'!$A$5:$A$2001=$A45),0)),""))</f>
        <v/>
      </c>
      <c r="C45" s="12">
        <f>IF($A45="","",IFERROR(INDEX('All Data'!$C$5:$C$2001,MATCH(1,('All Data'!$J$5:$J$2001='Item Lookup'!$C$4)*('All Data'!$A$5:$A$2001=$A45),0)),""))</f>
        <v/>
      </c>
      <c r="D45" s="12">
        <f>IF($A45="","",IFERROR(INDEX('All Data'!$G$5:$G$2001,MATCH(1,('All Data'!$J$5:$J$2001='Item Lookup'!$C$4)*('All Data'!$A$5:$A$2001=$A45),0)),""))</f>
        <v/>
      </c>
      <c r="E45" s="10">
        <f>IF($A45="","",IFERROR(INDEX('All Data'!$H$5:$H$2001,MATCH(1,('All Data'!$J$5:$J$2001='Item Lookup'!$C$4)*('All Data'!$A$5:$A$2001=$A45),0)),""))</f>
        <v/>
      </c>
      <c r="F45" s="10">
        <f>IF($A45="","",IFERROR(INDEX('All Data'!$I$5:$I$2001,MATCH(1,('All Data'!$J$5:$J$2001='Item Lookup'!$C$4)*('All Data'!$A$5:$A$2001=$A45),0)),""))</f>
        <v/>
      </c>
      <c r="G45" s="14">
        <f>IF($A45="","",IFERROR(INDEX('All Data'!$L$5:$L$2001,MATCH(1,('All Data'!$J$5:$J$2001='Item Lookup'!$C$4)*('All Data'!$A$5:$A$2001=$A45),0)),""))</f>
        <v/>
      </c>
      <c r="H45" s="12">
        <f>IF($A45="","",IFERROR(INDEX('All Data'!$N$5:$N$2001,MATCH(1,('All Data'!$J$5:$J$2001='Item Lookup'!$C$4)*('All Data'!$A$5:$A$2001=$A45),0)),""))</f>
        <v/>
      </c>
    </row>
    <row r="46">
      <c r="A46" s="11">
        <f>IFERROR(LARGE(IF('All Data'!$J$5:$J$2001='Item Lookup'!$C$4,'All Data'!$A$5:$A$2001),26),"")</f>
        <v/>
      </c>
      <c r="B46" s="12">
        <f>IF($A46="","",IFERROR(INDEX('All Data'!$B$5:$B$2001,MATCH(1,('All Data'!$J$5:$J$2001='Item Lookup'!$C$4)*('All Data'!$A$5:$A$2001=$A46),0)),""))</f>
        <v/>
      </c>
      <c r="C46" s="12">
        <f>IF($A46="","",IFERROR(INDEX('All Data'!$C$5:$C$2001,MATCH(1,('All Data'!$J$5:$J$2001='Item Lookup'!$C$4)*('All Data'!$A$5:$A$2001=$A46),0)),""))</f>
        <v/>
      </c>
      <c r="D46" s="12">
        <f>IF($A46="","",IFERROR(INDEX('All Data'!$G$5:$G$2001,MATCH(1,('All Data'!$J$5:$J$2001='Item Lookup'!$C$4)*('All Data'!$A$5:$A$2001=$A46),0)),""))</f>
        <v/>
      </c>
      <c r="E46" s="10">
        <f>IF($A46="","",IFERROR(INDEX('All Data'!$H$5:$H$2001,MATCH(1,('All Data'!$J$5:$J$2001='Item Lookup'!$C$4)*('All Data'!$A$5:$A$2001=$A46),0)),""))</f>
        <v/>
      </c>
      <c r="F46" s="10">
        <f>IF($A46="","",IFERROR(INDEX('All Data'!$I$5:$I$2001,MATCH(1,('All Data'!$J$5:$J$2001='Item Lookup'!$C$4)*('All Data'!$A$5:$A$2001=$A46),0)),""))</f>
        <v/>
      </c>
      <c r="G46" s="14">
        <f>IF($A46="","",IFERROR(INDEX('All Data'!$L$5:$L$2001,MATCH(1,('All Data'!$J$5:$J$2001='Item Lookup'!$C$4)*('All Data'!$A$5:$A$2001=$A46),0)),""))</f>
        <v/>
      </c>
      <c r="H46" s="12">
        <f>IF($A46="","",IFERROR(INDEX('All Data'!$N$5:$N$2001,MATCH(1,('All Data'!$J$5:$J$2001='Item Lookup'!$C$4)*('All Data'!$A$5:$A$2001=$A46),0)),""))</f>
        <v/>
      </c>
    </row>
    <row r="47">
      <c r="A47" s="11">
        <f>IFERROR(LARGE(IF('All Data'!$J$5:$J$2001='Item Lookup'!$C$4,'All Data'!$A$5:$A$2001),27),"")</f>
        <v/>
      </c>
      <c r="B47" s="12">
        <f>IF($A47="","",IFERROR(INDEX('All Data'!$B$5:$B$2001,MATCH(1,('All Data'!$J$5:$J$2001='Item Lookup'!$C$4)*('All Data'!$A$5:$A$2001=$A47),0)),""))</f>
        <v/>
      </c>
      <c r="C47" s="12">
        <f>IF($A47="","",IFERROR(INDEX('All Data'!$C$5:$C$2001,MATCH(1,('All Data'!$J$5:$J$2001='Item Lookup'!$C$4)*('All Data'!$A$5:$A$2001=$A47),0)),""))</f>
        <v/>
      </c>
      <c r="D47" s="12">
        <f>IF($A47="","",IFERROR(INDEX('All Data'!$G$5:$G$2001,MATCH(1,('All Data'!$J$5:$J$2001='Item Lookup'!$C$4)*('All Data'!$A$5:$A$2001=$A47),0)),""))</f>
        <v/>
      </c>
      <c r="E47" s="10">
        <f>IF($A47="","",IFERROR(INDEX('All Data'!$H$5:$H$2001,MATCH(1,('All Data'!$J$5:$J$2001='Item Lookup'!$C$4)*('All Data'!$A$5:$A$2001=$A47),0)),""))</f>
        <v/>
      </c>
      <c r="F47" s="10">
        <f>IF($A47="","",IFERROR(INDEX('All Data'!$I$5:$I$2001,MATCH(1,('All Data'!$J$5:$J$2001='Item Lookup'!$C$4)*('All Data'!$A$5:$A$2001=$A47),0)),""))</f>
        <v/>
      </c>
      <c r="G47" s="14">
        <f>IF($A47="","",IFERROR(INDEX('All Data'!$L$5:$L$2001,MATCH(1,('All Data'!$J$5:$J$2001='Item Lookup'!$C$4)*('All Data'!$A$5:$A$2001=$A47),0)),""))</f>
        <v/>
      </c>
      <c r="H47" s="12">
        <f>IF($A47="","",IFERROR(INDEX('All Data'!$N$5:$N$2001,MATCH(1,('All Data'!$J$5:$J$2001='Item Lookup'!$C$4)*('All Data'!$A$5:$A$2001=$A47),0)),""))</f>
        <v/>
      </c>
    </row>
    <row r="48">
      <c r="A48" s="11">
        <f>IFERROR(LARGE(IF('All Data'!$J$5:$J$2001='Item Lookup'!$C$4,'All Data'!$A$5:$A$2001),28),"")</f>
        <v/>
      </c>
      <c r="B48" s="12">
        <f>IF($A48="","",IFERROR(INDEX('All Data'!$B$5:$B$2001,MATCH(1,('All Data'!$J$5:$J$2001='Item Lookup'!$C$4)*('All Data'!$A$5:$A$2001=$A48),0)),""))</f>
        <v/>
      </c>
      <c r="C48" s="12">
        <f>IF($A48="","",IFERROR(INDEX('All Data'!$C$5:$C$2001,MATCH(1,('All Data'!$J$5:$J$2001='Item Lookup'!$C$4)*('All Data'!$A$5:$A$2001=$A48),0)),""))</f>
        <v/>
      </c>
      <c r="D48" s="12">
        <f>IF($A48="","",IFERROR(INDEX('All Data'!$G$5:$G$2001,MATCH(1,('All Data'!$J$5:$J$2001='Item Lookup'!$C$4)*('All Data'!$A$5:$A$2001=$A48),0)),""))</f>
        <v/>
      </c>
      <c r="E48" s="10">
        <f>IF($A48="","",IFERROR(INDEX('All Data'!$H$5:$H$2001,MATCH(1,('All Data'!$J$5:$J$2001='Item Lookup'!$C$4)*('All Data'!$A$5:$A$2001=$A48),0)),""))</f>
        <v/>
      </c>
      <c r="F48" s="10">
        <f>IF($A48="","",IFERROR(INDEX('All Data'!$I$5:$I$2001,MATCH(1,('All Data'!$J$5:$J$2001='Item Lookup'!$C$4)*('All Data'!$A$5:$A$2001=$A48),0)),""))</f>
        <v/>
      </c>
      <c r="G48" s="14">
        <f>IF($A48="","",IFERROR(INDEX('All Data'!$L$5:$L$2001,MATCH(1,('All Data'!$J$5:$J$2001='Item Lookup'!$C$4)*('All Data'!$A$5:$A$2001=$A48),0)),""))</f>
        <v/>
      </c>
      <c r="H48" s="12">
        <f>IF($A48="","",IFERROR(INDEX('All Data'!$N$5:$N$2001,MATCH(1,('All Data'!$J$5:$J$2001='Item Lookup'!$C$4)*('All Data'!$A$5:$A$2001=$A48),0)),""))</f>
        <v/>
      </c>
    </row>
    <row r="49">
      <c r="A49" s="11">
        <f>IFERROR(LARGE(IF('All Data'!$J$5:$J$2001='Item Lookup'!$C$4,'All Data'!$A$5:$A$2001),29),"")</f>
        <v/>
      </c>
      <c r="B49" s="12">
        <f>IF($A49="","",IFERROR(INDEX('All Data'!$B$5:$B$2001,MATCH(1,('All Data'!$J$5:$J$2001='Item Lookup'!$C$4)*('All Data'!$A$5:$A$2001=$A49),0)),""))</f>
        <v/>
      </c>
      <c r="C49" s="12">
        <f>IF($A49="","",IFERROR(INDEX('All Data'!$C$5:$C$2001,MATCH(1,('All Data'!$J$5:$J$2001='Item Lookup'!$C$4)*('All Data'!$A$5:$A$2001=$A49),0)),""))</f>
        <v/>
      </c>
      <c r="D49" s="12">
        <f>IF($A49="","",IFERROR(INDEX('All Data'!$G$5:$G$2001,MATCH(1,('All Data'!$J$5:$J$2001='Item Lookup'!$C$4)*('All Data'!$A$5:$A$2001=$A49),0)),""))</f>
        <v/>
      </c>
      <c r="E49" s="10">
        <f>IF($A49="","",IFERROR(INDEX('All Data'!$H$5:$H$2001,MATCH(1,('All Data'!$J$5:$J$2001='Item Lookup'!$C$4)*('All Data'!$A$5:$A$2001=$A49),0)),""))</f>
        <v/>
      </c>
      <c r="F49" s="10">
        <f>IF($A49="","",IFERROR(INDEX('All Data'!$I$5:$I$2001,MATCH(1,('All Data'!$J$5:$J$2001='Item Lookup'!$C$4)*('All Data'!$A$5:$A$2001=$A49),0)),""))</f>
        <v/>
      </c>
      <c r="G49" s="14">
        <f>IF($A49="","",IFERROR(INDEX('All Data'!$L$5:$L$2001,MATCH(1,('All Data'!$J$5:$J$2001='Item Lookup'!$C$4)*('All Data'!$A$5:$A$2001=$A49),0)),""))</f>
        <v/>
      </c>
      <c r="H49" s="12">
        <f>IF($A49="","",IFERROR(INDEX('All Data'!$N$5:$N$2001,MATCH(1,('All Data'!$J$5:$J$2001='Item Lookup'!$C$4)*('All Data'!$A$5:$A$2001=$A49),0)),""))</f>
        <v/>
      </c>
    </row>
    <row r="50">
      <c r="A50" s="11">
        <f>IFERROR(LARGE(IF('All Data'!$J$5:$J$2001='Item Lookup'!$C$4,'All Data'!$A$5:$A$2001),30),"")</f>
        <v/>
      </c>
      <c r="B50" s="12">
        <f>IF($A50="","",IFERROR(INDEX('All Data'!$B$5:$B$2001,MATCH(1,('All Data'!$J$5:$J$2001='Item Lookup'!$C$4)*('All Data'!$A$5:$A$2001=$A50),0)),""))</f>
        <v/>
      </c>
      <c r="C50" s="12">
        <f>IF($A50="","",IFERROR(INDEX('All Data'!$C$5:$C$2001,MATCH(1,('All Data'!$J$5:$J$2001='Item Lookup'!$C$4)*('All Data'!$A$5:$A$2001=$A50),0)),""))</f>
        <v/>
      </c>
      <c r="D50" s="12">
        <f>IF($A50="","",IFERROR(INDEX('All Data'!$G$5:$G$2001,MATCH(1,('All Data'!$J$5:$J$2001='Item Lookup'!$C$4)*('All Data'!$A$5:$A$2001=$A50),0)),""))</f>
        <v/>
      </c>
      <c r="E50" s="10">
        <f>IF($A50="","",IFERROR(INDEX('All Data'!$H$5:$H$2001,MATCH(1,('All Data'!$J$5:$J$2001='Item Lookup'!$C$4)*('All Data'!$A$5:$A$2001=$A50),0)),""))</f>
        <v/>
      </c>
      <c r="F50" s="10">
        <f>IF($A50="","",IFERROR(INDEX('All Data'!$I$5:$I$2001,MATCH(1,('All Data'!$J$5:$J$2001='Item Lookup'!$C$4)*('All Data'!$A$5:$A$2001=$A50),0)),""))</f>
        <v/>
      </c>
      <c r="G50" s="14">
        <f>IF($A50="","",IFERROR(INDEX('All Data'!$L$5:$L$2001,MATCH(1,('All Data'!$J$5:$J$2001='Item Lookup'!$C$4)*('All Data'!$A$5:$A$2001=$A50),0)),""))</f>
        <v/>
      </c>
      <c r="H50" s="12">
        <f>IF($A50="","",IFERROR(INDEX('All Data'!$N$5:$N$2001,MATCH(1,('All Data'!$J$5:$J$2001='Item Lookup'!$C$4)*('All Data'!$A$5:$A$2001=$A50),0)),""))</f>
        <v/>
      </c>
    </row>
    <row r="51">
      <c r="A51" s="11">
        <f>IFERROR(LARGE(IF('All Data'!$J$5:$J$2001='Item Lookup'!$C$4,'All Data'!$A$5:$A$2001),31),"")</f>
        <v/>
      </c>
      <c r="B51" s="12">
        <f>IF($A51="","",IFERROR(INDEX('All Data'!$B$5:$B$2001,MATCH(1,('All Data'!$J$5:$J$2001='Item Lookup'!$C$4)*('All Data'!$A$5:$A$2001=$A51),0)),""))</f>
        <v/>
      </c>
      <c r="C51" s="12">
        <f>IF($A51="","",IFERROR(INDEX('All Data'!$C$5:$C$2001,MATCH(1,('All Data'!$J$5:$J$2001='Item Lookup'!$C$4)*('All Data'!$A$5:$A$2001=$A51),0)),""))</f>
        <v/>
      </c>
      <c r="D51" s="12">
        <f>IF($A51="","",IFERROR(INDEX('All Data'!$G$5:$G$2001,MATCH(1,('All Data'!$J$5:$J$2001='Item Lookup'!$C$4)*('All Data'!$A$5:$A$2001=$A51),0)),""))</f>
        <v/>
      </c>
      <c r="E51" s="10">
        <f>IF($A51="","",IFERROR(INDEX('All Data'!$H$5:$H$2001,MATCH(1,('All Data'!$J$5:$J$2001='Item Lookup'!$C$4)*('All Data'!$A$5:$A$2001=$A51),0)),""))</f>
        <v/>
      </c>
      <c r="F51" s="10">
        <f>IF($A51="","",IFERROR(INDEX('All Data'!$I$5:$I$2001,MATCH(1,('All Data'!$J$5:$J$2001='Item Lookup'!$C$4)*('All Data'!$A$5:$A$2001=$A51),0)),""))</f>
        <v/>
      </c>
      <c r="G51" s="14">
        <f>IF($A51="","",IFERROR(INDEX('All Data'!$L$5:$L$2001,MATCH(1,('All Data'!$J$5:$J$2001='Item Lookup'!$C$4)*('All Data'!$A$5:$A$2001=$A51),0)),""))</f>
        <v/>
      </c>
      <c r="H51" s="12">
        <f>IF($A51="","",IFERROR(INDEX('All Data'!$N$5:$N$2001,MATCH(1,('All Data'!$J$5:$J$2001='Item Lookup'!$C$4)*('All Data'!$A$5:$A$2001=$A51),0)),""))</f>
        <v/>
      </c>
    </row>
    <row r="52">
      <c r="A52" s="11">
        <f>IFERROR(LARGE(IF('All Data'!$J$5:$J$2001='Item Lookup'!$C$4,'All Data'!$A$5:$A$2001),32),"")</f>
        <v/>
      </c>
      <c r="B52" s="12">
        <f>IF($A52="","",IFERROR(INDEX('All Data'!$B$5:$B$2001,MATCH(1,('All Data'!$J$5:$J$2001='Item Lookup'!$C$4)*('All Data'!$A$5:$A$2001=$A52),0)),""))</f>
        <v/>
      </c>
      <c r="C52" s="12">
        <f>IF($A52="","",IFERROR(INDEX('All Data'!$C$5:$C$2001,MATCH(1,('All Data'!$J$5:$J$2001='Item Lookup'!$C$4)*('All Data'!$A$5:$A$2001=$A52),0)),""))</f>
        <v/>
      </c>
      <c r="D52" s="12">
        <f>IF($A52="","",IFERROR(INDEX('All Data'!$G$5:$G$2001,MATCH(1,('All Data'!$J$5:$J$2001='Item Lookup'!$C$4)*('All Data'!$A$5:$A$2001=$A52),0)),""))</f>
        <v/>
      </c>
      <c r="E52" s="10">
        <f>IF($A52="","",IFERROR(INDEX('All Data'!$H$5:$H$2001,MATCH(1,('All Data'!$J$5:$J$2001='Item Lookup'!$C$4)*('All Data'!$A$5:$A$2001=$A52),0)),""))</f>
        <v/>
      </c>
      <c r="F52" s="10">
        <f>IF($A52="","",IFERROR(INDEX('All Data'!$I$5:$I$2001,MATCH(1,('All Data'!$J$5:$J$2001='Item Lookup'!$C$4)*('All Data'!$A$5:$A$2001=$A52),0)),""))</f>
        <v/>
      </c>
      <c r="G52" s="14">
        <f>IF($A52="","",IFERROR(INDEX('All Data'!$L$5:$L$2001,MATCH(1,('All Data'!$J$5:$J$2001='Item Lookup'!$C$4)*('All Data'!$A$5:$A$2001=$A52),0)),""))</f>
        <v/>
      </c>
      <c r="H52" s="12">
        <f>IF($A52="","",IFERROR(INDEX('All Data'!$N$5:$N$2001,MATCH(1,('All Data'!$J$5:$J$2001='Item Lookup'!$C$4)*('All Data'!$A$5:$A$2001=$A52),0)),""))</f>
        <v/>
      </c>
    </row>
    <row r="53">
      <c r="A53" s="11">
        <f>IFERROR(LARGE(IF('All Data'!$J$5:$J$2001='Item Lookup'!$C$4,'All Data'!$A$5:$A$2001),33),"")</f>
        <v/>
      </c>
      <c r="B53" s="12">
        <f>IF($A53="","",IFERROR(INDEX('All Data'!$B$5:$B$2001,MATCH(1,('All Data'!$J$5:$J$2001='Item Lookup'!$C$4)*('All Data'!$A$5:$A$2001=$A53),0)),""))</f>
        <v/>
      </c>
      <c r="C53" s="12">
        <f>IF($A53="","",IFERROR(INDEX('All Data'!$C$5:$C$2001,MATCH(1,('All Data'!$J$5:$J$2001='Item Lookup'!$C$4)*('All Data'!$A$5:$A$2001=$A53),0)),""))</f>
        <v/>
      </c>
      <c r="D53" s="12">
        <f>IF($A53="","",IFERROR(INDEX('All Data'!$G$5:$G$2001,MATCH(1,('All Data'!$J$5:$J$2001='Item Lookup'!$C$4)*('All Data'!$A$5:$A$2001=$A53),0)),""))</f>
        <v/>
      </c>
      <c r="E53" s="10">
        <f>IF($A53="","",IFERROR(INDEX('All Data'!$H$5:$H$2001,MATCH(1,('All Data'!$J$5:$J$2001='Item Lookup'!$C$4)*('All Data'!$A$5:$A$2001=$A53),0)),""))</f>
        <v/>
      </c>
      <c r="F53" s="10">
        <f>IF($A53="","",IFERROR(INDEX('All Data'!$I$5:$I$2001,MATCH(1,('All Data'!$J$5:$J$2001='Item Lookup'!$C$4)*('All Data'!$A$5:$A$2001=$A53),0)),""))</f>
        <v/>
      </c>
      <c r="G53" s="14">
        <f>IF($A53="","",IFERROR(INDEX('All Data'!$L$5:$L$2001,MATCH(1,('All Data'!$J$5:$J$2001='Item Lookup'!$C$4)*('All Data'!$A$5:$A$2001=$A53),0)),""))</f>
        <v/>
      </c>
      <c r="H53" s="12">
        <f>IF($A53="","",IFERROR(INDEX('All Data'!$N$5:$N$2001,MATCH(1,('All Data'!$J$5:$J$2001='Item Lookup'!$C$4)*('All Data'!$A$5:$A$2001=$A53),0)),""))</f>
        <v/>
      </c>
    </row>
    <row r="54">
      <c r="A54" s="11">
        <f>IFERROR(LARGE(IF('All Data'!$J$5:$J$2001='Item Lookup'!$C$4,'All Data'!$A$5:$A$2001),34),"")</f>
        <v/>
      </c>
      <c r="B54" s="12">
        <f>IF($A54="","",IFERROR(INDEX('All Data'!$B$5:$B$2001,MATCH(1,('All Data'!$J$5:$J$2001='Item Lookup'!$C$4)*('All Data'!$A$5:$A$2001=$A54),0)),""))</f>
        <v/>
      </c>
      <c r="C54" s="12">
        <f>IF($A54="","",IFERROR(INDEX('All Data'!$C$5:$C$2001,MATCH(1,('All Data'!$J$5:$J$2001='Item Lookup'!$C$4)*('All Data'!$A$5:$A$2001=$A54),0)),""))</f>
        <v/>
      </c>
      <c r="D54" s="12">
        <f>IF($A54="","",IFERROR(INDEX('All Data'!$G$5:$G$2001,MATCH(1,('All Data'!$J$5:$J$2001='Item Lookup'!$C$4)*('All Data'!$A$5:$A$2001=$A54),0)),""))</f>
        <v/>
      </c>
      <c r="E54" s="10">
        <f>IF($A54="","",IFERROR(INDEX('All Data'!$H$5:$H$2001,MATCH(1,('All Data'!$J$5:$J$2001='Item Lookup'!$C$4)*('All Data'!$A$5:$A$2001=$A54),0)),""))</f>
        <v/>
      </c>
      <c r="F54" s="10">
        <f>IF($A54="","",IFERROR(INDEX('All Data'!$I$5:$I$2001,MATCH(1,('All Data'!$J$5:$J$2001='Item Lookup'!$C$4)*('All Data'!$A$5:$A$2001=$A54),0)),""))</f>
        <v/>
      </c>
      <c r="G54" s="14">
        <f>IF($A54="","",IFERROR(INDEX('All Data'!$L$5:$L$2001,MATCH(1,('All Data'!$J$5:$J$2001='Item Lookup'!$C$4)*('All Data'!$A$5:$A$2001=$A54),0)),""))</f>
        <v/>
      </c>
      <c r="H54" s="12">
        <f>IF($A54="","",IFERROR(INDEX('All Data'!$N$5:$N$2001,MATCH(1,('All Data'!$J$5:$J$2001='Item Lookup'!$C$4)*('All Data'!$A$5:$A$2001=$A54),0)),""))</f>
        <v/>
      </c>
    </row>
    <row r="55">
      <c r="A55" s="11">
        <f>IFERROR(LARGE(IF('All Data'!$J$5:$J$2001='Item Lookup'!$C$4,'All Data'!$A$5:$A$2001),35),"")</f>
        <v/>
      </c>
      <c r="B55" s="12">
        <f>IF($A55="","",IFERROR(INDEX('All Data'!$B$5:$B$2001,MATCH(1,('All Data'!$J$5:$J$2001='Item Lookup'!$C$4)*('All Data'!$A$5:$A$2001=$A55),0)),""))</f>
        <v/>
      </c>
      <c r="C55" s="12">
        <f>IF($A55="","",IFERROR(INDEX('All Data'!$C$5:$C$2001,MATCH(1,('All Data'!$J$5:$J$2001='Item Lookup'!$C$4)*('All Data'!$A$5:$A$2001=$A55),0)),""))</f>
        <v/>
      </c>
      <c r="D55" s="12">
        <f>IF($A55="","",IFERROR(INDEX('All Data'!$G$5:$G$2001,MATCH(1,('All Data'!$J$5:$J$2001='Item Lookup'!$C$4)*('All Data'!$A$5:$A$2001=$A55),0)),""))</f>
        <v/>
      </c>
      <c r="E55" s="10">
        <f>IF($A55="","",IFERROR(INDEX('All Data'!$H$5:$H$2001,MATCH(1,('All Data'!$J$5:$J$2001='Item Lookup'!$C$4)*('All Data'!$A$5:$A$2001=$A55),0)),""))</f>
        <v/>
      </c>
      <c r="F55" s="10">
        <f>IF($A55="","",IFERROR(INDEX('All Data'!$I$5:$I$2001,MATCH(1,('All Data'!$J$5:$J$2001='Item Lookup'!$C$4)*('All Data'!$A$5:$A$2001=$A55),0)),""))</f>
        <v/>
      </c>
      <c r="G55" s="14">
        <f>IF($A55="","",IFERROR(INDEX('All Data'!$L$5:$L$2001,MATCH(1,('All Data'!$J$5:$J$2001='Item Lookup'!$C$4)*('All Data'!$A$5:$A$2001=$A55),0)),""))</f>
        <v/>
      </c>
      <c r="H55" s="12">
        <f>IF($A55="","",IFERROR(INDEX('All Data'!$N$5:$N$2001,MATCH(1,('All Data'!$J$5:$J$2001='Item Lookup'!$C$4)*('All Data'!$A$5:$A$2001=$A55),0)),""))</f>
        <v/>
      </c>
    </row>
    <row r="56">
      <c r="A56" s="11">
        <f>IFERROR(LARGE(IF('All Data'!$J$5:$J$2001='Item Lookup'!$C$4,'All Data'!$A$5:$A$2001),36),"")</f>
        <v/>
      </c>
      <c r="B56" s="12">
        <f>IF($A56="","",IFERROR(INDEX('All Data'!$B$5:$B$2001,MATCH(1,('All Data'!$J$5:$J$2001='Item Lookup'!$C$4)*('All Data'!$A$5:$A$2001=$A56),0)),""))</f>
        <v/>
      </c>
      <c r="C56" s="12">
        <f>IF($A56="","",IFERROR(INDEX('All Data'!$C$5:$C$2001,MATCH(1,('All Data'!$J$5:$J$2001='Item Lookup'!$C$4)*('All Data'!$A$5:$A$2001=$A56),0)),""))</f>
        <v/>
      </c>
      <c r="D56" s="12">
        <f>IF($A56="","",IFERROR(INDEX('All Data'!$G$5:$G$2001,MATCH(1,('All Data'!$J$5:$J$2001='Item Lookup'!$C$4)*('All Data'!$A$5:$A$2001=$A56),0)),""))</f>
        <v/>
      </c>
      <c r="E56" s="10">
        <f>IF($A56="","",IFERROR(INDEX('All Data'!$H$5:$H$2001,MATCH(1,('All Data'!$J$5:$J$2001='Item Lookup'!$C$4)*('All Data'!$A$5:$A$2001=$A56),0)),""))</f>
        <v/>
      </c>
      <c r="F56" s="10">
        <f>IF($A56="","",IFERROR(INDEX('All Data'!$I$5:$I$2001,MATCH(1,('All Data'!$J$5:$J$2001='Item Lookup'!$C$4)*('All Data'!$A$5:$A$2001=$A56),0)),""))</f>
        <v/>
      </c>
      <c r="G56" s="14">
        <f>IF($A56="","",IFERROR(INDEX('All Data'!$L$5:$L$2001,MATCH(1,('All Data'!$J$5:$J$2001='Item Lookup'!$C$4)*('All Data'!$A$5:$A$2001=$A56),0)),""))</f>
        <v/>
      </c>
      <c r="H56" s="12">
        <f>IF($A56="","",IFERROR(INDEX('All Data'!$N$5:$N$2001,MATCH(1,('All Data'!$J$5:$J$2001='Item Lookup'!$C$4)*('All Data'!$A$5:$A$2001=$A56),0)),""))</f>
        <v/>
      </c>
    </row>
    <row r="57">
      <c r="A57" s="11">
        <f>IFERROR(LARGE(IF('All Data'!$J$5:$J$2001='Item Lookup'!$C$4,'All Data'!$A$5:$A$2001),37),"")</f>
        <v/>
      </c>
      <c r="B57" s="12">
        <f>IF($A57="","",IFERROR(INDEX('All Data'!$B$5:$B$2001,MATCH(1,('All Data'!$J$5:$J$2001='Item Lookup'!$C$4)*('All Data'!$A$5:$A$2001=$A57),0)),""))</f>
        <v/>
      </c>
      <c r="C57" s="12">
        <f>IF($A57="","",IFERROR(INDEX('All Data'!$C$5:$C$2001,MATCH(1,('All Data'!$J$5:$J$2001='Item Lookup'!$C$4)*('All Data'!$A$5:$A$2001=$A57),0)),""))</f>
        <v/>
      </c>
      <c r="D57" s="12">
        <f>IF($A57="","",IFERROR(INDEX('All Data'!$G$5:$G$2001,MATCH(1,('All Data'!$J$5:$J$2001='Item Lookup'!$C$4)*('All Data'!$A$5:$A$2001=$A57),0)),""))</f>
        <v/>
      </c>
      <c r="E57" s="10">
        <f>IF($A57="","",IFERROR(INDEX('All Data'!$H$5:$H$2001,MATCH(1,('All Data'!$J$5:$J$2001='Item Lookup'!$C$4)*('All Data'!$A$5:$A$2001=$A57),0)),""))</f>
        <v/>
      </c>
      <c r="F57" s="10">
        <f>IF($A57="","",IFERROR(INDEX('All Data'!$I$5:$I$2001,MATCH(1,('All Data'!$J$5:$J$2001='Item Lookup'!$C$4)*('All Data'!$A$5:$A$2001=$A57),0)),""))</f>
        <v/>
      </c>
      <c r="G57" s="14">
        <f>IF($A57="","",IFERROR(INDEX('All Data'!$L$5:$L$2001,MATCH(1,('All Data'!$J$5:$J$2001='Item Lookup'!$C$4)*('All Data'!$A$5:$A$2001=$A57),0)),""))</f>
        <v/>
      </c>
      <c r="H57" s="12">
        <f>IF($A57="","",IFERROR(INDEX('All Data'!$N$5:$N$2001,MATCH(1,('All Data'!$J$5:$J$2001='Item Lookup'!$C$4)*('All Data'!$A$5:$A$2001=$A57),0)),""))</f>
        <v/>
      </c>
    </row>
    <row r="58">
      <c r="A58" s="11">
        <f>IFERROR(LARGE(IF('All Data'!$J$5:$J$2001='Item Lookup'!$C$4,'All Data'!$A$5:$A$2001),38),"")</f>
        <v/>
      </c>
      <c r="B58" s="12">
        <f>IF($A58="","",IFERROR(INDEX('All Data'!$B$5:$B$2001,MATCH(1,('All Data'!$J$5:$J$2001='Item Lookup'!$C$4)*('All Data'!$A$5:$A$2001=$A58),0)),""))</f>
        <v/>
      </c>
      <c r="C58" s="12">
        <f>IF($A58="","",IFERROR(INDEX('All Data'!$C$5:$C$2001,MATCH(1,('All Data'!$J$5:$J$2001='Item Lookup'!$C$4)*('All Data'!$A$5:$A$2001=$A58),0)),""))</f>
        <v/>
      </c>
      <c r="D58" s="12">
        <f>IF($A58="","",IFERROR(INDEX('All Data'!$G$5:$G$2001,MATCH(1,('All Data'!$J$5:$J$2001='Item Lookup'!$C$4)*('All Data'!$A$5:$A$2001=$A58),0)),""))</f>
        <v/>
      </c>
      <c r="E58" s="10">
        <f>IF($A58="","",IFERROR(INDEX('All Data'!$H$5:$H$2001,MATCH(1,('All Data'!$J$5:$J$2001='Item Lookup'!$C$4)*('All Data'!$A$5:$A$2001=$A58),0)),""))</f>
        <v/>
      </c>
      <c r="F58" s="10">
        <f>IF($A58="","",IFERROR(INDEX('All Data'!$I$5:$I$2001,MATCH(1,('All Data'!$J$5:$J$2001='Item Lookup'!$C$4)*('All Data'!$A$5:$A$2001=$A58),0)),""))</f>
        <v/>
      </c>
      <c r="G58" s="14">
        <f>IF($A58="","",IFERROR(INDEX('All Data'!$L$5:$L$2001,MATCH(1,('All Data'!$J$5:$J$2001='Item Lookup'!$C$4)*('All Data'!$A$5:$A$2001=$A58),0)),""))</f>
        <v/>
      </c>
      <c r="H58" s="12">
        <f>IF($A58="","",IFERROR(INDEX('All Data'!$N$5:$N$2001,MATCH(1,('All Data'!$J$5:$J$2001='Item Lookup'!$C$4)*('All Data'!$A$5:$A$2001=$A58),0)),""))</f>
        <v/>
      </c>
    </row>
    <row r="59">
      <c r="A59" s="11">
        <f>IFERROR(LARGE(IF('All Data'!$J$5:$J$2001='Item Lookup'!$C$4,'All Data'!$A$5:$A$2001),39),"")</f>
        <v/>
      </c>
      <c r="B59" s="12">
        <f>IF($A59="","",IFERROR(INDEX('All Data'!$B$5:$B$2001,MATCH(1,('All Data'!$J$5:$J$2001='Item Lookup'!$C$4)*('All Data'!$A$5:$A$2001=$A59),0)),""))</f>
        <v/>
      </c>
      <c r="C59" s="12">
        <f>IF($A59="","",IFERROR(INDEX('All Data'!$C$5:$C$2001,MATCH(1,('All Data'!$J$5:$J$2001='Item Lookup'!$C$4)*('All Data'!$A$5:$A$2001=$A59),0)),""))</f>
        <v/>
      </c>
      <c r="D59" s="12">
        <f>IF($A59="","",IFERROR(INDEX('All Data'!$G$5:$G$2001,MATCH(1,('All Data'!$J$5:$J$2001='Item Lookup'!$C$4)*('All Data'!$A$5:$A$2001=$A59),0)),""))</f>
        <v/>
      </c>
      <c r="E59" s="10">
        <f>IF($A59="","",IFERROR(INDEX('All Data'!$H$5:$H$2001,MATCH(1,('All Data'!$J$5:$J$2001='Item Lookup'!$C$4)*('All Data'!$A$5:$A$2001=$A59),0)),""))</f>
        <v/>
      </c>
      <c r="F59" s="10">
        <f>IF($A59="","",IFERROR(INDEX('All Data'!$I$5:$I$2001,MATCH(1,('All Data'!$J$5:$J$2001='Item Lookup'!$C$4)*('All Data'!$A$5:$A$2001=$A59),0)),""))</f>
        <v/>
      </c>
      <c r="G59" s="14">
        <f>IF($A59="","",IFERROR(INDEX('All Data'!$L$5:$L$2001,MATCH(1,('All Data'!$J$5:$J$2001='Item Lookup'!$C$4)*('All Data'!$A$5:$A$2001=$A59),0)),""))</f>
        <v/>
      </c>
      <c r="H59" s="12">
        <f>IF($A59="","",IFERROR(INDEX('All Data'!$N$5:$N$2001,MATCH(1,('All Data'!$J$5:$J$2001='Item Lookup'!$C$4)*('All Data'!$A$5:$A$2001=$A59),0)),""))</f>
        <v/>
      </c>
    </row>
    <row r="60">
      <c r="A60" s="11">
        <f>IFERROR(LARGE(IF('All Data'!$J$5:$J$2001='Item Lookup'!$C$4,'All Data'!$A$5:$A$2001),40),"")</f>
        <v/>
      </c>
      <c r="B60" s="12">
        <f>IF($A60="","",IFERROR(INDEX('All Data'!$B$5:$B$2001,MATCH(1,('All Data'!$J$5:$J$2001='Item Lookup'!$C$4)*('All Data'!$A$5:$A$2001=$A60),0)),""))</f>
        <v/>
      </c>
      <c r="C60" s="12">
        <f>IF($A60="","",IFERROR(INDEX('All Data'!$C$5:$C$2001,MATCH(1,('All Data'!$J$5:$J$2001='Item Lookup'!$C$4)*('All Data'!$A$5:$A$2001=$A60),0)),""))</f>
        <v/>
      </c>
      <c r="D60" s="12">
        <f>IF($A60="","",IFERROR(INDEX('All Data'!$G$5:$G$2001,MATCH(1,('All Data'!$J$5:$J$2001='Item Lookup'!$C$4)*('All Data'!$A$5:$A$2001=$A60),0)),""))</f>
        <v/>
      </c>
      <c r="E60" s="10">
        <f>IF($A60="","",IFERROR(INDEX('All Data'!$H$5:$H$2001,MATCH(1,('All Data'!$J$5:$J$2001='Item Lookup'!$C$4)*('All Data'!$A$5:$A$2001=$A60),0)),""))</f>
        <v/>
      </c>
      <c r="F60" s="10">
        <f>IF($A60="","",IFERROR(INDEX('All Data'!$I$5:$I$2001,MATCH(1,('All Data'!$J$5:$J$2001='Item Lookup'!$C$4)*('All Data'!$A$5:$A$2001=$A60),0)),""))</f>
        <v/>
      </c>
      <c r="G60" s="14">
        <f>IF($A60="","",IFERROR(INDEX('All Data'!$L$5:$L$2001,MATCH(1,('All Data'!$J$5:$J$2001='Item Lookup'!$C$4)*('All Data'!$A$5:$A$2001=$A60),0)),""))</f>
        <v/>
      </c>
      <c r="H60" s="12">
        <f>IF($A60="","",IFERROR(INDEX('All Data'!$N$5:$N$2001,MATCH(1,('All Data'!$J$5:$J$2001='Item Lookup'!$C$4)*('All Data'!$A$5:$A$2001=$A60),0)),""))</f>
        <v/>
      </c>
    </row>
    <row r="61">
      <c r="A61" s="11">
        <f>IFERROR(LARGE(IF('All Data'!$J$5:$J$2001='Item Lookup'!$C$4,'All Data'!$A$5:$A$2001),41),"")</f>
        <v/>
      </c>
      <c r="B61" s="12">
        <f>IF($A61="","",IFERROR(INDEX('All Data'!$B$5:$B$2001,MATCH(1,('All Data'!$J$5:$J$2001='Item Lookup'!$C$4)*('All Data'!$A$5:$A$2001=$A61),0)),""))</f>
        <v/>
      </c>
      <c r="C61" s="12">
        <f>IF($A61="","",IFERROR(INDEX('All Data'!$C$5:$C$2001,MATCH(1,('All Data'!$J$5:$J$2001='Item Lookup'!$C$4)*('All Data'!$A$5:$A$2001=$A61),0)),""))</f>
        <v/>
      </c>
      <c r="D61" s="12">
        <f>IF($A61="","",IFERROR(INDEX('All Data'!$G$5:$G$2001,MATCH(1,('All Data'!$J$5:$J$2001='Item Lookup'!$C$4)*('All Data'!$A$5:$A$2001=$A61),0)),""))</f>
        <v/>
      </c>
      <c r="E61" s="10">
        <f>IF($A61="","",IFERROR(INDEX('All Data'!$H$5:$H$2001,MATCH(1,('All Data'!$J$5:$J$2001='Item Lookup'!$C$4)*('All Data'!$A$5:$A$2001=$A61),0)),""))</f>
        <v/>
      </c>
      <c r="F61" s="10">
        <f>IF($A61="","",IFERROR(INDEX('All Data'!$I$5:$I$2001,MATCH(1,('All Data'!$J$5:$J$2001='Item Lookup'!$C$4)*('All Data'!$A$5:$A$2001=$A61),0)),""))</f>
        <v/>
      </c>
      <c r="G61" s="14">
        <f>IF($A61="","",IFERROR(INDEX('All Data'!$L$5:$L$2001,MATCH(1,('All Data'!$J$5:$J$2001='Item Lookup'!$C$4)*('All Data'!$A$5:$A$2001=$A61),0)),""))</f>
        <v/>
      </c>
      <c r="H61" s="12">
        <f>IF($A61="","",IFERROR(INDEX('All Data'!$N$5:$N$2001,MATCH(1,('All Data'!$J$5:$J$2001='Item Lookup'!$C$4)*('All Data'!$A$5:$A$2001=$A61),0)),""))</f>
        <v/>
      </c>
    </row>
    <row r="62">
      <c r="A62" s="11">
        <f>IFERROR(LARGE(IF('All Data'!$J$5:$J$2001='Item Lookup'!$C$4,'All Data'!$A$5:$A$2001),42),"")</f>
        <v/>
      </c>
      <c r="B62" s="12">
        <f>IF($A62="","",IFERROR(INDEX('All Data'!$B$5:$B$2001,MATCH(1,('All Data'!$J$5:$J$2001='Item Lookup'!$C$4)*('All Data'!$A$5:$A$2001=$A62),0)),""))</f>
        <v/>
      </c>
      <c r="C62" s="12">
        <f>IF($A62="","",IFERROR(INDEX('All Data'!$C$5:$C$2001,MATCH(1,('All Data'!$J$5:$J$2001='Item Lookup'!$C$4)*('All Data'!$A$5:$A$2001=$A62),0)),""))</f>
        <v/>
      </c>
      <c r="D62" s="12">
        <f>IF($A62="","",IFERROR(INDEX('All Data'!$G$5:$G$2001,MATCH(1,('All Data'!$J$5:$J$2001='Item Lookup'!$C$4)*('All Data'!$A$5:$A$2001=$A62),0)),""))</f>
        <v/>
      </c>
      <c r="E62" s="10">
        <f>IF($A62="","",IFERROR(INDEX('All Data'!$H$5:$H$2001,MATCH(1,('All Data'!$J$5:$J$2001='Item Lookup'!$C$4)*('All Data'!$A$5:$A$2001=$A62),0)),""))</f>
        <v/>
      </c>
      <c r="F62" s="10">
        <f>IF($A62="","",IFERROR(INDEX('All Data'!$I$5:$I$2001,MATCH(1,('All Data'!$J$5:$J$2001='Item Lookup'!$C$4)*('All Data'!$A$5:$A$2001=$A62),0)),""))</f>
        <v/>
      </c>
      <c r="G62" s="14">
        <f>IF($A62="","",IFERROR(INDEX('All Data'!$L$5:$L$2001,MATCH(1,('All Data'!$J$5:$J$2001='Item Lookup'!$C$4)*('All Data'!$A$5:$A$2001=$A62),0)),""))</f>
        <v/>
      </c>
      <c r="H62" s="12">
        <f>IF($A62="","",IFERROR(INDEX('All Data'!$N$5:$N$2001,MATCH(1,('All Data'!$J$5:$J$2001='Item Lookup'!$C$4)*('All Data'!$A$5:$A$2001=$A62),0)),""))</f>
        <v/>
      </c>
    </row>
    <row r="63">
      <c r="A63" s="11">
        <f>IFERROR(LARGE(IF('All Data'!$J$5:$J$2001='Item Lookup'!$C$4,'All Data'!$A$5:$A$2001),43),"")</f>
        <v/>
      </c>
      <c r="B63" s="12">
        <f>IF($A63="","",IFERROR(INDEX('All Data'!$B$5:$B$2001,MATCH(1,('All Data'!$J$5:$J$2001='Item Lookup'!$C$4)*('All Data'!$A$5:$A$2001=$A63),0)),""))</f>
        <v/>
      </c>
      <c r="C63" s="12">
        <f>IF($A63="","",IFERROR(INDEX('All Data'!$C$5:$C$2001,MATCH(1,('All Data'!$J$5:$J$2001='Item Lookup'!$C$4)*('All Data'!$A$5:$A$2001=$A63),0)),""))</f>
        <v/>
      </c>
      <c r="D63" s="12">
        <f>IF($A63="","",IFERROR(INDEX('All Data'!$G$5:$G$2001,MATCH(1,('All Data'!$J$5:$J$2001='Item Lookup'!$C$4)*('All Data'!$A$5:$A$2001=$A63),0)),""))</f>
        <v/>
      </c>
      <c r="E63" s="10">
        <f>IF($A63="","",IFERROR(INDEX('All Data'!$H$5:$H$2001,MATCH(1,('All Data'!$J$5:$J$2001='Item Lookup'!$C$4)*('All Data'!$A$5:$A$2001=$A63),0)),""))</f>
        <v/>
      </c>
      <c r="F63" s="10">
        <f>IF($A63="","",IFERROR(INDEX('All Data'!$I$5:$I$2001,MATCH(1,('All Data'!$J$5:$J$2001='Item Lookup'!$C$4)*('All Data'!$A$5:$A$2001=$A63),0)),""))</f>
        <v/>
      </c>
      <c r="G63" s="14">
        <f>IF($A63="","",IFERROR(INDEX('All Data'!$L$5:$L$2001,MATCH(1,('All Data'!$J$5:$J$2001='Item Lookup'!$C$4)*('All Data'!$A$5:$A$2001=$A63),0)),""))</f>
        <v/>
      </c>
      <c r="H63" s="12">
        <f>IF($A63="","",IFERROR(INDEX('All Data'!$N$5:$N$2001,MATCH(1,('All Data'!$J$5:$J$2001='Item Lookup'!$C$4)*('All Data'!$A$5:$A$2001=$A63),0)),""))</f>
        <v/>
      </c>
    </row>
    <row r="64">
      <c r="A64" s="11">
        <f>IFERROR(LARGE(IF('All Data'!$J$5:$J$2001='Item Lookup'!$C$4,'All Data'!$A$5:$A$2001),44),"")</f>
        <v/>
      </c>
      <c r="B64" s="12">
        <f>IF($A64="","",IFERROR(INDEX('All Data'!$B$5:$B$2001,MATCH(1,('All Data'!$J$5:$J$2001='Item Lookup'!$C$4)*('All Data'!$A$5:$A$2001=$A64),0)),""))</f>
        <v/>
      </c>
      <c r="C64" s="12">
        <f>IF($A64="","",IFERROR(INDEX('All Data'!$C$5:$C$2001,MATCH(1,('All Data'!$J$5:$J$2001='Item Lookup'!$C$4)*('All Data'!$A$5:$A$2001=$A64),0)),""))</f>
        <v/>
      </c>
      <c r="D64" s="12">
        <f>IF($A64="","",IFERROR(INDEX('All Data'!$G$5:$G$2001,MATCH(1,('All Data'!$J$5:$J$2001='Item Lookup'!$C$4)*('All Data'!$A$5:$A$2001=$A64),0)),""))</f>
        <v/>
      </c>
      <c r="E64" s="10">
        <f>IF($A64="","",IFERROR(INDEX('All Data'!$H$5:$H$2001,MATCH(1,('All Data'!$J$5:$J$2001='Item Lookup'!$C$4)*('All Data'!$A$5:$A$2001=$A64),0)),""))</f>
        <v/>
      </c>
      <c r="F64" s="10">
        <f>IF($A64="","",IFERROR(INDEX('All Data'!$I$5:$I$2001,MATCH(1,('All Data'!$J$5:$J$2001='Item Lookup'!$C$4)*('All Data'!$A$5:$A$2001=$A64),0)),""))</f>
        <v/>
      </c>
      <c r="G64" s="14">
        <f>IF($A64="","",IFERROR(INDEX('All Data'!$L$5:$L$2001,MATCH(1,('All Data'!$J$5:$J$2001='Item Lookup'!$C$4)*('All Data'!$A$5:$A$2001=$A64),0)),""))</f>
        <v/>
      </c>
      <c r="H64" s="12">
        <f>IF($A64="","",IFERROR(INDEX('All Data'!$N$5:$N$2001,MATCH(1,('All Data'!$J$5:$J$2001='Item Lookup'!$C$4)*('All Data'!$A$5:$A$2001=$A64),0)),""))</f>
        <v/>
      </c>
    </row>
    <row r="65">
      <c r="A65" s="11">
        <f>IFERROR(LARGE(IF('All Data'!$J$5:$J$2001='Item Lookup'!$C$4,'All Data'!$A$5:$A$2001),45),"")</f>
        <v/>
      </c>
      <c r="B65" s="12">
        <f>IF($A65="","",IFERROR(INDEX('All Data'!$B$5:$B$2001,MATCH(1,('All Data'!$J$5:$J$2001='Item Lookup'!$C$4)*('All Data'!$A$5:$A$2001=$A65),0)),""))</f>
        <v/>
      </c>
      <c r="C65" s="12">
        <f>IF($A65="","",IFERROR(INDEX('All Data'!$C$5:$C$2001,MATCH(1,('All Data'!$J$5:$J$2001='Item Lookup'!$C$4)*('All Data'!$A$5:$A$2001=$A65),0)),""))</f>
        <v/>
      </c>
      <c r="D65" s="12">
        <f>IF($A65="","",IFERROR(INDEX('All Data'!$G$5:$G$2001,MATCH(1,('All Data'!$J$5:$J$2001='Item Lookup'!$C$4)*('All Data'!$A$5:$A$2001=$A65),0)),""))</f>
        <v/>
      </c>
      <c r="E65" s="10">
        <f>IF($A65="","",IFERROR(INDEX('All Data'!$H$5:$H$2001,MATCH(1,('All Data'!$J$5:$J$2001='Item Lookup'!$C$4)*('All Data'!$A$5:$A$2001=$A65),0)),""))</f>
        <v/>
      </c>
      <c r="F65" s="10">
        <f>IF($A65="","",IFERROR(INDEX('All Data'!$I$5:$I$2001,MATCH(1,('All Data'!$J$5:$J$2001='Item Lookup'!$C$4)*('All Data'!$A$5:$A$2001=$A65),0)),""))</f>
        <v/>
      </c>
      <c r="G65" s="14">
        <f>IF($A65="","",IFERROR(INDEX('All Data'!$L$5:$L$2001,MATCH(1,('All Data'!$J$5:$J$2001='Item Lookup'!$C$4)*('All Data'!$A$5:$A$2001=$A65),0)),""))</f>
        <v/>
      </c>
      <c r="H65" s="12">
        <f>IF($A65="","",IFERROR(INDEX('All Data'!$N$5:$N$2001,MATCH(1,('All Data'!$J$5:$J$2001='Item Lookup'!$C$4)*('All Data'!$A$5:$A$2001=$A65),0)),""))</f>
        <v/>
      </c>
    </row>
    <row r="66">
      <c r="A66" s="11">
        <f>IFERROR(LARGE(IF('All Data'!$J$5:$J$2001='Item Lookup'!$C$4,'All Data'!$A$5:$A$2001),46),"")</f>
        <v/>
      </c>
      <c r="B66" s="12">
        <f>IF($A66="","",IFERROR(INDEX('All Data'!$B$5:$B$2001,MATCH(1,('All Data'!$J$5:$J$2001='Item Lookup'!$C$4)*('All Data'!$A$5:$A$2001=$A66),0)),""))</f>
        <v/>
      </c>
      <c r="C66" s="12">
        <f>IF($A66="","",IFERROR(INDEX('All Data'!$C$5:$C$2001,MATCH(1,('All Data'!$J$5:$J$2001='Item Lookup'!$C$4)*('All Data'!$A$5:$A$2001=$A66),0)),""))</f>
        <v/>
      </c>
      <c r="D66" s="12">
        <f>IF($A66="","",IFERROR(INDEX('All Data'!$G$5:$G$2001,MATCH(1,('All Data'!$J$5:$J$2001='Item Lookup'!$C$4)*('All Data'!$A$5:$A$2001=$A66),0)),""))</f>
        <v/>
      </c>
      <c r="E66" s="10">
        <f>IF($A66="","",IFERROR(INDEX('All Data'!$H$5:$H$2001,MATCH(1,('All Data'!$J$5:$J$2001='Item Lookup'!$C$4)*('All Data'!$A$5:$A$2001=$A66),0)),""))</f>
        <v/>
      </c>
      <c r="F66" s="10">
        <f>IF($A66="","",IFERROR(INDEX('All Data'!$I$5:$I$2001,MATCH(1,('All Data'!$J$5:$J$2001='Item Lookup'!$C$4)*('All Data'!$A$5:$A$2001=$A66),0)),""))</f>
        <v/>
      </c>
      <c r="G66" s="14">
        <f>IF($A66="","",IFERROR(INDEX('All Data'!$L$5:$L$2001,MATCH(1,('All Data'!$J$5:$J$2001='Item Lookup'!$C$4)*('All Data'!$A$5:$A$2001=$A66),0)),""))</f>
        <v/>
      </c>
      <c r="H66" s="12">
        <f>IF($A66="","",IFERROR(INDEX('All Data'!$N$5:$N$2001,MATCH(1,('All Data'!$J$5:$J$2001='Item Lookup'!$C$4)*('All Data'!$A$5:$A$2001=$A66),0)),""))</f>
        <v/>
      </c>
    </row>
    <row r="67">
      <c r="A67" s="11">
        <f>IFERROR(LARGE(IF('All Data'!$J$5:$J$2001='Item Lookup'!$C$4,'All Data'!$A$5:$A$2001),47),"")</f>
        <v/>
      </c>
      <c r="B67" s="12">
        <f>IF($A67="","",IFERROR(INDEX('All Data'!$B$5:$B$2001,MATCH(1,('All Data'!$J$5:$J$2001='Item Lookup'!$C$4)*('All Data'!$A$5:$A$2001=$A67),0)),""))</f>
        <v/>
      </c>
      <c r="C67" s="12">
        <f>IF($A67="","",IFERROR(INDEX('All Data'!$C$5:$C$2001,MATCH(1,('All Data'!$J$5:$J$2001='Item Lookup'!$C$4)*('All Data'!$A$5:$A$2001=$A67),0)),""))</f>
        <v/>
      </c>
      <c r="D67" s="12">
        <f>IF($A67="","",IFERROR(INDEX('All Data'!$G$5:$G$2001,MATCH(1,('All Data'!$J$5:$J$2001='Item Lookup'!$C$4)*('All Data'!$A$5:$A$2001=$A67),0)),""))</f>
        <v/>
      </c>
      <c r="E67" s="10">
        <f>IF($A67="","",IFERROR(INDEX('All Data'!$H$5:$H$2001,MATCH(1,('All Data'!$J$5:$J$2001='Item Lookup'!$C$4)*('All Data'!$A$5:$A$2001=$A67),0)),""))</f>
        <v/>
      </c>
      <c r="F67" s="10">
        <f>IF($A67="","",IFERROR(INDEX('All Data'!$I$5:$I$2001,MATCH(1,('All Data'!$J$5:$J$2001='Item Lookup'!$C$4)*('All Data'!$A$5:$A$2001=$A67),0)),""))</f>
        <v/>
      </c>
      <c r="G67" s="14">
        <f>IF($A67="","",IFERROR(INDEX('All Data'!$L$5:$L$2001,MATCH(1,('All Data'!$J$5:$J$2001='Item Lookup'!$C$4)*('All Data'!$A$5:$A$2001=$A67),0)),""))</f>
        <v/>
      </c>
      <c r="H67" s="12">
        <f>IF($A67="","",IFERROR(INDEX('All Data'!$N$5:$N$2001,MATCH(1,('All Data'!$J$5:$J$2001='Item Lookup'!$C$4)*('All Data'!$A$5:$A$2001=$A67),0)),""))</f>
        <v/>
      </c>
    </row>
    <row r="68">
      <c r="A68" s="11">
        <f>IFERROR(LARGE(IF('All Data'!$J$5:$J$2001='Item Lookup'!$C$4,'All Data'!$A$5:$A$2001),48),"")</f>
        <v/>
      </c>
      <c r="B68" s="12">
        <f>IF($A68="","",IFERROR(INDEX('All Data'!$B$5:$B$2001,MATCH(1,('All Data'!$J$5:$J$2001='Item Lookup'!$C$4)*('All Data'!$A$5:$A$2001=$A68),0)),""))</f>
        <v/>
      </c>
      <c r="C68" s="12">
        <f>IF($A68="","",IFERROR(INDEX('All Data'!$C$5:$C$2001,MATCH(1,('All Data'!$J$5:$J$2001='Item Lookup'!$C$4)*('All Data'!$A$5:$A$2001=$A68),0)),""))</f>
        <v/>
      </c>
      <c r="D68" s="12">
        <f>IF($A68="","",IFERROR(INDEX('All Data'!$G$5:$G$2001,MATCH(1,('All Data'!$J$5:$J$2001='Item Lookup'!$C$4)*('All Data'!$A$5:$A$2001=$A68),0)),""))</f>
        <v/>
      </c>
      <c r="E68" s="10">
        <f>IF($A68="","",IFERROR(INDEX('All Data'!$H$5:$H$2001,MATCH(1,('All Data'!$J$5:$J$2001='Item Lookup'!$C$4)*('All Data'!$A$5:$A$2001=$A68),0)),""))</f>
        <v/>
      </c>
      <c r="F68" s="10">
        <f>IF($A68="","",IFERROR(INDEX('All Data'!$I$5:$I$2001,MATCH(1,('All Data'!$J$5:$J$2001='Item Lookup'!$C$4)*('All Data'!$A$5:$A$2001=$A68),0)),""))</f>
        <v/>
      </c>
      <c r="G68" s="14">
        <f>IF($A68="","",IFERROR(INDEX('All Data'!$L$5:$L$2001,MATCH(1,('All Data'!$J$5:$J$2001='Item Lookup'!$C$4)*('All Data'!$A$5:$A$2001=$A68),0)),""))</f>
        <v/>
      </c>
      <c r="H68" s="12">
        <f>IF($A68="","",IFERROR(INDEX('All Data'!$N$5:$N$2001,MATCH(1,('All Data'!$J$5:$J$2001='Item Lookup'!$C$4)*('All Data'!$A$5:$A$2001=$A68),0)),""))</f>
        <v/>
      </c>
    </row>
    <row r="69">
      <c r="A69" s="11">
        <f>IFERROR(LARGE(IF('All Data'!$J$5:$J$2001='Item Lookup'!$C$4,'All Data'!$A$5:$A$2001),49),"")</f>
        <v/>
      </c>
      <c r="B69" s="12">
        <f>IF($A69="","",IFERROR(INDEX('All Data'!$B$5:$B$2001,MATCH(1,('All Data'!$J$5:$J$2001='Item Lookup'!$C$4)*('All Data'!$A$5:$A$2001=$A69),0)),""))</f>
        <v/>
      </c>
      <c r="C69" s="12">
        <f>IF($A69="","",IFERROR(INDEX('All Data'!$C$5:$C$2001,MATCH(1,('All Data'!$J$5:$J$2001='Item Lookup'!$C$4)*('All Data'!$A$5:$A$2001=$A69),0)),""))</f>
        <v/>
      </c>
      <c r="D69" s="12">
        <f>IF($A69="","",IFERROR(INDEX('All Data'!$G$5:$G$2001,MATCH(1,('All Data'!$J$5:$J$2001='Item Lookup'!$C$4)*('All Data'!$A$5:$A$2001=$A69),0)),""))</f>
        <v/>
      </c>
      <c r="E69" s="10">
        <f>IF($A69="","",IFERROR(INDEX('All Data'!$H$5:$H$2001,MATCH(1,('All Data'!$J$5:$J$2001='Item Lookup'!$C$4)*('All Data'!$A$5:$A$2001=$A69),0)),""))</f>
        <v/>
      </c>
      <c r="F69" s="10">
        <f>IF($A69="","",IFERROR(INDEX('All Data'!$I$5:$I$2001,MATCH(1,('All Data'!$J$5:$J$2001='Item Lookup'!$C$4)*('All Data'!$A$5:$A$2001=$A69),0)),""))</f>
        <v/>
      </c>
      <c r="G69" s="14">
        <f>IF($A69="","",IFERROR(INDEX('All Data'!$L$5:$L$2001,MATCH(1,('All Data'!$J$5:$J$2001='Item Lookup'!$C$4)*('All Data'!$A$5:$A$2001=$A69),0)),""))</f>
        <v/>
      </c>
      <c r="H69" s="12">
        <f>IF($A69="","",IFERROR(INDEX('All Data'!$N$5:$N$2001,MATCH(1,('All Data'!$J$5:$J$2001='Item Lookup'!$C$4)*('All Data'!$A$5:$A$2001=$A69),0)),""))</f>
        <v/>
      </c>
    </row>
    <row r="70">
      <c r="A70" s="11">
        <f>IFERROR(LARGE(IF('All Data'!$J$5:$J$2001='Item Lookup'!$C$4,'All Data'!$A$5:$A$2001),50),"")</f>
        <v/>
      </c>
      <c r="B70" s="12">
        <f>IF($A70="","",IFERROR(INDEX('All Data'!$B$5:$B$2001,MATCH(1,('All Data'!$J$5:$J$2001='Item Lookup'!$C$4)*('All Data'!$A$5:$A$2001=$A70),0)),""))</f>
        <v/>
      </c>
      <c r="C70" s="12">
        <f>IF($A70="","",IFERROR(INDEX('All Data'!$C$5:$C$2001,MATCH(1,('All Data'!$J$5:$J$2001='Item Lookup'!$C$4)*('All Data'!$A$5:$A$2001=$A70),0)),""))</f>
        <v/>
      </c>
      <c r="D70" s="12">
        <f>IF($A70="","",IFERROR(INDEX('All Data'!$G$5:$G$2001,MATCH(1,('All Data'!$J$5:$J$2001='Item Lookup'!$C$4)*('All Data'!$A$5:$A$2001=$A70),0)),""))</f>
        <v/>
      </c>
      <c r="E70" s="10">
        <f>IF($A70="","",IFERROR(INDEX('All Data'!$H$5:$H$2001,MATCH(1,('All Data'!$J$5:$J$2001='Item Lookup'!$C$4)*('All Data'!$A$5:$A$2001=$A70),0)),""))</f>
        <v/>
      </c>
      <c r="F70" s="10">
        <f>IF($A70="","",IFERROR(INDEX('All Data'!$I$5:$I$2001,MATCH(1,('All Data'!$J$5:$J$2001='Item Lookup'!$C$4)*('All Data'!$A$5:$A$2001=$A70),0)),""))</f>
        <v/>
      </c>
      <c r="G70" s="14">
        <f>IF($A70="","",IFERROR(INDEX('All Data'!$L$5:$L$2001,MATCH(1,('All Data'!$J$5:$J$2001='Item Lookup'!$C$4)*('All Data'!$A$5:$A$2001=$A70),0)),""))</f>
        <v/>
      </c>
      <c r="H70" s="12">
        <f>IF($A70="","",IFERROR(INDEX('All Data'!$N$5:$N$2001,MATCH(1,('All Data'!$J$5:$J$2001='Item Lookup'!$C$4)*('All Data'!$A$5:$A$2001=$A70),0)),""))</f>
        <v/>
      </c>
    </row>
    <row r="71">
      <c r="A71" s="11">
        <f>IFERROR(LARGE(IF('All Data'!$J$5:$J$2001='Item Lookup'!$C$4,'All Data'!$A$5:$A$2001),51),"")</f>
        <v/>
      </c>
      <c r="B71" s="12">
        <f>IF($A71="","",IFERROR(INDEX('All Data'!$B$5:$B$2001,MATCH(1,('All Data'!$J$5:$J$2001='Item Lookup'!$C$4)*('All Data'!$A$5:$A$2001=$A71),0)),""))</f>
        <v/>
      </c>
      <c r="C71" s="12">
        <f>IF($A71="","",IFERROR(INDEX('All Data'!$C$5:$C$2001,MATCH(1,('All Data'!$J$5:$J$2001='Item Lookup'!$C$4)*('All Data'!$A$5:$A$2001=$A71),0)),""))</f>
        <v/>
      </c>
      <c r="D71" s="12">
        <f>IF($A71="","",IFERROR(INDEX('All Data'!$G$5:$G$2001,MATCH(1,('All Data'!$J$5:$J$2001='Item Lookup'!$C$4)*('All Data'!$A$5:$A$2001=$A71),0)),""))</f>
        <v/>
      </c>
      <c r="E71" s="10">
        <f>IF($A71="","",IFERROR(INDEX('All Data'!$H$5:$H$2001,MATCH(1,('All Data'!$J$5:$J$2001='Item Lookup'!$C$4)*('All Data'!$A$5:$A$2001=$A71),0)),""))</f>
        <v/>
      </c>
      <c r="F71" s="10">
        <f>IF($A71="","",IFERROR(INDEX('All Data'!$I$5:$I$2001,MATCH(1,('All Data'!$J$5:$J$2001='Item Lookup'!$C$4)*('All Data'!$A$5:$A$2001=$A71),0)),""))</f>
        <v/>
      </c>
      <c r="G71" s="14">
        <f>IF($A71="","",IFERROR(INDEX('All Data'!$L$5:$L$2001,MATCH(1,('All Data'!$J$5:$J$2001='Item Lookup'!$C$4)*('All Data'!$A$5:$A$2001=$A71),0)),""))</f>
        <v/>
      </c>
      <c r="H71" s="12">
        <f>IF($A71="","",IFERROR(INDEX('All Data'!$N$5:$N$2001,MATCH(1,('All Data'!$J$5:$J$2001='Item Lookup'!$C$4)*('All Data'!$A$5:$A$2001=$A71),0)),""))</f>
        <v/>
      </c>
    </row>
    <row r="72">
      <c r="A72" s="11">
        <f>IFERROR(LARGE(IF('All Data'!$J$5:$J$2001='Item Lookup'!$C$4,'All Data'!$A$5:$A$2001),52),"")</f>
        <v/>
      </c>
      <c r="B72" s="12">
        <f>IF($A72="","",IFERROR(INDEX('All Data'!$B$5:$B$2001,MATCH(1,('All Data'!$J$5:$J$2001='Item Lookup'!$C$4)*('All Data'!$A$5:$A$2001=$A72),0)),""))</f>
        <v/>
      </c>
      <c r="C72" s="12">
        <f>IF($A72="","",IFERROR(INDEX('All Data'!$C$5:$C$2001,MATCH(1,('All Data'!$J$5:$J$2001='Item Lookup'!$C$4)*('All Data'!$A$5:$A$2001=$A72),0)),""))</f>
        <v/>
      </c>
      <c r="D72" s="12">
        <f>IF($A72="","",IFERROR(INDEX('All Data'!$G$5:$G$2001,MATCH(1,('All Data'!$J$5:$J$2001='Item Lookup'!$C$4)*('All Data'!$A$5:$A$2001=$A72),0)),""))</f>
        <v/>
      </c>
      <c r="E72" s="10">
        <f>IF($A72="","",IFERROR(INDEX('All Data'!$H$5:$H$2001,MATCH(1,('All Data'!$J$5:$J$2001='Item Lookup'!$C$4)*('All Data'!$A$5:$A$2001=$A72),0)),""))</f>
        <v/>
      </c>
      <c r="F72" s="10">
        <f>IF($A72="","",IFERROR(INDEX('All Data'!$I$5:$I$2001,MATCH(1,('All Data'!$J$5:$J$2001='Item Lookup'!$C$4)*('All Data'!$A$5:$A$2001=$A72),0)),""))</f>
        <v/>
      </c>
      <c r="G72" s="14">
        <f>IF($A72="","",IFERROR(INDEX('All Data'!$L$5:$L$2001,MATCH(1,('All Data'!$J$5:$J$2001='Item Lookup'!$C$4)*('All Data'!$A$5:$A$2001=$A72),0)),""))</f>
        <v/>
      </c>
      <c r="H72" s="12">
        <f>IF($A72="","",IFERROR(INDEX('All Data'!$N$5:$N$2001,MATCH(1,('All Data'!$J$5:$J$2001='Item Lookup'!$C$4)*('All Data'!$A$5:$A$2001=$A72),0)),""))</f>
        <v/>
      </c>
    </row>
    <row r="73">
      <c r="A73" s="11">
        <f>IFERROR(LARGE(IF('All Data'!$J$5:$J$2001='Item Lookup'!$C$4,'All Data'!$A$5:$A$2001),53),"")</f>
        <v/>
      </c>
      <c r="B73" s="12">
        <f>IF($A73="","",IFERROR(INDEX('All Data'!$B$5:$B$2001,MATCH(1,('All Data'!$J$5:$J$2001='Item Lookup'!$C$4)*('All Data'!$A$5:$A$2001=$A73),0)),""))</f>
        <v/>
      </c>
      <c r="C73" s="12">
        <f>IF($A73="","",IFERROR(INDEX('All Data'!$C$5:$C$2001,MATCH(1,('All Data'!$J$5:$J$2001='Item Lookup'!$C$4)*('All Data'!$A$5:$A$2001=$A73),0)),""))</f>
        <v/>
      </c>
      <c r="D73" s="12">
        <f>IF($A73="","",IFERROR(INDEX('All Data'!$G$5:$G$2001,MATCH(1,('All Data'!$J$5:$J$2001='Item Lookup'!$C$4)*('All Data'!$A$5:$A$2001=$A73),0)),""))</f>
        <v/>
      </c>
      <c r="E73" s="10">
        <f>IF($A73="","",IFERROR(INDEX('All Data'!$H$5:$H$2001,MATCH(1,('All Data'!$J$5:$J$2001='Item Lookup'!$C$4)*('All Data'!$A$5:$A$2001=$A73),0)),""))</f>
        <v/>
      </c>
      <c r="F73" s="10">
        <f>IF($A73="","",IFERROR(INDEX('All Data'!$I$5:$I$2001,MATCH(1,('All Data'!$J$5:$J$2001='Item Lookup'!$C$4)*('All Data'!$A$5:$A$2001=$A73),0)),""))</f>
        <v/>
      </c>
      <c r="G73" s="14">
        <f>IF($A73="","",IFERROR(INDEX('All Data'!$L$5:$L$2001,MATCH(1,('All Data'!$J$5:$J$2001='Item Lookup'!$C$4)*('All Data'!$A$5:$A$2001=$A73),0)),""))</f>
        <v/>
      </c>
      <c r="H73" s="12">
        <f>IF($A73="","",IFERROR(INDEX('All Data'!$N$5:$N$2001,MATCH(1,('All Data'!$J$5:$J$2001='Item Lookup'!$C$4)*('All Data'!$A$5:$A$2001=$A73),0)),""))</f>
        <v/>
      </c>
    </row>
    <row r="74">
      <c r="A74" s="11">
        <f>IFERROR(LARGE(IF('All Data'!$J$5:$J$2001='Item Lookup'!$C$4,'All Data'!$A$5:$A$2001),54),"")</f>
        <v/>
      </c>
      <c r="B74" s="12">
        <f>IF($A74="","",IFERROR(INDEX('All Data'!$B$5:$B$2001,MATCH(1,('All Data'!$J$5:$J$2001='Item Lookup'!$C$4)*('All Data'!$A$5:$A$2001=$A74),0)),""))</f>
        <v/>
      </c>
      <c r="C74" s="12">
        <f>IF($A74="","",IFERROR(INDEX('All Data'!$C$5:$C$2001,MATCH(1,('All Data'!$J$5:$J$2001='Item Lookup'!$C$4)*('All Data'!$A$5:$A$2001=$A74),0)),""))</f>
        <v/>
      </c>
      <c r="D74" s="12">
        <f>IF($A74="","",IFERROR(INDEX('All Data'!$G$5:$G$2001,MATCH(1,('All Data'!$J$5:$J$2001='Item Lookup'!$C$4)*('All Data'!$A$5:$A$2001=$A74),0)),""))</f>
        <v/>
      </c>
      <c r="E74" s="10">
        <f>IF($A74="","",IFERROR(INDEX('All Data'!$H$5:$H$2001,MATCH(1,('All Data'!$J$5:$J$2001='Item Lookup'!$C$4)*('All Data'!$A$5:$A$2001=$A74),0)),""))</f>
        <v/>
      </c>
      <c r="F74" s="10">
        <f>IF($A74="","",IFERROR(INDEX('All Data'!$I$5:$I$2001,MATCH(1,('All Data'!$J$5:$J$2001='Item Lookup'!$C$4)*('All Data'!$A$5:$A$2001=$A74),0)),""))</f>
        <v/>
      </c>
      <c r="G74" s="14">
        <f>IF($A74="","",IFERROR(INDEX('All Data'!$L$5:$L$2001,MATCH(1,('All Data'!$J$5:$J$2001='Item Lookup'!$C$4)*('All Data'!$A$5:$A$2001=$A74),0)),""))</f>
        <v/>
      </c>
      <c r="H74" s="12">
        <f>IF($A74="","",IFERROR(INDEX('All Data'!$N$5:$N$2001,MATCH(1,('All Data'!$J$5:$J$2001='Item Lookup'!$C$4)*('All Data'!$A$5:$A$2001=$A74),0)),""))</f>
        <v/>
      </c>
    </row>
    <row r="75">
      <c r="A75" s="11">
        <f>IFERROR(LARGE(IF('All Data'!$J$5:$J$2001='Item Lookup'!$C$4,'All Data'!$A$5:$A$2001),55),"")</f>
        <v/>
      </c>
      <c r="B75" s="12">
        <f>IF($A75="","",IFERROR(INDEX('All Data'!$B$5:$B$2001,MATCH(1,('All Data'!$J$5:$J$2001='Item Lookup'!$C$4)*('All Data'!$A$5:$A$2001=$A75),0)),""))</f>
        <v/>
      </c>
      <c r="C75" s="12">
        <f>IF($A75="","",IFERROR(INDEX('All Data'!$C$5:$C$2001,MATCH(1,('All Data'!$J$5:$J$2001='Item Lookup'!$C$4)*('All Data'!$A$5:$A$2001=$A75),0)),""))</f>
        <v/>
      </c>
      <c r="D75" s="12">
        <f>IF($A75="","",IFERROR(INDEX('All Data'!$G$5:$G$2001,MATCH(1,('All Data'!$J$5:$J$2001='Item Lookup'!$C$4)*('All Data'!$A$5:$A$2001=$A75),0)),""))</f>
        <v/>
      </c>
      <c r="E75" s="10">
        <f>IF($A75="","",IFERROR(INDEX('All Data'!$H$5:$H$2001,MATCH(1,('All Data'!$J$5:$J$2001='Item Lookup'!$C$4)*('All Data'!$A$5:$A$2001=$A75),0)),""))</f>
        <v/>
      </c>
      <c r="F75" s="10">
        <f>IF($A75="","",IFERROR(INDEX('All Data'!$I$5:$I$2001,MATCH(1,('All Data'!$J$5:$J$2001='Item Lookup'!$C$4)*('All Data'!$A$5:$A$2001=$A75),0)),""))</f>
        <v/>
      </c>
      <c r="G75" s="14">
        <f>IF($A75="","",IFERROR(INDEX('All Data'!$L$5:$L$2001,MATCH(1,('All Data'!$J$5:$J$2001='Item Lookup'!$C$4)*('All Data'!$A$5:$A$2001=$A75),0)),""))</f>
        <v/>
      </c>
      <c r="H75" s="12">
        <f>IF($A75="","",IFERROR(INDEX('All Data'!$N$5:$N$2001,MATCH(1,('All Data'!$J$5:$J$2001='Item Lookup'!$C$4)*('All Data'!$A$5:$A$2001=$A75),0)),""))</f>
        <v/>
      </c>
    </row>
    <row r="76">
      <c r="A76" s="11">
        <f>IFERROR(LARGE(IF('All Data'!$J$5:$J$2001='Item Lookup'!$C$4,'All Data'!$A$5:$A$2001),56),"")</f>
        <v/>
      </c>
      <c r="B76" s="12">
        <f>IF($A76="","",IFERROR(INDEX('All Data'!$B$5:$B$2001,MATCH(1,('All Data'!$J$5:$J$2001='Item Lookup'!$C$4)*('All Data'!$A$5:$A$2001=$A76),0)),""))</f>
        <v/>
      </c>
      <c r="C76" s="12">
        <f>IF($A76="","",IFERROR(INDEX('All Data'!$C$5:$C$2001,MATCH(1,('All Data'!$J$5:$J$2001='Item Lookup'!$C$4)*('All Data'!$A$5:$A$2001=$A76),0)),""))</f>
        <v/>
      </c>
      <c r="D76" s="12">
        <f>IF($A76="","",IFERROR(INDEX('All Data'!$G$5:$G$2001,MATCH(1,('All Data'!$J$5:$J$2001='Item Lookup'!$C$4)*('All Data'!$A$5:$A$2001=$A76),0)),""))</f>
        <v/>
      </c>
      <c r="E76" s="10">
        <f>IF($A76="","",IFERROR(INDEX('All Data'!$H$5:$H$2001,MATCH(1,('All Data'!$J$5:$J$2001='Item Lookup'!$C$4)*('All Data'!$A$5:$A$2001=$A76),0)),""))</f>
        <v/>
      </c>
      <c r="F76" s="10">
        <f>IF($A76="","",IFERROR(INDEX('All Data'!$I$5:$I$2001,MATCH(1,('All Data'!$J$5:$J$2001='Item Lookup'!$C$4)*('All Data'!$A$5:$A$2001=$A76),0)),""))</f>
        <v/>
      </c>
      <c r="G76" s="14">
        <f>IF($A76="","",IFERROR(INDEX('All Data'!$L$5:$L$2001,MATCH(1,('All Data'!$J$5:$J$2001='Item Lookup'!$C$4)*('All Data'!$A$5:$A$2001=$A76),0)),""))</f>
        <v/>
      </c>
      <c r="H76" s="12">
        <f>IF($A76="","",IFERROR(INDEX('All Data'!$N$5:$N$2001,MATCH(1,('All Data'!$J$5:$J$2001='Item Lookup'!$C$4)*('All Data'!$A$5:$A$2001=$A76),0)),""))</f>
        <v/>
      </c>
    </row>
    <row r="77">
      <c r="A77" s="11">
        <f>IFERROR(LARGE(IF('All Data'!$J$5:$J$2001='Item Lookup'!$C$4,'All Data'!$A$5:$A$2001),57),"")</f>
        <v/>
      </c>
      <c r="B77" s="12">
        <f>IF($A77="","",IFERROR(INDEX('All Data'!$B$5:$B$2001,MATCH(1,('All Data'!$J$5:$J$2001='Item Lookup'!$C$4)*('All Data'!$A$5:$A$2001=$A77),0)),""))</f>
        <v/>
      </c>
      <c r="C77" s="12">
        <f>IF($A77="","",IFERROR(INDEX('All Data'!$C$5:$C$2001,MATCH(1,('All Data'!$J$5:$J$2001='Item Lookup'!$C$4)*('All Data'!$A$5:$A$2001=$A77),0)),""))</f>
        <v/>
      </c>
      <c r="D77" s="12">
        <f>IF($A77="","",IFERROR(INDEX('All Data'!$G$5:$G$2001,MATCH(1,('All Data'!$J$5:$J$2001='Item Lookup'!$C$4)*('All Data'!$A$5:$A$2001=$A77),0)),""))</f>
        <v/>
      </c>
      <c r="E77" s="10">
        <f>IF($A77="","",IFERROR(INDEX('All Data'!$H$5:$H$2001,MATCH(1,('All Data'!$J$5:$J$2001='Item Lookup'!$C$4)*('All Data'!$A$5:$A$2001=$A77),0)),""))</f>
        <v/>
      </c>
      <c r="F77" s="10">
        <f>IF($A77="","",IFERROR(INDEX('All Data'!$I$5:$I$2001,MATCH(1,('All Data'!$J$5:$J$2001='Item Lookup'!$C$4)*('All Data'!$A$5:$A$2001=$A77),0)),""))</f>
        <v/>
      </c>
      <c r="G77" s="14">
        <f>IF($A77="","",IFERROR(INDEX('All Data'!$L$5:$L$2001,MATCH(1,('All Data'!$J$5:$J$2001='Item Lookup'!$C$4)*('All Data'!$A$5:$A$2001=$A77),0)),""))</f>
        <v/>
      </c>
      <c r="H77" s="12">
        <f>IF($A77="","",IFERROR(INDEX('All Data'!$N$5:$N$2001,MATCH(1,('All Data'!$J$5:$J$2001='Item Lookup'!$C$4)*('All Data'!$A$5:$A$2001=$A77),0)),""))</f>
        <v/>
      </c>
    </row>
    <row r="78">
      <c r="A78" s="11">
        <f>IFERROR(LARGE(IF('All Data'!$J$5:$J$2001='Item Lookup'!$C$4,'All Data'!$A$5:$A$2001),58),"")</f>
        <v/>
      </c>
      <c r="B78" s="12">
        <f>IF($A78="","",IFERROR(INDEX('All Data'!$B$5:$B$2001,MATCH(1,('All Data'!$J$5:$J$2001='Item Lookup'!$C$4)*('All Data'!$A$5:$A$2001=$A78),0)),""))</f>
        <v/>
      </c>
      <c r="C78" s="12">
        <f>IF($A78="","",IFERROR(INDEX('All Data'!$C$5:$C$2001,MATCH(1,('All Data'!$J$5:$J$2001='Item Lookup'!$C$4)*('All Data'!$A$5:$A$2001=$A78),0)),""))</f>
        <v/>
      </c>
      <c r="D78" s="12">
        <f>IF($A78="","",IFERROR(INDEX('All Data'!$G$5:$G$2001,MATCH(1,('All Data'!$J$5:$J$2001='Item Lookup'!$C$4)*('All Data'!$A$5:$A$2001=$A78),0)),""))</f>
        <v/>
      </c>
      <c r="E78" s="10">
        <f>IF($A78="","",IFERROR(INDEX('All Data'!$H$5:$H$2001,MATCH(1,('All Data'!$J$5:$J$2001='Item Lookup'!$C$4)*('All Data'!$A$5:$A$2001=$A78),0)),""))</f>
        <v/>
      </c>
      <c r="F78" s="10">
        <f>IF($A78="","",IFERROR(INDEX('All Data'!$I$5:$I$2001,MATCH(1,('All Data'!$J$5:$J$2001='Item Lookup'!$C$4)*('All Data'!$A$5:$A$2001=$A78),0)),""))</f>
        <v/>
      </c>
      <c r="G78" s="14">
        <f>IF($A78="","",IFERROR(INDEX('All Data'!$L$5:$L$2001,MATCH(1,('All Data'!$J$5:$J$2001='Item Lookup'!$C$4)*('All Data'!$A$5:$A$2001=$A78),0)),""))</f>
        <v/>
      </c>
      <c r="H78" s="12">
        <f>IF($A78="","",IFERROR(INDEX('All Data'!$N$5:$N$2001,MATCH(1,('All Data'!$J$5:$J$2001='Item Lookup'!$C$4)*('All Data'!$A$5:$A$2001=$A78),0)),""))</f>
        <v/>
      </c>
    </row>
    <row r="79">
      <c r="A79" s="11">
        <f>IFERROR(LARGE(IF('All Data'!$J$5:$J$2001='Item Lookup'!$C$4,'All Data'!$A$5:$A$2001),59),"")</f>
        <v/>
      </c>
      <c r="B79" s="12">
        <f>IF($A79="","",IFERROR(INDEX('All Data'!$B$5:$B$2001,MATCH(1,('All Data'!$J$5:$J$2001='Item Lookup'!$C$4)*('All Data'!$A$5:$A$2001=$A79),0)),""))</f>
        <v/>
      </c>
      <c r="C79" s="12">
        <f>IF($A79="","",IFERROR(INDEX('All Data'!$C$5:$C$2001,MATCH(1,('All Data'!$J$5:$J$2001='Item Lookup'!$C$4)*('All Data'!$A$5:$A$2001=$A79),0)),""))</f>
        <v/>
      </c>
      <c r="D79" s="12">
        <f>IF($A79="","",IFERROR(INDEX('All Data'!$G$5:$G$2001,MATCH(1,('All Data'!$J$5:$J$2001='Item Lookup'!$C$4)*('All Data'!$A$5:$A$2001=$A79),0)),""))</f>
        <v/>
      </c>
      <c r="E79" s="10">
        <f>IF($A79="","",IFERROR(INDEX('All Data'!$H$5:$H$2001,MATCH(1,('All Data'!$J$5:$J$2001='Item Lookup'!$C$4)*('All Data'!$A$5:$A$2001=$A79),0)),""))</f>
        <v/>
      </c>
      <c r="F79" s="10">
        <f>IF($A79="","",IFERROR(INDEX('All Data'!$I$5:$I$2001,MATCH(1,('All Data'!$J$5:$J$2001='Item Lookup'!$C$4)*('All Data'!$A$5:$A$2001=$A79),0)),""))</f>
        <v/>
      </c>
      <c r="G79" s="14">
        <f>IF($A79="","",IFERROR(INDEX('All Data'!$L$5:$L$2001,MATCH(1,('All Data'!$J$5:$J$2001='Item Lookup'!$C$4)*('All Data'!$A$5:$A$2001=$A79),0)),""))</f>
        <v/>
      </c>
      <c r="H79" s="12">
        <f>IF($A79="","",IFERROR(INDEX('All Data'!$N$5:$N$2001,MATCH(1,('All Data'!$J$5:$J$2001='Item Lookup'!$C$4)*('All Data'!$A$5:$A$2001=$A79),0)),""))</f>
        <v/>
      </c>
    </row>
    <row r="80">
      <c r="A80" s="11">
        <f>IFERROR(LARGE(IF('All Data'!$J$5:$J$2001='Item Lookup'!$C$4,'All Data'!$A$5:$A$2001),60),"")</f>
        <v/>
      </c>
      <c r="B80" s="12">
        <f>IF($A80="","",IFERROR(INDEX('All Data'!$B$5:$B$2001,MATCH(1,('All Data'!$J$5:$J$2001='Item Lookup'!$C$4)*('All Data'!$A$5:$A$2001=$A80),0)),""))</f>
        <v/>
      </c>
      <c r="C80" s="12">
        <f>IF($A80="","",IFERROR(INDEX('All Data'!$C$5:$C$2001,MATCH(1,('All Data'!$J$5:$J$2001='Item Lookup'!$C$4)*('All Data'!$A$5:$A$2001=$A80),0)),""))</f>
        <v/>
      </c>
      <c r="D80" s="12">
        <f>IF($A80="","",IFERROR(INDEX('All Data'!$G$5:$G$2001,MATCH(1,('All Data'!$J$5:$J$2001='Item Lookup'!$C$4)*('All Data'!$A$5:$A$2001=$A80),0)),""))</f>
        <v/>
      </c>
      <c r="E80" s="10">
        <f>IF($A80="","",IFERROR(INDEX('All Data'!$H$5:$H$2001,MATCH(1,('All Data'!$J$5:$J$2001='Item Lookup'!$C$4)*('All Data'!$A$5:$A$2001=$A80),0)),""))</f>
        <v/>
      </c>
      <c r="F80" s="10">
        <f>IF($A80="","",IFERROR(INDEX('All Data'!$I$5:$I$2001,MATCH(1,('All Data'!$J$5:$J$2001='Item Lookup'!$C$4)*('All Data'!$A$5:$A$2001=$A80),0)),""))</f>
        <v/>
      </c>
      <c r="G80" s="14">
        <f>IF($A80="","",IFERROR(INDEX('All Data'!$L$5:$L$2001,MATCH(1,('All Data'!$J$5:$J$2001='Item Lookup'!$C$4)*('All Data'!$A$5:$A$2001=$A80),0)),""))</f>
        <v/>
      </c>
      <c r="H80" s="12">
        <f>IF($A80="","",IFERROR(INDEX('All Data'!$N$5:$N$2001,MATCH(1,('All Data'!$J$5:$J$2001='Item Lookup'!$C$4)*('All Data'!$A$5:$A$2001=$A80),0)),""))</f>
        <v/>
      </c>
    </row>
  </sheetData>
  <mergeCells count="3">
    <mergeCell ref="C4:E4"/>
    <mergeCell ref="A2:H2"/>
    <mergeCell ref="A1:H1"/>
  </mergeCells>
  <conditionalFormatting sqref="A21:H80">
    <cfRule type="expression" priority="1" dxfId="0" stopIfTrue="0">
      <formula>$H21="UP"</formula>
    </cfRule>
    <cfRule type="expression" priority="2" dxfId="1" stopIfTrue="0">
      <formula>$H21="down"</formula>
    </cfRule>
  </conditionalFormatting>
  <dataValidations count="1">
    <dataValidation sqref="C4" showDropDown="0" showInputMessage="0" showErrorMessage="0" allowBlank="1" type="list">
      <formula1>='Item List'!$A$5:$A$500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M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0" customWidth="1" min="11" max="11"/>
    <col width="14" customWidth="1" min="12" max="12"/>
  </cols>
  <sheetData>
    <row r="1">
      <c r="A1" s="2" t="inlineStr">
        <is>
          <t>Comparison - latest price per item, by Location</t>
        </is>
      </c>
    </row>
    <row r="2">
      <c r="A2" s="3" t="inlineStr">
        <is>
          <t>One row per item (from Item List). One column per Location seen in your data. Shows the LATEST price you paid at that location. Min/Max/Diff highlight the cheapest option.</t>
        </is>
      </c>
    </row>
    <row r="4" ht="30" customHeight="1">
      <c r="A4" s="4" t="inlineStr">
        <is>
          <t>Item Code</t>
        </is>
      </c>
      <c r="B4" s="4" t="inlineStr">
        <is>
          <t>Item Name</t>
        </is>
      </c>
      <c r="C4" s="4" t="inlineStr">
        <is>
          <t>Unit</t>
        </is>
      </c>
      <c r="D4" s="4">
        <f>IFERROR(INDEX(Lists!$A$2:$A$200,1),"")</f>
        <v/>
      </c>
      <c r="E4" s="4">
        <f>IFERROR(INDEX(Lists!$A$2:$A$200,2),"")</f>
        <v/>
      </c>
      <c r="F4" s="4">
        <f>IFERROR(INDEX(Lists!$A$2:$A$200,3),"")</f>
        <v/>
      </c>
      <c r="G4" s="4">
        <f>IFERROR(INDEX(Lists!$A$2:$A$200,4),"")</f>
        <v/>
      </c>
      <c r="H4" s="4">
        <f>IFERROR(INDEX(Lists!$A$2:$A$200,5),"")</f>
        <v/>
      </c>
      <c r="I4" s="4">
        <f>IFERROR(INDEX(Lists!$A$2:$A$200,6),"")</f>
        <v/>
      </c>
      <c r="J4" s="4" t="inlineStr">
        <is>
          <t>Min Price</t>
        </is>
      </c>
      <c r="K4" s="4" t="inlineStr">
        <is>
          <t>Max Price</t>
        </is>
      </c>
      <c r="L4" s="4" t="inlineStr">
        <is>
          <t>Diff ($)</t>
        </is>
      </c>
      <c r="M4" s="4" t="inlineStr">
        <is>
          <t>Cheapest At</t>
        </is>
      </c>
    </row>
    <row r="5">
      <c r="A5" s="12">
        <f>'Item List'!A5</f>
        <v/>
      </c>
      <c r="B5" s="12">
        <f>'Item List'!B5</f>
        <v/>
      </c>
      <c r="C5" s="12">
        <f>'Item List'!C5</f>
        <v/>
      </c>
      <c r="D5" s="10">
        <f>IF(OR($A5="",D$4=""),"",IFERROR(INDEX('All Data'!$H$5:$H$2001,MATCH(1,('All Data'!$J$5:$J$2001=$A5)*('All Data'!$B$5:$B$2001=D$4)*('All Data'!$A$5:$A$2001=MAX(IF(('All Data'!$J$5:$J$2001=$A5)*('All Data'!$B$5:$B$2001=D$4),'All Data'!$A$5:$A$2001))),0)),""))</f>
        <v/>
      </c>
      <c r="E5" s="10">
        <f>IF(OR($A5="",E$4=""),"",IFERROR(INDEX('All Data'!$H$5:$H$2001,MATCH(1,('All Data'!$J$5:$J$2001=$A5)*('All Data'!$B$5:$B$2001=E$4)*('All Data'!$A$5:$A$2001=MAX(IF(('All Data'!$J$5:$J$2001=$A5)*('All Data'!$B$5:$B$2001=E$4),'All Data'!$A$5:$A$2001))),0)),""))</f>
        <v/>
      </c>
      <c r="F5" s="10">
        <f>IF(OR($A5="",F$4=""),"",IFERROR(INDEX('All Data'!$H$5:$H$2001,MATCH(1,('All Data'!$J$5:$J$2001=$A5)*('All Data'!$B$5:$B$2001=F$4)*('All Data'!$A$5:$A$2001=MAX(IF(('All Data'!$J$5:$J$2001=$A5)*('All Data'!$B$5:$B$2001=F$4),'All Data'!$A$5:$A$2001))),0)),""))</f>
        <v/>
      </c>
      <c r="G5" s="10">
        <f>IF(OR($A5="",G$4=""),"",IFERROR(INDEX('All Data'!$H$5:$H$2001,MATCH(1,('All Data'!$J$5:$J$2001=$A5)*('All Data'!$B$5:$B$2001=G$4)*('All Data'!$A$5:$A$2001=MAX(IF(('All Data'!$J$5:$J$2001=$A5)*('All Data'!$B$5:$B$2001=G$4),'All Data'!$A$5:$A$2001))),0)),""))</f>
        <v/>
      </c>
      <c r="H5" s="10">
        <f>IF(OR($A5="",H$4=""),"",IFERROR(INDEX('All Data'!$H$5:$H$2001,MATCH(1,('All Data'!$J$5:$J$2001=$A5)*('All Data'!$B$5:$B$2001=H$4)*('All Data'!$A$5:$A$2001=MAX(IF(('All Data'!$J$5:$J$2001=$A5)*('All Data'!$B$5:$B$2001=H$4),'All Data'!$A$5:$A$2001))),0)),""))</f>
        <v/>
      </c>
      <c r="I5" s="10">
        <f>IF(OR($A5="",I$4=""),"",IFERROR(INDEX('All Data'!$H$5:$H$2001,MATCH(1,('All Data'!$J$5:$J$2001=$A5)*('All Data'!$B$5:$B$2001=I$4)*('All Data'!$A$5:$A$2001=MAX(IF(('All Data'!$J$5:$J$2001=$A5)*('All Data'!$B$5:$B$2001=I$4),'All Data'!$A$5:$A$2001))),0)),""))</f>
        <v/>
      </c>
      <c r="J5" s="10">
        <f>IFERROR(MIN(D5,E5,F5,G5,H5,I5),"")</f>
        <v/>
      </c>
      <c r="K5" s="10">
        <f>IFERROR(MAX(D5,E5,F5,G5,H5,I5),"")</f>
        <v/>
      </c>
      <c r="L5" s="10">
        <f>IF(OR(J5="",K5=""),"",K5-J5)</f>
        <v/>
      </c>
      <c r="M5" s="12">
        <f>IFERROR(INDEX($D$4:$I$4,MATCH(J5,$D5:$I5,0)),"")</f>
        <v/>
      </c>
    </row>
    <row r="6">
      <c r="A6" s="12">
        <f>'Item List'!A6</f>
        <v/>
      </c>
      <c r="B6" s="12">
        <f>'Item List'!B6</f>
        <v/>
      </c>
      <c r="C6" s="12">
        <f>'Item List'!C6</f>
        <v/>
      </c>
      <c r="D6" s="10">
        <f>IF(OR($A6="",D$4=""),"",IFERROR(INDEX('All Data'!$H$5:$H$2001,MATCH(1,('All Data'!$J$5:$J$2001=$A6)*('All Data'!$B$5:$B$2001=D$4)*('All Data'!$A$5:$A$2001=MAX(IF(('All Data'!$J$5:$J$2001=$A6)*('All Data'!$B$5:$B$2001=D$4),'All Data'!$A$5:$A$2001))),0)),""))</f>
        <v/>
      </c>
      <c r="E6" s="10">
        <f>IF(OR($A6="",E$4=""),"",IFERROR(INDEX('All Data'!$H$5:$H$2001,MATCH(1,('All Data'!$J$5:$J$2001=$A6)*('All Data'!$B$5:$B$2001=E$4)*('All Data'!$A$5:$A$2001=MAX(IF(('All Data'!$J$5:$J$2001=$A6)*('All Data'!$B$5:$B$2001=E$4),'All Data'!$A$5:$A$2001))),0)),""))</f>
        <v/>
      </c>
      <c r="F6" s="10">
        <f>IF(OR($A6="",F$4=""),"",IFERROR(INDEX('All Data'!$H$5:$H$2001,MATCH(1,('All Data'!$J$5:$J$2001=$A6)*('All Data'!$B$5:$B$2001=F$4)*('All Data'!$A$5:$A$2001=MAX(IF(('All Data'!$J$5:$J$2001=$A6)*('All Data'!$B$5:$B$2001=F$4),'All Data'!$A$5:$A$2001))),0)),""))</f>
        <v/>
      </c>
      <c r="G6" s="10">
        <f>IF(OR($A6="",G$4=""),"",IFERROR(INDEX('All Data'!$H$5:$H$2001,MATCH(1,('All Data'!$J$5:$J$2001=$A6)*('All Data'!$B$5:$B$2001=G$4)*('All Data'!$A$5:$A$2001=MAX(IF(('All Data'!$J$5:$J$2001=$A6)*('All Data'!$B$5:$B$2001=G$4),'All Data'!$A$5:$A$2001))),0)),""))</f>
        <v/>
      </c>
      <c r="H6" s="10">
        <f>IF(OR($A6="",H$4=""),"",IFERROR(INDEX('All Data'!$H$5:$H$2001,MATCH(1,('All Data'!$J$5:$J$2001=$A6)*('All Data'!$B$5:$B$2001=H$4)*('All Data'!$A$5:$A$2001=MAX(IF(('All Data'!$J$5:$J$2001=$A6)*('All Data'!$B$5:$B$2001=H$4),'All Data'!$A$5:$A$2001))),0)),""))</f>
        <v/>
      </c>
      <c r="I6" s="10">
        <f>IF(OR($A6="",I$4=""),"",IFERROR(INDEX('All Data'!$H$5:$H$2001,MATCH(1,('All Data'!$J$5:$J$2001=$A6)*('All Data'!$B$5:$B$2001=I$4)*('All Data'!$A$5:$A$2001=MAX(IF(('All Data'!$J$5:$J$2001=$A6)*('All Data'!$B$5:$B$2001=I$4),'All Data'!$A$5:$A$2001))),0)),""))</f>
        <v/>
      </c>
      <c r="J6" s="10">
        <f>IFERROR(MIN(D6,E6,F6,G6,H6,I6),"")</f>
        <v/>
      </c>
      <c r="K6" s="10">
        <f>IFERROR(MAX(D6,E6,F6,G6,H6,I6),"")</f>
        <v/>
      </c>
      <c r="L6" s="10">
        <f>IF(OR(J6="",K6=""),"",K6-J6)</f>
        <v/>
      </c>
      <c r="M6" s="12">
        <f>IFERROR(INDEX($D$4:$I$4,MATCH(J6,$D6:$I6,0)),"")</f>
        <v/>
      </c>
    </row>
    <row r="7">
      <c r="A7" s="12">
        <f>'Item List'!A7</f>
        <v/>
      </c>
      <c r="B7" s="12">
        <f>'Item List'!B7</f>
        <v/>
      </c>
      <c r="C7" s="12">
        <f>'Item List'!C7</f>
        <v/>
      </c>
      <c r="D7" s="10">
        <f>IF(OR($A7="",D$4=""),"",IFERROR(INDEX('All Data'!$H$5:$H$2001,MATCH(1,('All Data'!$J$5:$J$2001=$A7)*('All Data'!$B$5:$B$2001=D$4)*('All Data'!$A$5:$A$2001=MAX(IF(('All Data'!$J$5:$J$2001=$A7)*('All Data'!$B$5:$B$2001=D$4),'All Data'!$A$5:$A$2001))),0)),""))</f>
        <v/>
      </c>
      <c r="E7" s="10">
        <f>IF(OR($A7="",E$4=""),"",IFERROR(INDEX('All Data'!$H$5:$H$2001,MATCH(1,('All Data'!$J$5:$J$2001=$A7)*('All Data'!$B$5:$B$2001=E$4)*('All Data'!$A$5:$A$2001=MAX(IF(('All Data'!$J$5:$J$2001=$A7)*('All Data'!$B$5:$B$2001=E$4),'All Data'!$A$5:$A$2001))),0)),""))</f>
        <v/>
      </c>
      <c r="F7" s="10">
        <f>IF(OR($A7="",F$4=""),"",IFERROR(INDEX('All Data'!$H$5:$H$2001,MATCH(1,('All Data'!$J$5:$J$2001=$A7)*('All Data'!$B$5:$B$2001=F$4)*('All Data'!$A$5:$A$2001=MAX(IF(('All Data'!$J$5:$J$2001=$A7)*('All Data'!$B$5:$B$2001=F$4),'All Data'!$A$5:$A$2001))),0)),""))</f>
        <v/>
      </c>
      <c r="G7" s="10">
        <f>IF(OR($A7="",G$4=""),"",IFERROR(INDEX('All Data'!$H$5:$H$2001,MATCH(1,('All Data'!$J$5:$J$2001=$A7)*('All Data'!$B$5:$B$2001=G$4)*('All Data'!$A$5:$A$2001=MAX(IF(('All Data'!$J$5:$J$2001=$A7)*('All Data'!$B$5:$B$2001=G$4),'All Data'!$A$5:$A$2001))),0)),""))</f>
        <v/>
      </c>
      <c r="H7" s="10">
        <f>IF(OR($A7="",H$4=""),"",IFERROR(INDEX('All Data'!$H$5:$H$2001,MATCH(1,('All Data'!$J$5:$J$2001=$A7)*('All Data'!$B$5:$B$2001=H$4)*('All Data'!$A$5:$A$2001=MAX(IF(('All Data'!$J$5:$J$2001=$A7)*('All Data'!$B$5:$B$2001=H$4),'All Data'!$A$5:$A$2001))),0)),""))</f>
        <v/>
      </c>
      <c r="I7" s="10">
        <f>IF(OR($A7="",I$4=""),"",IFERROR(INDEX('All Data'!$H$5:$H$2001,MATCH(1,('All Data'!$J$5:$J$2001=$A7)*('All Data'!$B$5:$B$2001=I$4)*('All Data'!$A$5:$A$2001=MAX(IF(('All Data'!$J$5:$J$2001=$A7)*('All Data'!$B$5:$B$2001=I$4),'All Data'!$A$5:$A$2001))),0)),""))</f>
        <v/>
      </c>
      <c r="J7" s="10">
        <f>IFERROR(MIN(D7,E7,F7,G7,H7,I7),"")</f>
        <v/>
      </c>
      <c r="K7" s="10">
        <f>IFERROR(MAX(D7,E7,F7,G7,H7,I7),"")</f>
        <v/>
      </c>
      <c r="L7" s="10">
        <f>IF(OR(J7="",K7=""),"",K7-J7)</f>
        <v/>
      </c>
      <c r="M7" s="12">
        <f>IFERROR(INDEX($D$4:$I$4,MATCH(J7,$D7:$I7,0)),"")</f>
        <v/>
      </c>
    </row>
    <row r="8">
      <c r="A8" s="12">
        <f>'Item List'!A8</f>
        <v/>
      </c>
      <c r="B8" s="12">
        <f>'Item List'!B8</f>
        <v/>
      </c>
      <c r="C8" s="12">
        <f>'Item List'!C8</f>
        <v/>
      </c>
      <c r="D8" s="10">
        <f>IF(OR($A8="",D$4=""),"",IFERROR(INDEX('All Data'!$H$5:$H$2001,MATCH(1,('All Data'!$J$5:$J$2001=$A8)*('All Data'!$B$5:$B$2001=D$4)*('All Data'!$A$5:$A$2001=MAX(IF(('All Data'!$J$5:$J$2001=$A8)*('All Data'!$B$5:$B$2001=D$4),'All Data'!$A$5:$A$2001))),0)),""))</f>
        <v/>
      </c>
      <c r="E8" s="10">
        <f>IF(OR($A8="",E$4=""),"",IFERROR(INDEX('All Data'!$H$5:$H$2001,MATCH(1,('All Data'!$J$5:$J$2001=$A8)*('All Data'!$B$5:$B$2001=E$4)*('All Data'!$A$5:$A$2001=MAX(IF(('All Data'!$J$5:$J$2001=$A8)*('All Data'!$B$5:$B$2001=E$4),'All Data'!$A$5:$A$2001))),0)),""))</f>
        <v/>
      </c>
      <c r="F8" s="10">
        <f>IF(OR($A8="",F$4=""),"",IFERROR(INDEX('All Data'!$H$5:$H$2001,MATCH(1,('All Data'!$J$5:$J$2001=$A8)*('All Data'!$B$5:$B$2001=F$4)*('All Data'!$A$5:$A$2001=MAX(IF(('All Data'!$J$5:$J$2001=$A8)*('All Data'!$B$5:$B$2001=F$4),'All Data'!$A$5:$A$2001))),0)),""))</f>
        <v/>
      </c>
      <c r="G8" s="10">
        <f>IF(OR($A8="",G$4=""),"",IFERROR(INDEX('All Data'!$H$5:$H$2001,MATCH(1,('All Data'!$J$5:$J$2001=$A8)*('All Data'!$B$5:$B$2001=G$4)*('All Data'!$A$5:$A$2001=MAX(IF(('All Data'!$J$5:$J$2001=$A8)*('All Data'!$B$5:$B$2001=G$4),'All Data'!$A$5:$A$2001))),0)),""))</f>
        <v/>
      </c>
      <c r="H8" s="10">
        <f>IF(OR($A8="",H$4=""),"",IFERROR(INDEX('All Data'!$H$5:$H$2001,MATCH(1,('All Data'!$J$5:$J$2001=$A8)*('All Data'!$B$5:$B$2001=H$4)*('All Data'!$A$5:$A$2001=MAX(IF(('All Data'!$J$5:$J$2001=$A8)*('All Data'!$B$5:$B$2001=H$4),'All Data'!$A$5:$A$2001))),0)),""))</f>
        <v/>
      </c>
      <c r="I8" s="10">
        <f>IF(OR($A8="",I$4=""),"",IFERROR(INDEX('All Data'!$H$5:$H$2001,MATCH(1,('All Data'!$J$5:$J$2001=$A8)*('All Data'!$B$5:$B$2001=I$4)*('All Data'!$A$5:$A$2001=MAX(IF(('All Data'!$J$5:$J$2001=$A8)*('All Data'!$B$5:$B$2001=I$4),'All Data'!$A$5:$A$2001))),0)),""))</f>
        <v/>
      </c>
      <c r="J8" s="10">
        <f>IFERROR(MIN(D8,E8,F8,G8,H8,I8),"")</f>
        <v/>
      </c>
      <c r="K8" s="10">
        <f>IFERROR(MAX(D8,E8,F8,G8,H8,I8),"")</f>
        <v/>
      </c>
      <c r="L8" s="10">
        <f>IF(OR(J8="",K8=""),"",K8-J8)</f>
        <v/>
      </c>
      <c r="M8" s="12">
        <f>IFERROR(INDEX($D$4:$I$4,MATCH(J8,$D8:$I8,0)),"")</f>
        <v/>
      </c>
    </row>
    <row r="9">
      <c r="A9" s="12">
        <f>'Item List'!A9</f>
        <v/>
      </c>
      <c r="B9" s="12">
        <f>'Item List'!B9</f>
        <v/>
      </c>
      <c r="C9" s="12">
        <f>'Item List'!C9</f>
        <v/>
      </c>
      <c r="D9" s="10">
        <f>IF(OR($A9="",D$4=""),"",IFERROR(INDEX('All Data'!$H$5:$H$2001,MATCH(1,('All Data'!$J$5:$J$2001=$A9)*('All Data'!$B$5:$B$2001=D$4)*('All Data'!$A$5:$A$2001=MAX(IF(('All Data'!$J$5:$J$2001=$A9)*('All Data'!$B$5:$B$2001=D$4),'All Data'!$A$5:$A$2001))),0)),""))</f>
        <v/>
      </c>
      <c r="E9" s="10">
        <f>IF(OR($A9="",E$4=""),"",IFERROR(INDEX('All Data'!$H$5:$H$2001,MATCH(1,('All Data'!$J$5:$J$2001=$A9)*('All Data'!$B$5:$B$2001=E$4)*('All Data'!$A$5:$A$2001=MAX(IF(('All Data'!$J$5:$J$2001=$A9)*('All Data'!$B$5:$B$2001=E$4),'All Data'!$A$5:$A$2001))),0)),""))</f>
        <v/>
      </c>
      <c r="F9" s="10">
        <f>IF(OR($A9="",F$4=""),"",IFERROR(INDEX('All Data'!$H$5:$H$2001,MATCH(1,('All Data'!$J$5:$J$2001=$A9)*('All Data'!$B$5:$B$2001=F$4)*('All Data'!$A$5:$A$2001=MAX(IF(('All Data'!$J$5:$J$2001=$A9)*('All Data'!$B$5:$B$2001=F$4),'All Data'!$A$5:$A$2001))),0)),""))</f>
        <v/>
      </c>
      <c r="G9" s="10">
        <f>IF(OR($A9="",G$4=""),"",IFERROR(INDEX('All Data'!$H$5:$H$2001,MATCH(1,('All Data'!$J$5:$J$2001=$A9)*('All Data'!$B$5:$B$2001=G$4)*('All Data'!$A$5:$A$2001=MAX(IF(('All Data'!$J$5:$J$2001=$A9)*('All Data'!$B$5:$B$2001=G$4),'All Data'!$A$5:$A$2001))),0)),""))</f>
        <v/>
      </c>
      <c r="H9" s="10">
        <f>IF(OR($A9="",H$4=""),"",IFERROR(INDEX('All Data'!$H$5:$H$2001,MATCH(1,('All Data'!$J$5:$J$2001=$A9)*('All Data'!$B$5:$B$2001=H$4)*('All Data'!$A$5:$A$2001=MAX(IF(('All Data'!$J$5:$J$2001=$A9)*('All Data'!$B$5:$B$2001=H$4),'All Data'!$A$5:$A$2001))),0)),""))</f>
        <v/>
      </c>
      <c r="I9" s="10">
        <f>IF(OR($A9="",I$4=""),"",IFERROR(INDEX('All Data'!$H$5:$H$2001,MATCH(1,('All Data'!$J$5:$J$2001=$A9)*('All Data'!$B$5:$B$2001=I$4)*('All Data'!$A$5:$A$2001=MAX(IF(('All Data'!$J$5:$J$2001=$A9)*('All Data'!$B$5:$B$2001=I$4),'All Data'!$A$5:$A$2001))),0)),""))</f>
        <v/>
      </c>
      <c r="J9" s="10">
        <f>IFERROR(MIN(D9,E9,F9,G9,H9,I9),"")</f>
        <v/>
      </c>
      <c r="K9" s="10">
        <f>IFERROR(MAX(D9,E9,F9,G9,H9,I9),"")</f>
        <v/>
      </c>
      <c r="L9" s="10">
        <f>IF(OR(J9="",K9=""),"",K9-J9)</f>
        <v/>
      </c>
      <c r="M9" s="12">
        <f>IFERROR(INDEX($D$4:$I$4,MATCH(J9,$D9:$I9,0)),"")</f>
        <v/>
      </c>
    </row>
    <row r="10">
      <c r="A10" s="12">
        <f>'Item List'!A10</f>
        <v/>
      </c>
      <c r="B10" s="12">
        <f>'Item List'!B10</f>
        <v/>
      </c>
      <c r="C10" s="12">
        <f>'Item List'!C10</f>
        <v/>
      </c>
      <c r="D10" s="10">
        <f>IF(OR($A10="",D$4=""),"",IFERROR(INDEX('All Data'!$H$5:$H$2001,MATCH(1,('All Data'!$J$5:$J$2001=$A10)*('All Data'!$B$5:$B$2001=D$4)*('All Data'!$A$5:$A$2001=MAX(IF(('All Data'!$J$5:$J$2001=$A10)*('All Data'!$B$5:$B$2001=D$4),'All Data'!$A$5:$A$2001))),0)),""))</f>
        <v/>
      </c>
      <c r="E10" s="10">
        <f>IF(OR($A10="",E$4=""),"",IFERROR(INDEX('All Data'!$H$5:$H$2001,MATCH(1,('All Data'!$J$5:$J$2001=$A10)*('All Data'!$B$5:$B$2001=E$4)*('All Data'!$A$5:$A$2001=MAX(IF(('All Data'!$J$5:$J$2001=$A10)*('All Data'!$B$5:$B$2001=E$4),'All Data'!$A$5:$A$2001))),0)),""))</f>
        <v/>
      </c>
      <c r="F10" s="10">
        <f>IF(OR($A10="",F$4=""),"",IFERROR(INDEX('All Data'!$H$5:$H$2001,MATCH(1,('All Data'!$J$5:$J$2001=$A10)*('All Data'!$B$5:$B$2001=F$4)*('All Data'!$A$5:$A$2001=MAX(IF(('All Data'!$J$5:$J$2001=$A10)*('All Data'!$B$5:$B$2001=F$4),'All Data'!$A$5:$A$2001))),0)),""))</f>
        <v/>
      </c>
      <c r="G10" s="10">
        <f>IF(OR($A10="",G$4=""),"",IFERROR(INDEX('All Data'!$H$5:$H$2001,MATCH(1,('All Data'!$J$5:$J$2001=$A10)*('All Data'!$B$5:$B$2001=G$4)*('All Data'!$A$5:$A$2001=MAX(IF(('All Data'!$J$5:$J$2001=$A10)*('All Data'!$B$5:$B$2001=G$4),'All Data'!$A$5:$A$2001))),0)),""))</f>
        <v/>
      </c>
      <c r="H10" s="10">
        <f>IF(OR($A10="",H$4=""),"",IFERROR(INDEX('All Data'!$H$5:$H$2001,MATCH(1,('All Data'!$J$5:$J$2001=$A10)*('All Data'!$B$5:$B$2001=H$4)*('All Data'!$A$5:$A$2001=MAX(IF(('All Data'!$J$5:$J$2001=$A10)*('All Data'!$B$5:$B$2001=H$4),'All Data'!$A$5:$A$2001))),0)),""))</f>
        <v/>
      </c>
      <c r="I10" s="10">
        <f>IF(OR($A10="",I$4=""),"",IFERROR(INDEX('All Data'!$H$5:$H$2001,MATCH(1,('All Data'!$J$5:$J$2001=$A10)*('All Data'!$B$5:$B$2001=I$4)*('All Data'!$A$5:$A$2001=MAX(IF(('All Data'!$J$5:$J$2001=$A10)*('All Data'!$B$5:$B$2001=I$4),'All Data'!$A$5:$A$2001))),0)),""))</f>
        <v/>
      </c>
      <c r="J10" s="10">
        <f>IFERROR(MIN(D10,E10,F10,G10,H10,I10),"")</f>
        <v/>
      </c>
      <c r="K10" s="10">
        <f>IFERROR(MAX(D10,E10,F10,G10,H10,I10),"")</f>
        <v/>
      </c>
      <c r="L10" s="10">
        <f>IF(OR(J10="",K10=""),"",K10-J10)</f>
        <v/>
      </c>
      <c r="M10" s="12">
        <f>IFERROR(INDEX($D$4:$I$4,MATCH(J10,$D10:$I10,0)),"")</f>
        <v/>
      </c>
    </row>
    <row r="11">
      <c r="A11" s="12">
        <f>'Item List'!A11</f>
        <v/>
      </c>
      <c r="B11" s="12">
        <f>'Item List'!B11</f>
        <v/>
      </c>
      <c r="C11" s="12">
        <f>'Item List'!C11</f>
        <v/>
      </c>
      <c r="D11" s="10">
        <f>IF(OR($A11="",D$4=""),"",IFERROR(INDEX('All Data'!$H$5:$H$2001,MATCH(1,('All Data'!$J$5:$J$2001=$A11)*('All Data'!$B$5:$B$2001=D$4)*('All Data'!$A$5:$A$2001=MAX(IF(('All Data'!$J$5:$J$2001=$A11)*('All Data'!$B$5:$B$2001=D$4),'All Data'!$A$5:$A$2001))),0)),""))</f>
        <v/>
      </c>
      <c r="E11" s="10">
        <f>IF(OR($A11="",E$4=""),"",IFERROR(INDEX('All Data'!$H$5:$H$2001,MATCH(1,('All Data'!$J$5:$J$2001=$A11)*('All Data'!$B$5:$B$2001=E$4)*('All Data'!$A$5:$A$2001=MAX(IF(('All Data'!$J$5:$J$2001=$A11)*('All Data'!$B$5:$B$2001=E$4),'All Data'!$A$5:$A$2001))),0)),""))</f>
        <v/>
      </c>
      <c r="F11" s="10">
        <f>IF(OR($A11="",F$4=""),"",IFERROR(INDEX('All Data'!$H$5:$H$2001,MATCH(1,('All Data'!$J$5:$J$2001=$A11)*('All Data'!$B$5:$B$2001=F$4)*('All Data'!$A$5:$A$2001=MAX(IF(('All Data'!$J$5:$J$2001=$A11)*('All Data'!$B$5:$B$2001=F$4),'All Data'!$A$5:$A$2001))),0)),""))</f>
        <v/>
      </c>
      <c r="G11" s="10">
        <f>IF(OR($A11="",G$4=""),"",IFERROR(INDEX('All Data'!$H$5:$H$2001,MATCH(1,('All Data'!$J$5:$J$2001=$A11)*('All Data'!$B$5:$B$2001=G$4)*('All Data'!$A$5:$A$2001=MAX(IF(('All Data'!$J$5:$J$2001=$A11)*('All Data'!$B$5:$B$2001=G$4),'All Data'!$A$5:$A$2001))),0)),""))</f>
        <v/>
      </c>
      <c r="H11" s="10">
        <f>IF(OR($A11="",H$4=""),"",IFERROR(INDEX('All Data'!$H$5:$H$2001,MATCH(1,('All Data'!$J$5:$J$2001=$A11)*('All Data'!$B$5:$B$2001=H$4)*('All Data'!$A$5:$A$2001=MAX(IF(('All Data'!$J$5:$J$2001=$A11)*('All Data'!$B$5:$B$2001=H$4),'All Data'!$A$5:$A$2001))),0)),""))</f>
        <v/>
      </c>
      <c r="I11" s="10">
        <f>IF(OR($A11="",I$4=""),"",IFERROR(INDEX('All Data'!$H$5:$H$2001,MATCH(1,('All Data'!$J$5:$J$2001=$A11)*('All Data'!$B$5:$B$2001=I$4)*('All Data'!$A$5:$A$2001=MAX(IF(('All Data'!$J$5:$J$2001=$A11)*('All Data'!$B$5:$B$2001=I$4),'All Data'!$A$5:$A$2001))),0)),""))</f>
        <v/>
      </c>
      <c r="J11" s="10">
        <f>IFERROR(MIN(D11,E11,F11,G11,H11,I11),"")</f>
        <v/>
      </c>
      <c r="K11" s="10">
        <f>IFERROR(MAX(D11,E11,F11,G11,H11,I11),"")</f>
        <v/>
      </c>
      <c r="L11" s="10">
        <f>IF(OR(J11="",K11=""),"",K11-J11)</f>
        <v/>
      </c>
      <c r="M11" s="12">
        <f>IFERROR(INDEX($D$4:$I$4,MATCH(J11,$D11:$I11,0)),"")</f>
        <v/>
      </c>
    </row>
    <row r="12">
      <c r="A12" s="12">
        <f>'Item List'!A12</f>
        <v/>
      </c>
      <c r="B12" s="12">
        <f>'Item List'!B12</f>
        <v/>
      </c>
      <c r="C12" s="12">
        <f>'Item List'!C12</f>
        <v/>
      </c>
      <c r="D12" s="10">
        <f>IF(OR($A12="",D$4=""),"",IFERROR(INDEX('All Data'!$H$5:$H$2001,MATCH(1,('All Data'!$J$5:$J$2001=$A12)*('All Data'!$B$5:$B$2001=D$4)*('All Data'!$A$5:$A$2001=MAX(IF(('All Data'!$J$5:$J$2001=$A12)*('All Data'!$B$5:$B$2001=D$4),'All Data'!$A$5:$A$2001))),0)),""))</f>
        <v/>
      </c>
      <c r="E12" s="10">
        <f>IF(OR($A12="",E$4=""),"",IFERROR(INDEX('All Data'!$H$5:$H$2001,MATCH(1,('All Data'!$J$5:$J$2001=$A12)*('All Data'!$B$5:$B$2001=E$4)*('All Data'!$A$5:$A$2001=MAX(IF(('All Data'!$J$5:$J$2001=$A12)*('All Data'!$B$5:$B$2001=E$4),'All Data'!$A$5:$A$2001))),0)),""))</f>
        <v/>
      </c>
      <c r="F12" s="10">
        <f>IF(OR($A12="",F$4=""),"",IFERROR(INDEX('All Data'!$H$5:$H$2001,MATCH(1,('All Data'!$J$5:$J$2001=$A12)*('All Data'!$B$5:$B$2001=F$4)*('All Data'!$A$5:$A$2001=MAX(IF(('All Data'!$J$5:$J$2001=$A12)*('All Data'!$B$5:$B$2001=F$4),'All Data'!$A$5:$A$2001))),0)),""))</f>
        <v/>
      </c>
      <c r="G12" s="10">
        <f>IF(OR($A12="",G$4=""),"",IFERROR(INDEX('All Data'!$H$5:$H$2001,MATCH(1,('All Data'!$J$5:$J$2001=$A12)*('All Data'!$B$5:$B$2001=G$4)*('All Data'!$A$5:$A$2001=MAX(IF(('All Data'!$J$5:$J$2001=$A12)*('All Data'!$B$5:$B$2001=G$4),'All Data'!$A$5:$A$2001))),0)),""))</f>
        <v/>
      </c>
      <c r="H12" s="10">
        <f>IF(OR($A12="",H$4=""),"",IFERROR(INDEX('All Data'!$H$5:$H$2001,MATCH(1,('All Data'!$J$5:$J$2001=$A12)*('All Data'!$B$5:$B$2001=H$4)*('All Data'!$A$5:$A$2001=MAX(IF(('All Data'!$J$5:$J$2001=$A12)*('All Data'!$B$5:$B$2001=H$4),'All Data'!$A$5:$A$2001))),0)),""))</f>
        <v/>
      </c>
      <c r="I12" s="10">
        <f>IF(OR($A12="",I$4=""),"",IFERROR(INDEX('All Data'!$H$5:$H$2001,MATCH(1,('All Data'!$J$5:$J$2001=$A12)*('All Data'!$B$5:$B$2001=I$4)*('All Data'!$A$5:$A$2001=MAX(IF(('All Data'!$J$5:$J$2001=$A12)*('All Data'!$B$5:$B$2001=I$4),'All Data'!$A$5:$A$2001))),0)),""))</f>
        <v/>
      </c>
      <c r="J12" s="10">
        <f>IFERROR(MIN(D12,E12,F12,G12,H12,I12),"")</f>
        <v/>
      </c>
      <c r="K12" s="10">
        <f>IFERROR(MAX(D12,E12,F12,G12,H12,I12),"")</f>
        <v/>
      </c>
      <c r="L12" s="10">
        <f>IF(OR(J12="",K12=""),"",K12-J12)</f>
        <v/>
      </c>
      <c r="M12" s="12">
        <f>IFERROR(INDEX($D$4:$I$4,MATCH(J12,$D12:$I12,0)),"")</f>
        <v/>
      </c>
    </row>
    <row r="13">
      <c r="A13" s="12">
        <f>'Item List'!A13</f>
        <v/>
      </c>
      <c r="B13" s="12">
        <f>'Item List'!B13</f>
        <v/>
      </c>
      <c r="C13" s="12">
        <f>'Item List'!C13</f>
        <v/>
      </c>
      <c r="D13" s="10">
        <f>IF(OR($A13="",D$4=""),"",IFERROR(INDEX('All Data'!$H$5:$H$2001,MATCH(1,('All Data'!$J$5:$J$2001=$A13)*('All Data'!$B$5:$B$2001=D$4)*('All Data'!$A$5:$A$2001=MAX(IF(('All Data'!$J$5:$J$2001=$A13)*('All Data'!$B$5:$B$2001=D$4),'All Data'!$A$5:$A$2001))),0)),""))</f>
        <v/>
      </c>
      <c r="E13" s="10">
        <f>IF(OR($A13="",E$4=""),"",IFERROR(INDEX('All Data'!$H$5:$H$2001,MATCH(1,('All Data'!$J$5:$J$2001=$A13)*('All Data'!$B$5:$B$2001=E$4)*('All Data'!$A$5:$A$2001=MAX(IF(('All Data'!$J$5:$J$2001=$A13)*('All Data'!$B$5:$B$2001=E$4),'All Data'!$A$5:$A$2001))),0)),""))</f>
        <v/>
      </c>
      <c r="F13" s="10">
        <f>IF(OR($A13="",F$4=""),"",IFERROR(INDEX('All Data'!$H$5:$H$2001,MATCH(1,('All Data'!$J$5:$J$2001=$A13)*('All Data'!$B$5:$B$2001=F$4)*('All Data'!$A$5:$A$2001=MAX(IF(('All Data'!$J$5:$J$2001=$A13)*('All Data'!$B$5:$B$2001=F$4),'All Data'!$A$5:$A$2001))),0)),""))</f>
        <v/>
      </c>
      <c r="G13" s="10">
        <f>IF(OR($A13="",G$4=""),"",IFERROR(INDEX('All Data'!$H$5:$H$2001,MATCH(1,('All Data'!$J$5:$J$2001=$A13)*('All Data'!$B$5:$B$2001=G$4)*('All Data'!$A$5:$A$2001=MAX(IF(('All Data'!$J$5:$J$2001=$A13)*('All Data'!$B$5:$B$2001=G$4),'All Data'!$A$5:$A$2001))),0)),""))</f>
        <v/>
      </c>
      <c r="H13" s="10">
        <f>IF(OR($A13="",H$4=""),"",IFERROR(INDEX('All Data'!$H$5:$H$2001,MATCH(1,('All Data'!$J$5:$J$2001=$A13)*('All Data'!$B$5:$B$2001=H$4)*('All Data'!$A$5:$A$2001=MAX(IF(('All Data'!$J$5:$J$2001=$A13)*('All Data'!$B$5:$B$2001=H$4),'All Data'!$A$5:$A$2001))),0)),""))</f>
        <v/>
      </c>
      <c r="I13" s="10">
        <f>IF(OR($A13="",I$4=""),"",IFERROR(INDEX('All Data'!$H$5:$H$2001,MATCH(1,('All Data'!$J$5:$J$2001=$A13)*('All Data'!$B$5:$B$2001=I$4)*('All Data'!$A$5:$A$2001=MAX(IF(('All Data'!$J$5:$J$2001=$A13)*('All Data'!$B$5:$B$2001=I$4),'All Data'!$A$5:$A$2001))),0)),""))</f>
        <v/>
      </c>
      <c r="J13" s="10">
        <f>IFERROR(MIN(D13,E13,F13,G13,H13,I13),"")</f>
        <v/>
      </c>
      <c r="K13" s="10">
        <f>IFERROR(MAX(D13,E13,F13,G13,H13,I13),"")</f>
        <v/>
      </c>
      <c r="L13" s="10">
        <f>IF(OR(J13="",K13=""),"",K13-J13)</f>
        <v/>
      </c>
      <c r="M13" s="12">
        <f>IFERROR(INDEX($D$4:$I$4,MATCH(J13,$D13:$I13,0)),"")</f>
        <v/>
      </c>
    </row>
    <row r="14">
      <c r="A14" s="12">
        <f>'Item List'!A14</f>
        <v/>
      </c>
      <c r="B14" s="12">
        <f>'Item List'!B14</f>
        <v/>
      </c>
      <c r="C14" s="12">
        <f>'Item List'!C14</f>
        <v/>
      </c>
      <c r="D14" s="10">
        <f>IF(OR($A14="",D$4=""),"",IFERROR(INDEX('All Data'!$H$5:$H$2001,MATCH(1,('All Data'!$J$5:$J$2001=$A14)*('All Data'!$B$5:$B$2001=D$4)*('All Data'!$A$5:$A$2001=MAX(IF(('All Data'!$J$5:$J$2001=$A14)*('All Data'!$B$5:$B$2001=D$4),'All Data'!$A$5:$A$2001))),0)),""))</f>
        <v/>
      </c>
      <c r="E14" s="10">
        <f>IF(OR($A14="",E$4=""),"",IFERROR(INDEX('All Data'!$H$5:$H$2001,MATCH(1,('All Data'!$J$5:$J$2001=$A14)*('All Data'!$B$5:$B$2001=E$4)*('All Data'!$A$5:$A$2001=MAX(IF(('All Data'!$J$5:$J$2001=$A14)*('All Data'!$B$5:$B$2001=E$4),'All Data'!$A$5:$A$2001))),0)),""))</f>
        <v/>
      </c>
      <c r="F14" s="10">
        <f>IF(OR($A14="",F$4=""),"",IFERROR(INDEX('All Data'!$H$5:$H$2001,MATCH(1,('All Data'!$J$5:$J$2001=$A14)*('All Data'!$B$5:$B$2001=F$4)*('All Data'!$A$5:$A$2001=MAX(IF(('All Data'!$J$5:$J$2001=$A14)*('All Data'!$B$5:$B$2001=F$4),'All Data'!$A$5:$A$2001))),0)),""))</f>
        <v/>
      </c>
      <c r="G14" s="10">
        <f>IF(OR($A14="",G$4=""),"",IFERROR(INDEX('All Data'!$H$5:$H$2001,MATCH(1,('All Data'!$J$5:$J$2001=$A14)*('All Data'!$B$5:$B$2001=G$4)*('All Data'!$A$5:$A$2001=MAX(IF(('All Data'!$J$5:$J$2001=$A14)*('All Data'!$B$5:$B$2001=G$4),'All Data'!$A$5:$A$2001))),0)),""))</f>
        <v/>
      </c>
      <c r="H14" s="10">
        <f>IF(OR($A14="",H$4=""),"",IFERROR(INDEX('All Data'!$H$5:$H$2001,MATCH(1,('All Data'!$J$5:$J$2001=$A14)*('All Data'!$B$5:$B$2001=H$4)*('All Data'!$A$5:$A$2001=MAX(IF(('All Data'!$J$5:$J$2001=$A14)*('All Data'!$B$5:$B$2001=H$4),'All Data'!$A$5:$A$2001))),0)),""))</f>
        <v/>
      </c>
      <c r="I14" s="10">
        <f>IF(OR($A14="",I$4=""),"",IFERROR(INDEX('All Data'!$H$5:$H$2001,MATCH(1,('All Data'!$J$5:$J$2001=$A14)*('All Data'!$B$5:$B$2001=I$4)*('All Data'!$A$5:$A$2001=MAX(IF(('All Data'!$J$5:$J$2001=$A14)*('All Data'!$B$5:$B$2001=I$4),'All Data'!$A$5:$A$2001))),0)),""))</f>
        <v/>
      </c>
      <c r="J14" s="10">
        <f>IFERROR(MIN(D14,E14,F14,G14,H14,I14),"")</f>
        <v/>
      </c>
      <c r="K14" s="10">
        <f>IFERROR(MAX(D14,E14,F14,G14,H14,I14),"")</f>
        <v/>
      </c>
      <c r="L14" s="10">
        <f>IF(OR(J14="",K14=""),"",K14-J14)</f>
        <v/>
      </c>
      <c r="M14" s="12">
        <f>IFERROR(INDEX($D$4:$I$4,MATCH(J14,$D14:$I14,0)),"")</f>
        <v/>
      </c>
    </row>
    <row r="15">
      <c r="A15" s="12">
        <f>'Item List'!A15</f>
        <v/>
      </c>
      <c r="B15" s="12">
        <f>'Item List'!B15</f>
        <v/>
      </c>
      <c r="C15" s="12">
        <f>'Item List'!C15</f>
        <v/>
      </c>
      <c r="D15" s="10">
        <f>IF(OR($A15="",D$4=""),"",IFERROR(INDEX('All Data'!$H$5:$H$2001,MATCH(1,('All Data'!$J$5:$J$2001=$A15)*('All Data'!$B$5:$B$2001=D$4)*('All Data'!$A$5:$A$2001=MAX(IF(('All Data'!$J$5:$J$2001=$A15)*('All Data'!$B$5:$B$2001=D$4),'All Data'!$A$5:$A$2001))),0)),""))</f>
        <v/>
      </c>
      <c r="E15" s="10">
        <f>IF(OR($A15="",E$4=""),"",IFERROR(INDEX('All Data'!$H$5:$H$2001,MATCH(1,('All Data'!$J$5:$J$2001=$A15)*('All Data'!$B$5:$B$2001=E$4)*('All Data'!$A$5:$A$2001=MAX(IF(('All Data'!$J$5:$J$2001=$A15)*('All Data'!$B$5:$B$2001=E$4),'All Data'!$A$5:$A$2001))),0)),""))</f>
        <v/>
      </c>
      <c r="F15" s="10">
        <f>IF(OR($A15="",F$4=""),"",IFERROR(INDEX('All Data'!$H$5:$H$2001,MATCH(1,('All Data'!$J$5:$J$2001=$A15)*('All Data'!$B$5:$B$2001=F$4)*('All Data'!$A$5:$A$2001=MAX(IF(('All Data'!$J$5:$J$2001=$A15)*('All Data'!$B$5:$B$2001=F$4),'All Data'!$A$5:$A$2001))),0)),""))</f>
        <v/>
      </c>
      <c r="G15" s="10">
        <f>IF(OR($A15="",G$4=""),"",IFERROR(INDEX('All Data'!$H$5:$H$2001,MATCH(1,('All Data'!$J$5:$J$2001=$A15)*('All Data'!$B$5:$B$2001=G$4)*('All Data'!$A$5:$A$2001=MAX(IF(('All Data'!$J$5:$J$2001=$A15)*('All Data'!$B$5:$B$2001=G$4),'All Data'!$A$5:$A$2001))),0)),""))</f>
        <v/>
      </c>
      <c r="H15" s="10">
        <f>IF(OR($A15="",H$4=""),"",IFERROR(INDEX('All Data'!$H$5:$H$2001,MATCH(1,('All Data'!$J$5:$J$2001=$A15)*('All Data'!$B$5:$B$2001=H$4)*('All Data'!$A$5:$A$2001=MAX(IF(('All Data'!$J$5:$J$2001=$A15)*('All Data'!$B$5:$B$2001=H$4),'All Data'!$A$5:$A$2001))),0)),""))</f>
        <v/>
      </c>
      <c r="I15" s="10">
        <f>IF(OR($A15="",I$4=""),"",IFERROR(INDEX('All Data'!$H$5:$H$2001,MATCH(1,('All Data'!$J$5:$J$2001=$A15)*('All Data'!$B$5:$B$2001=I$4)*('All Data'!$A$5:$A$2001=MAX(IF(('All Data'!$J$5:$J$2001=$A15)*('All Data'!$B$5:$B$2001=I$4),'All Data'!$A$5:$A$2001))),0)),""))</f>
        <v/>
      </c>
      <c r="J15" s="10">
        <f>IFERROR(MIN(D15,E15,F15,G15,H15,I15),"")</f>
        <v/>
      </c>
      <c r="K15" s="10">
        <f>IFERROR(MAX(D15,E15,F15,G15,H15,I15),"")</f>
        <v/>
      </c>
      <c r="L15" s="10">
        <f>IF(OR(J15="",K15=""),"",K15-J15)</f>
        <v/>
      </c>
      <c r="M15" s="12">
        <f>IFERROR(INDEX($D$4:$I$4,MATCH(J15,$D15:$I15,0)),"")</f>
        <v/>
      </c>
    </row>
    <row r="16">
      <c r="A16" s="12">
        <f>'Item List'!A16</f>
        <v/>
      </c>
      <c r="B16" s="12">
        <f>'Item List'!B16</f>
        <v/>
      </c>
      <c r="C16" s="12">
        <f>'Item List'!C16</f>
        <v/>
      </c>
      <c r="D16" s="10">
        <f>IF(OR($A16="",D$4=""),"",IFERROR(INDEX('All Data'!$H$5:$H$2001,MATCH(1,('All Data'!$J$5:$J$2001=$A16)*('All Data'!$B$5:$B$2001=D$4)*('All Data'!$A$5:$A$2001=MAX(IF(('All Data'!$J$5:$J$2001=$A16)*('All Data'!$B$5:$B$2001=D$4),'All Data'!$A$5:$A$2001))),0)),""))</f>
        <v/>
      </c>
      <c r="E16" s="10">
        <f>IF(OR($A16="",E$4=""),"",IFERROR(INDEX('All Data'!$H$5:$H$2001,MATCH(1,('All Data'!$J$5:$J$2001=$A16)*('All Data'!$B$5:$B$2001=E$4)*('All Data'!$A$5:$A$2001=MAX(IF(('All Data'!$J$5:$J$2001=$A16)*('All Data'!$B$5:$B$2001=E$4),'All Data'!$A$5:$A$2001))),0)),""))</f>
        <v/>
      </c>
      <c r="F16" s="10">
        <f>IF(OR($A16="",F$4=""),"",IFERROR(INDEX('All Data'!$H$5:$H$2001,MATCH(1,('All Data'!$J$5:$J$2001=$A16)*('All Data'!$B$5:$B$2001=F$4)*('All Data'!$A$5:$A$2001=MAX(IF(('All Data'!$J$5:$J$2001=$A16)*('All Data'!$B$5:$B$2001=F$4),'All Data'!$A$5:$A$2001))),0)),""))</f>
        <v/>
      </c>
      <c r="G16" s="10">
        <f>IF(OR($A16="",G$4=""),"",IFERROR(INDEX('All Data'!$H$5:$H$2001,MATCH(1,('All Data'!$J$5:$J$2001=$A16)*('All Data'!$B$5:$B$2001=G$4)*('All Data'!$A$5:$A$2001=MAX(IF(('All Data'!$J$5:$J$2001=$A16)*('All Data'!$B$5:$B$2001=G$4),'All Data'!$A$5:$A$2001))),0)),""))</f>
        <v/>
      </c>
      <c r="H16" s="10">
        <f>IF(OR($A16="",H$4=""),"",IFERROR(INDEX('All Data'!$H$5:$H$2001,MATCH(1,('All Data'!$J$5:$J$2001=$A16)*('All Data'!$B$5:$B$2001=H$4)*('All Data'!$A$5:$A$2001=MAX(IF(('All Data'!$J$5:$J$2001=$A16)*('All Data'!$B$5:$B$2001=H$4),'All Data'!$A$5:$A$2001))),0)),""))</f>
        <v/>
      </c>
      <c r="I16" s="10">
        <f>IF(OR($A16="",I$4=""),"",IFERROR(INDEX('All Data'!$H$5:$H$2001,MATCH(1,('All Data'!$J$5:$J$2001=$A16)*('All Data'!$B$5:$B$2001=I$4)*('All Data'!$A$5:$A$2001=MAX(IF(('All Data'!$J$5:$J$2001=$A16)*('All Data'!$B$5:$B$2001=I$4),'All Data'!$A$5:$A$2001))),0)),""))</f>
        <v/>
      </c>
      <c r="J16" s="10">
        <f>IFERROR(MIN(D16,E16,F16,G16,H16,I16),"")</f>
        <v/>
      </c>
      <c r="K16" s="10">
        <f>IFERROR(MAX(D16,E16,F16,G16,H16,I16),"")</f>
        <v/>
      </c>
      <c r="L16" s="10">
        <f>IF(OR(J16="",K16=""),"",K16-J16)</f>
        <v/>
      </c>
      <c r="M16" s="12">
        <f>IFERROR(INDEX($D$4:$I$4,MATCH(J16,$D16:$I16,0)),"")</f>
        <v/>
      </c>
    </row>
    <row r="17">
      <c r="A17" s="12">
        <f>'Item List'!A17</f>
        <v/>
      </c>
      <c r="B17" s="12">
        <f>'Item List'!B17</f>
        <v/>
      </c>
      <c r="C17" s="12">
        <f>'Item List'!C17</f>
        <v/>
      </c>
      <c r="D17" s="10">
        <f>IF(OR($A17="",D$4=""),"",IFERROR(INDEX('All Data'!$H$5:$H$2001,MATCH(1,('All Data'!$J$5:$J$2001=$A17)*('All Data'!$B$5:$B$2001=D$4)*('All Data'!$A$5:$A$2001=MAX(IF(('All Data'!$J$5:$J$2001=$A17)*('All Data'!$B$5:$B$2001=D$4),'All Data'!$A$5:$A$2001))),0)),""))</f>
        <v/>
      </c>
      <c r="E17" s="10">
        <f>IF(OR($A17="",E$4=""),"",IFERROR(INDEX('All Data'!$H$5:$H$2001,MATCH(1,('All Data'!$J$5:$J$2001=$A17)*('All Data'!$B$5:$B$2001=E$4)*('All Data'!$A$5:$A$2001=MAX(IF(('All Data'!$J$5:$J$2001=$A17)*('All Data'!$B$5:$B$2001=E$4),'All Data'!$A$5:$A$2001))),0)),""))</f>
        <v/>
      </c>
      <c r="F17" s="10">
        <f>IF(OR($A17="",F$4=""),"",IFERROR(INDEX('All Data'!$H$5:$H$2001,MATCH(1,('All Data'!$J$5:$J$2001=$A17)*('All Data'!$B$5:$B$2001=F$4)*('All Data'!$A$5:$A$2001=MAX(IF(('All Data'!$J$5:$J$2001=$A17)*('All Data'!$B$5:$B$2001=F$4),'All Data'!$A$5:$A$2001))),0)),""))</f>
        <v/>
      </c>
      <c r="G17" s="10">
        <f>IF(OR($A17="",G$4=""),"",IFERROR(INDEX('All Data'!$H$5:$H$2001,MATCH(1,('All Data'!$J$5:$J$2001=$A17)*('All Data'!$B$5:$B$2001=G$4)*('All Data'!$A$5:$A$2001=MAX(IF(('All Data'!$J$5:$J$2001=$A17)*('All Data'!$B$5:$B$2001=G$4),'All Data'!$A$5:$A$2001))),0)),""))</f>
        <v/>
      </c>
      <c r="H17" s="10">
        <f>IF(OR($A17="",H$4=""),"",IFERROR(INDEX('All Data'!$H$5:$H$2001,MATCH(1,('All Data'!$J$5:$J$2001=$A17)*('All Data'!$B$5:$B$2001=H$4)*('All Data'!$A$5:$A$2001=MAX(IF(('All Data'!$J$5:$J$2001=$A17)*('All Data'!$B$5:$B$2001=H$4),'All Data'!$A$5:$A$2001))),0)),""))</f>
        <v/>
      </c>
      <c r="I17" s="10">
        <f>IF(OR($A17="",I$4=""),"",IFERROR(INDEX('All Data'!$H$5:$H$2001,MATCH(1,('All Data'!$J$5:$J$2001=$A17)*('All Data'!$B$5:$B$2001=I$4)*('All Data'!$A$5:$A$2001=MAX(IF(('All Data'!$J$5:$J$2001=$A17)*('All Data'!$B$5:$B$2001=I$4),'All Data'!$A$5:$A$2001))),0)),""))</f>
        <v/>
      </c>
      <c r="J17" s="10">
        <f>IFERROR(MIN(D17,E17,F17,G17,H17,I17),"")</f>
        <v/>
      </c>
      <c r="K17" s="10">
        <f>IFERROR(MAX(D17,E17,F17,G17,H17,I17),"")</f>
        <v/>
      </c>
      <c r="L17" s="10">
        <f>IF(OR(J17="",K17=""),"",K17-J17)</f>
        <v/>
      </c>
      <c r="M17" s="12">
        <f>IFERROR(INDEX($D$4:$I$4,MATCH(J17,$D17:$I17,0)),"")</f>
        <v/>
      </c>
    </row>
    <row r="18">
      <c r="A18" s="12">
        <f>'Item List'!A18</f>
        <v/>
      </c>
      <c r="B18" s="12">
        <f>'Item List'!B18</f>
        <v/>
      </c>
      <c r="C18" s="12">
        <f>'Item List'!C18</f>
        <v/>
      </c>
      <c r="D18" s="10">
        <f>IF(OR($A18="",D$4=""),"",IFERROR(INDEX('All Data'!$H$5:$H$2001,MATCH(1,('All Data'!$J$5:$J$2001=$A18)*('All Data'!$B$5:$B$2001=D$4)*('All Data'!$A$5:$A$2001=MAX(IF(('All Data'!$J$5:$J$2001=$A18)*('All Data'!$B$5:$B$2001=D$4),'All Data'!$A$5:$A$2001))),0)),""))</f>
        <v/>
      </c>
      <c r="E18" s="10">
        <f>IF(OR($A18="",E$4=""),"",IFERROR(INDEX('All Data'!$H$5:$H$2001,MATCH(1,('All Data'!$J$5:$J$2001=$A18)*('All Data'!$B$5:$B$2001=E$4)*('All Data'!$A$5:$A$2001=MAX(IF(('All Data'!$J$5:$J$2001=$A18)*('All Data'!$B$5:$B$2001=E$4),'All Data'!$A$5:$A$2001))),0)),""))</f>
        <v/>
      </c>
      <c r="F18" s="10">
        <f>IF(OR($A18="",F$4=""),"",IFERROR(INDEX('All Data'!$H$5:$H$2001,MATCH(1,('All Data'!$J$5:$J$2001=$A18)*('All Data'!$B$5:$B$2001=F$4)*('All Data'!$A$5:$A$2001=MAX(IF(('All Data'!$J$5:$J$2001=$A18)*('All Data'!$B$5:$B$2001=F$4),'All Data'!$A$5:$A$2001))),0)),""))</f>
        <v/>
      </c>
      <c r="G18" s="10">
        <f>IF(OR($A18="",G$4=""),"",IFERROR(INDEX('All Data'!$H$5:$H$2001,MATCH(1,('All Data'!$J$5:$J$2001=$A18)*('All Data'!$B$5:$B$2001=G$4)*('All Data'!$A$5:$A$2001=MAX(IF(('All Data'!$J$5:$J$2001=$A18)*('All Data'!$B$5:$B$2001=G$4),'All Data'!$A$5:$A$2001))),0)),""))</f>
        <v/>
      </c>
      <c r="H18" s="10">
        <f>IF(OR($A18="",H$4=""),"",IFERROR(INDEX('All Data'!$H$5:$H$2001,MATCH(1,('All Data'!$J$5:$J$2001=$A18)*('All Data'!$B$5:$B$2001=H$4)*('All Data'!$A$5:$A$2001=MAX(IF(('All Data'!$J$5:$J$2001=$A18)*('All Data'!$B$5:$B$2001=H$4),'All Data'!$A$5:$A$2001))),0)),""))</f>
        <v/>
      </c>
      <c r="I18" s="10">
        <f>IF(OR($A18="",I$4=""),"",IFERROR(INDEX('All Data'!$H$5:$H$2001,MATCH(1,('All Data'!$J$5:$J$2001=$A18)*('All Data'!$B$5:$B$2001=I$4)*('All Data'!$A$5:$A$2001=MAX(IF(('All Data'!$J$5:$J$2001=$A18)*('All Data'!$B$5:$B$2001=I$4),'All Data'!$A$5:$A$2001))),0)),""))</f>
        <v/>
      </c>
      <c r="J18" s="10">
        <f>IFERROR(MIN(D18,E18,F18,G18,H18,I18),"")</f>
        <v/>
      </c>
      <c r="K18" s="10">
        <f>IFERROR(MAX(D18,E18,F18,G18,H18,I18),"")</f>
        <v/>
      </c>
      <c r="L18" s="10">
        <f>IF(OR(J18="",K18=""),"",K18-J18)</f>
        <v/>
      </c>
      <c r="M18" s="12">
        <f>IFERROR(INDEX($D$4:$I$4,MATCH(J18,$D18:$I18,0)),"")</f>
        <v/>
      </c>
    </row>
    <row r="19">
      <c r="A19" s="12">
        <f>'Item List'!A19</f>
        <v/>
      </c>
      <c r="B19" s="12">
        <f>'Item List'!B19</f>
        <v/>
      </c>
      <c r="C19" s="12">
        <f>'Item List'!C19</f>
        <v/>
      </c>
      <c r="D19" s="10">
        <f>IF(OR($A19="",D$4=""),"",IFERROR(INDEX('All Data'!$H$5:$H$2001,MATCH(1,('All Data'!$J$5:$J$2001=$A19)*('All Data'!$B$5:$B$2001=D$4)*('All Data'!$A$5:$A$2001=MAX(IF(('All Data'!$J$5:$J$2001=$A19)*('All Data'!$B$5:$B$2001=D$4),'All Data'!$A$5:$A$2001))),0)),""))</f>
        <v/>
      </c>
      <c r="E19" s="10">
        <f>IF(OR($A19="",E$4=""),"",IFERROR(INDEX('All Data'!$H$5:$H$2001,MATCH(1,('All Data'!$J$5:$J$2001=$A19)*('All Data'!$B$5:$B$2001=E$4)*('All Data'!$A$5:$A$2001=MAX(IF(('All Data'!$J$5:$J$2001=$A19)*('All Data'!$B$5:$B$2001=E$4),'All Data'!$A$5:$A$2001))),0)),""))</f>
        <v/>
      </c>
      <c r="F19" s="10">
        <f>IF(OR($A19="",F$4=""),"",IFERROR(INDEX('All Data'!$H$5:$H$2001,MATCH(1,('All Data'!$J$5:$J$2001=$A19)*('All Data'!$B$5:$B$2001=F$4)*('All Data'!$A$5:$A$2001=MAX(IF(('All Data'!$J$5:$J$2001=$A19)*('All Data'!$B$5:$B$2001=F$4),'All Data'!$A$5:$A$2001))),0)),""))</f>
        <v/>
      </c>
      <c r="G19" s="10">
        <f>IF(OR($A19="",G$4=""),"",IFERROR(INDEX('All Data'!$H$5:$H$2001,MATCH(1,('All Data'!$J$5:$J$2001=$A19)*('All Data'!$B$5:$B$2001=G$4)*('All Data'!$A$5:$A$2001=MAX(IF(('All Data'!$J$5:$J$2001=$A19)*('All Data'!$B$5:$B$2001=G$4),'All Data'!$A$5:$A$2001))),0)),""))</f>
        <v/>
      </c>
      <c r="H19" s="10">
        <f>IF(OR($A19="",H$4=""),"",IFERROR(INDEX('All Data'!$H$5:$H$2001,MATCH(1,('All Data'!$J$5:$J$2001=$A19)*('All Data'!$B$5:$B$2001=H$4)*('All Data'!$A$5:$A$2001=MAX(IF(('All Data'!$J$5:$J$2001=$A19)*('All Data'!$B$5:$B$2001=H$4),'All Data'!$A$5:$A$2001))),0)),""))</f>
        <v/>
      </c>
      <c r="I19" s="10">
        <f>IF(OR($A19="",I$4=""),"",IFERROR(INDEX('All Data'!$H$5:$H$2001,MATCH(1,('All Data'!$J$5:$J$2001=$A19)*('All Data'!$B$5:$B$2001=I$4)*('All Data'!$A$5:$A$2001=MAX(IF(('All Data'!$J$5:$J$2001=$A19)*('All Data'!$B$5:$B$2001=I$4),'All Data'!$A$5:$A$2001))),0)),""))</f>
        <v/>
      </c>
      <c r="J19" s="10">
        <f>IFERROR(MIN(D19,E19,F19,G19,H19,I19),"")</f>
        <v/>
      </c>
      <c r="K19" s="10">
        <f>IFERROR(MAX(D19,E19,F19,G19,H19,I19),"")</f>
        <v/>
      </c>
      <c r="L19" s="10">
        <f>IF(OR(J19="",K19=""),"",K19-J19)</f>
        <v/>
      </c>
      <c r="M19" s="12">
        <f>IFERROR(INDEX($D$4:$I$4,MATCH(J19,$D19:$I19,0)),"")</f>
        <v/>
      </c>
    </row>
    <row r="20">
      <c r="A20" s="12">
        <f>'Item List'!A20</f>
        <v/>
      </c>
      <c r="B20" s="12">
        <f>'Item List'!B20</f>
        <v/>
      </c>
      <c r="C20" s="12">
        <f>'Item List'!C20</f>
        <v/>
      </c>
      <c r="D20" s="10">
        <f>IF(OR($A20="",D$4=""),"",IFERROR(INDEX('All Data'!$H$5:$H$2001,MATCH(1,('All Data'!$J$5:$J$2001=$A20)*('All Data'!$B$5:$B$2001=D$4)*('All Data'!$A$5:$A$2001=MAX(IF(('All Data'!$J$5:$J$2001=$A20)*('All Data'!$B$5:$B$2001=D$4),'All Data'!$A$5:$A$2001))),0)),""))</f>
        <v/>
      </c>
      <c r="E20" s="10">
        <f>IF(OR($A20="",E$4=""),"",IFERROR(INDEX('All Data'!$H$5:$H$2001,MATCH(1,('All Data'!$J$5:$J$2001=$A20)*('All Data'!$B$5:$B$2001=E$4)*('All Data'!$A$5:$A$2001=MAX(IF(('All Data'!$J$5:$J$2001=$A20)*('All Data'!$B$5:$B$2001=E$4),'All Data'!$A$5:$A$2001))),0)),""))</f>
        <v/>
      </c>
      <c r="F20" s="10">
        <f>IF(OR($A20="",F$4=""),"",IFERROR(INDEX('All Data'!$H$5:$H$2001,MATCH(1,('All Data'!$J$5:$J$2001=$A20)*('All Data'!$B$5:$B$2001=F$4)*('All Data'!$A$5:$A$2001=MAX(IF(('All Data'!$J$5:$J$2001=$A20)*('All Data'!$B$5:$B$2001=F$4),'All Data'!$A$5:$A$2001))),0)),""))</f>
        <v/>
      </c>
      <c r="G20" s="10">
        <f>IF(OR($A20="",G$4=""),"",IFERROR(INDEX('All Data'!$H$5:$H$2001,MATCH(1,('All Data'!$J$5:$J$2001=$A20)*('All Data'!$B$5:$B$2001=G$4)*('All Data'!$A$5:$A$2001=MAX(IF(('All Data'!$J$5:$J$2001=$A20)*('All Data'!$B$5:$B$2001=G$4),'All Data'!$A$5:$A$2001))),0)),""))</f>
        <v/>
      </c>
      <c r="H20" s="10">
        <f>IF(OR($A20="",H$4=""),"",IFERROR(INDEX('All Data'!$H$5:$H$2001,MATCH(1,('All Data'!$J$5:$J$2001=$A20)*('All Data'!$B$5:$B$2001=H$4)*('All Data'!$A$5:$A$2001=MAX(IF(('All Data'!$J$5:$J$2001=$A20)*('All Data'!$B$5:$B$2001=H$4),'All Data'!$A$5:$A$2001))),0)),""))</f>
        <v/>
      </c>
      <c r="I20" s="10">
        <f>IF(OR($A20="",I$4=""),"",IFERROR(INDEX('All Data'!$H$5:$H$2001,MATCH(1,('All Data'!$J$5:$J$2001=$A20)*('All Data'!$B$5:$B$2001=I$4)*('All Data'!$A$5:$A$2001=MAX(IF(('All Data'!$J$5:$J$2001=$A20)*('All Data'!$B$5:$B$2001=I$4),'All Data'!$A$5:$A$2001))),0)),""))</f>
        <v/>
      </c>
      <c r="J20" s="10">
        <f>IFERROR(MIN(D20,E20,F20,G20,H20,I20),"")</f>
        <v/>
      </c>
      <c r="K20" s="10">
        <f>IFERROR(MAX(D20,E20,F20,G20,H20,I20),"")</f>
        <v/>
      </c>
      <c r="L20" s="10">
        <f>IF(OR(J20="",K20=""),"",K20-J20)</f>
        <v/>
      </c>
      <c r="M20" s="12">
        <f>IFERROR(INDEX($D$4:$I$4,MATCH(J20,$D20:$I20,0)),"")</f>
        <v/>
      </c>
    </row>
    <row r="21">
      <c r="A21" s="12">
        <f>'Item List'!A21</f>
        <v/>
      </c>
      <c r="B21" s="12">
        <f>'Item List'!B21</f>
        <v/>
      </c>
      <c r="C21" s="12">
        <f>'Item List'!C21</f>
        <v/>
      </c>
      <c r="D21" s="10">
        <f>IF(OR($A21="",D$4=""),"",IFERROR(INDEX('All Data'!$H$5:$H$2001,MATCH(1,('All Data'!$J$5:$J$2001=$A21)*('All Data'!$B$5:$B$2001=D$4)*('All Data'!$A$5:$A$2001=MAX(IF(('All Data'!$J$5:$J$2001=$A21)*('All Data'!$B$5:$B$2001=D$4),'All Data'!$A$5:$A$2001))),0)),""))</f>
        <v/>
      </c>
      <c r="E21" s="10">
        <f>IF(OR($A21="",E$4=""),"",IFERROR(INDEX('All Data'!$H$5:$H$2001,MATCH(1,('All Data'!$J$5:$J$2001=$A21)*('All Data'!$B$5:$B$2001=E$4)*('All Data'!$A$5:$A$2001=MAX(IF(('All Data'!$J$5:$J$2001=$A21)*('All Data'!$B$5:$B$2001=E$4),'All Data'!$A$5:$A$2001))),0)),""))</f>
        <v/>
      </c>
      <c r="F21" s="10">
        <f>IF(OR($A21="",F$4=""),"",IFERROR(INDEX('All Data'!$H$5:$H$2001,MATCH(1,('All Data'!$J$5:$J$2001=$A21)*('All Data'!$B$5:$B$2001=F$4)*('All Data'!$A$5:$A$2001=MAX(IF(('All Data'!$J$5:$J$2001=$A21)*('All Data'!$B$5:$B$2001=F$4),'All Data'!$A$5:$A$2001))),0)),""))</f>
        <v/>
      </c>
      <c r="G21" s="10">
        <f>IF(OR($A21="",G$4=""),"",IFERROR(INDEX('All Data'!$H$5:$H$2001,MATCH(1,('All Data'!$J$5:$J$2001=$A21)*('All Data'!$B$5:$B$2001=G$4)*('All Data'!$A$5:$A$2001=MAX(IF(('All Data'!$J$5:$J$2001=$A21)*('All Data'!$B$5:$B$2001=G$4),'All Data'!$A$5:$A$2001))),0)),""))</f>
        <v/>
      </c>
      <c r="H21" s="10">
        <f>IF(OR($A21="",H$4=""),"",IFERROR(INDEX('All Data'!$H$5:$H$2001,MATCH(1,('All Data'!$J$5:$J$2001=$A21)*('All Data'!$B$5:$B$2001=H$4)*('All Data'!$A$5:$A$2001=MAX(IF(('All Data'!$J$5:$J$2001=$A21)*('All Data'!$B$5:$B$2001=H$4),'All Data'!$A$5:$A$2001))),0)),""))</f>
        <v/>
      </c>
      <c r="I21" s="10">
        <f>IF(OR($A21="",I$4=""),"",IFERROR(INDEX('All Data'!$H$5:$H$2001,MATCH(1,('All Data'!$J$5:$J$2001=$A21)*('All Data'!$B$5:$B$2001=I$4)*('All Data'!$A$5:$A$2001=MAX(IF(('All Data'!$J$5:$J$2001=$A21)*('All Data'!$B$5:$B$2001=I$4),'All Data'!$A$5:$A$2001))),0)),""))</f>
        <v/>
      </c>
      <c r="J21" s="10">
        <f>IFERROR(MIN(D21,E21,F21,G21,H21,I21),"")</f>
        <v/>
      </c>
      <c r="K21" s="10">
        <f>IFERROR(MAX(D21,E21,F21,G21,H21,I21),"")</f>
        <v/>
      </c>
      <c r="L21" s="10">
        <f>IF(OR(J21="",K21=""),"",K21-J21)</f>
        <v/>
      </c>
      <c r="M21" s="12">
        <f>IFERROR(INDEX($D$4:$I$4,MATCH(J21,$D21:$I21,0)),"")</f>
        <v/>
      </c>
    </row>
    <row r="22">
      <c r="A22" s="12">
        <f>'Item List'!A22</f>
        <v/>
      </c>
      <c r="B22" s="12">
        <f>'Item List'!B22</f>
        <v/>
      </c>
      <c r="C22" s="12">
        <f>'Item List'!C22</f>
        <v/>
      </c>
      <c r="D22" s="10">
        <f>IF(OR($A22="",D$4=""),"",IFERROR(INDEX('All Data'!$H$5:$H$2001,MATCH(1,('All Data'!$J$5:$J$2001=$A22)*('All Data'!$B$5:$B$2001=D$4)*('All Data'!$A$5:$A$2001=MAX(IF(('All Data'!$J$5:$J$2001=$A22)*('All Data'!$B$5:$B$2001=D$4),'All Data'!$A$5:$A$2001))),0)),""))</f>
        <v/>
      </c>
      <c r="E22" s="10">
        <f>IF(OR($A22="",E$4=""),"",IFERROR(INDEX('All Data'!$H$5:$H$2001,MATCH(1,('All Data'!$J$5:$J$2001=$A22)*('All Data'!$B$5:$B$2001=E$4)*('All Data'!$A$5:$A$2001=MAX(IF(('All Data'!$J$5:$J$2001=$A22)*('All Data'!$B$5:$B$2001=E$4),'All Data'!$A$5:$A$2001))),0)),""))</f>
        <v/>
      </c>
      <c r="F22" s="10">
        <f>IF(OR($A22="",F$4=""),"",IFERROR(INDEX('All Data'!$H$5:$H$2001,MATCH(1,('All Data'!$J$5:$J$2001=$A22)*('All Data'!$B$5:$B$2001=F$4)*('All Data'!$A$5:$A$2001=MAX(IF(('All Data'!$J$5:$J$2001=$A22)*('All Data'!$B$5:$B$2001=F$4),'All Data'!$A$5:$A$2001))),0)),""))</f>
        <v/>
      </c>
      <c r="G22" s="10">
        <f>IF(OR($A22="",G$4=""),"",IFERROR(INDEX('All Data'!$H$5:$H$2001,MATCH(1,('All Data'!$J$5:$J$2001=$A22)*('All Data'!$B$5:$B$2001=G$4)*('All Data'!$A$5:$A$2001=MAX(IF(('All Data'!$J$5:$J$2001=$A22)*('All Data'!$B$5:$B$2001=G$4),'All Data'!$A$5:$A$2001))),0)),""))</f>
        <v/>
      </c>
      <c r="H22" s="10">
        <f>IF(OR($A22="",H$4=""),"",IFERROR(INDEX('All Data'!$H$5:$H$2001,MATCH(1,('All Data'!$J$5:$J$2001=$A22)*('All Data'!$B$5:$B$2001=H$4)*('All Data'!$A$5:$A$2001=MAX(IF(('All Data'!$J$5:$J$2001=$A22)*('All Data'!$B$5:$B$2001=H$4),'All Data'!$A$5:$A$2001))),0)),""))</f>
        <v/>
      </c>
      <c r="I22" s="10">
        <f>IF(OR($A22="",I$4=""),"",IFERROR(INDEX('All Data'!$H$5:$H$2001,MATCH(1,('All Data'!$J$5:$J$2001=$A22)*('All Data'!$B$5:$B$2001=I$4)*('All Data'!$A$5:$A$2001=MAX(IF(('All Data'!$J$5:$J$2001=$A22)*('All Data'!$B$5:$B$2001=I$4),'All Data'!$A$5:$A$2001))),0)),""))</f>
        <v/>
      </c>
      <c r="J22" s="10">
        <f>IFERROR(MIN(D22,E22,F22,G22,H22,I22),"")</f>
        <v/>
      </c>
      <c r="K22" s="10">
        <f>IFERROR(MAX(D22,E22,F22,G22,H22,I22),"")</f>
        <v/>
      </c>
      <c r="L22" s="10">
        <f>IF(OR(J22="",K22=""),"",K22-J22)</f>
        <v/>
      </c>
      <c r="M22" s="12">
        <f>IFERROR(INDEX($D$4:$I$4,MATCH(J22,$D22:$I22,0)),"")</f>
        <v/>
      </c>
    </row>
    <row r="23">
      <c r="A23" s="12">
        <f>'Item List'!A23</f>
        <v/>
      </c>
      <c r="B23" s="12">
        <f>'Item List'!B23</f>
        <v/>
      </c>
      <c r="C23" s="12">
        <f>'Item List'!C23</f>
        <v/>
      </c>
      <c r="D23" s="10">
        <f>IF(OR($A23="",D$4=""),"",IFERROR(INDEX('All Data'!$H$5:$H$2001,MATCH(1,('All Data'!$J$5:$J$2001=$A23)*('All Data'!$B$5:$B$2001=D$4)*('All Data'!$A$5:$A$2001=MAX(IF(('All Data'!$J$5:$J$2001=$A23)*('All Data'!$B$5:$B$2001=D$4),'All Data'!$A$5:$A$2001))),0)),""))</f>
        <v/>
      </c>
      <c r="E23" s="10">
        <f>IF(OR($A23="",E$4=""),"",IFERROR(INDEX('All Data'!$H$5:$H$2001,MATCH(1,('All Data'!$J$5:$J$2001=$A23)*('All Data'!$B$5:$B$2001=E$4)*('All Data'!$A$5:$A$2001=MAX(IF(('All Data'!$J$5:$J$2001=$A23)*('All Data'!$B$5:$B$2001=E$4),'All Data'!$A$5:$A$2001))),0)),""))</f>
        <v/>
      </c>
      <c r="F23" s="10">
        <f>IF(OR($A23="",F$4=""),"",IFERROR(INDEX('All Data'!$H$5:$H$2001,MATCH(1,('All Data'!$J$5:$J$2001=$A23)*('All Data'!$B$5:$B$2001=F$4)*('All Data'!$A$5:$A$2001=MAX(IF(('All Data'!$J$5:$J$2001=$A23)*('All Data'!$B$5:$B$2001=F$4),'All Data'!$A$5:$A$2001))),0)),""))</f>
        <v/>
      </c>
      <c r="G23" s="10">
        <f>IF(OR($A23="",G$4=""),"",IFERROR(INDEX('All Data'!$H$5:$H$2001,MATCH(1,('All Data'!$J$5:$J$2001=$A23)*('All Data'!$B$5:$B$2001=G$4)*('All Data'!$A$5:$A$2001=MAX(IF(('All Data'!$J$5:$J$2001=$A23)*('All Data'!$B$5:$B$2001=G$4),'All Data'!$A$5:$A$2001))),0)),""))</f>
        <v/>
      </c>
      <c r="H23" s="10">
        <f>IF(OR($A23="",H$4=""),"",IFERROR(INDEX('All Data'!$H$5:$H$2001,MATCH(1,('All Data'!$J$5:$J$2001=$A23)*('All Data'!$B$5:$B$2001=H$4)*('All Data'!$A$5:$A$2001=MAX(IF(('All Data'!$J$5:$J$2001=$A23)*('All Data'!$B$5:$B$2001=H$4),'All Data'!$A$5:$A$2001))),0)),""))</f>
        <v/>
      </c>
      <c r="I23" s="10">
        <f>IF(OR($A23="",I$4=""),"",IFERROR(INDEX('All Data'!$H$5:$H$2001,MATCH(1,('All Data'!$J$5:$J$2001=$A23)*('All Data'!$B$5:$B$2001=I$4)*('All Data'!$A$5:$A$2001=MAX(IF(('All Data'!$J$5:$J$2001=$A23)*('All Data'!$B$5:$B$2001=I$4),'All Data'!$A$5:$A$2001))),0)),""))</f>
        <v/>
      </c>
      <c r="J23" s="10">
        <f>IFERROR(MIN(D23,E23,F23,G23,H23,I23),"")</f>
        <v/>
      </c>
      <c r="K23" s="10">
        <f>IFERROR(MAX(D23,E23,F23,G23,H23,I23),"")</f>
        <v/>
      </c>
      <c r="L23" s="10">
        <f>IF(OR(J23="",K23=""),"",K23-J23)</f>
        <v/>
      </c>
      <c r="M23" s="12">
        <f>IFERROR(INDEX($D$4:$I$4,MATCH(J23,$D23:$I23,0)),"")</f>
        <v/>
      </c>
    </row>
    <row r="24">
      <c r="A24" s="12">
        <f>'Item List'!A24</f>
        <v/>
      </c>
      <c r="B24" s="12">
        <f>'Item List'!B24</f>
        <v/>
      </c>
      <c r="C24" s="12">
        <f>'Item List'!C24</f>
        <v/>
      </c>
      <c r="D24" s="10">
        <f>IF(OR($A24="",D$4=""),"",IFERROR(INDEX('All Data'!$H$5:$H$2001,MATCH(1,('All Data'!$J$5:$J$2001=$A24)*('All Data'!$B$5:$B$2001=D$4)*('All Data'!$A$5:$A$2001=MAX(IF(('All Data'!$J$5:$J$2001=$A24)*('All Data'!$B$5:$B$2001=D$4),'All Data'!$A$5:$A$2001))),0)),""))</f>
        <v/>
      </c>
      <c r="E24" s="10">
        <f>IF(OR($A24="",E$4=""),"",IFERROR(INDEX('All Data'!$H$5:$H$2001,MATCH(1,('All Data'!$J$5:$J$2001=$A24)*('All Data'!$B$5:$B$2001=E$4)*('All Data'!$A$5:$A$2001=MAX(IF(('All Data'!$J$5:$J$2001=$A24)*('All Data'!$B$5:$B$2001=E$4),'All Data'!$A$5:$A$2001))),0)),""))</f>
        <v/>
      </c>
      <c r="F24" s="10">
        <f>IF(OR($A24="",F$4=""),"",IFERROR(INDEX('All Data'!$H$5:$H$2001,MATCH(1,('All Data'!$J$5:$J$2001=$A24)*('All Data'!$B$5:$B$2001=F$4)*('All Data'!$A$5:$A$2001=MAX(IF(('All Data'!$J$5:$J$2001=$A24)*('All Data'!$B$5:$B$2001=F$4),'All Data'!$A$5:$A$2001))),0)),""))</f>
        <v/>
      </c>
      <c r="G24" s="10">
        <f>IF(OR($A24="",G$4=""),"",IFERROR(INDEX('All Data'!$H$5:$H$2001,MATCH(1,('All Data'!$J$5:$J$2001=$A24)*('All Data'!$B$5:$B$2001=G$4)*('All Data'!$A$5:$A$2001=MAX(IF(('All Data'!$J$5:$J$2001=$A24)*('All Data'!$B$5:$B$2001=G$4),'All Data'!$A$5:$A$2001))),0)),""))</f>
        <v/>
      </c>
      <c r="H24" s="10">
        <f>IF(OR($A24="",H$4=""),"",IFERROR(INDEX('All Data'!$H$5:$H$2001,MATCH(1,('All Data'!$J$5:$J$2001=$A24)*('All Data'!$B$5:$B$2001=H$4)*('All Data'!$A$5:$A$2001=MAX(IF(('All Data'!$J$5:$J$2001=$A24)*('All Data'!$B$5:$B$2001=H$4),'All Data'!$A$5:$A$2001))),0)),""))</f>
        <v/>
      </c>
      <c r="I24" s="10">
        <f>IF(OR($A24="",I$4=""),"",IFERROR(INDEX('All Data'!$H$5:$H$2001,MATCH(1,('All Data'!$J$5:$J$2001=$A24)*('All Data'!$B$5:$B$2001=I$4)*('All Data'!$A$5:$A$2001=MAX(IF(('All Data'!$J$5:$J$2001=$A24)*('All Data'!$B$5:$B$2001=I$4),'All Data'!$A$5:$A$2001))),0)),""))</f>
        <v/>
      </c>
      <c r="J24" s="10">
        <f>IFERROR(MIN(D24,E24,F24,G24,H24,I24),"")</f>
        <v/>
      </c>
      <c r="K24" s="10">
        <f>IFERROR(MAX(D24,E24,F24,G24,H24,I24),"")</f>
        <v/>
      </c>
      <c r="L24" s="10">
        <f>IF(OR(J24="",K24=""),"",K24-J24)</f>
        <v/>
      </c>
      <c r="M24" s="12">
        <f>IFERROR(INDEX($D$4:$I$4,MATCH(J24,$D24:$I24,0)),"")</f>
        <v/>
      </c>
    </row>
    <row r="25">
      <c r="A25" s="12">
        <f>'Item List'!A25</f>
        <v/>
      </c>
      <c r="B25" s="12">
        <f>'Item List'!B25</f>
        <v/>
      </c>
      <c r="C25" s="12">
        <f>'Item List'!C25</f>
        <v/>
      </c>
      <c r="D25" s="10">
        <f>IF(OR($A25="",D$4=""),"",IFERROR(INDEX('All Data'!$H$5:$H$2001,MATCH(1,('All Data'!$J$5:$J$2001=$A25)*('All Data'!$B$5:$B$2001=D$4)*('All Data'!$A$5:$A$2001=MAX(IF(('All Data'!$J$5:$J$2001=$A25)*('All Data'!$B$5:$B$2001=D$4),'All Data'!$A$5:$A$2001))),0)),""))</f>
        <v/>
      </c>
      <c r="E25" s="10">
        <f>IF(OR($A25="",E$4=""),"",IFERROR(INDEX('All Data'!$H$5:$H$2001,MATCH(1,('All Data'!$J$5:$J$2001=$A25)*('All Data'!$B$5:$B$2001=E$4)*('All Data'!$A$5:$A$2001=MAX(IF(('All Data'!$J$5:$J$2001=$A25)*('All Data'!$B$5:$B$2001=E$4),'All Data'!$A$5:$A$2001))),0)),""))</f>
        <v/>
      </c>
      <c r="F25" s="10">
        <f>IF(OR($A25="",F$4=""),"",IFERROR(INDEX('All Data'!$H$5:$H$2001,MATCH(1,('All Data'!$J$5:$J$2001=$A25)*('All Data'!$B$5:$B$2001=F$4)*('All Data'!$A$5:$A$2001=MAX(IF(('All Data'!$J$5:$J$2001=$A25)*('All Data'!$B$5:$B$2001=F$4),'All Data'!$A$5:$A$2001))),0)),""))</f>
        <v/>
      </c>
      <c r="G25" s="10">
        <f>IF(OR($A25="",G$4=""),"",IFERROR(INDEX('All Data'!$H$5:$H$2001,MATCH(1,('All Data'!$J$5:$J$2001=$A25)*('All Data'!$B$5:$B$2001=G$4)*('All Data'!$A$5:$A$2001=MAX(IF(('All Data'!$J$5:$J$2001=$A25)*('All Data'!$B$5:$B$2001=G$4),'All Data'!$A$5:$A$2001))),0)),""))</f>
        <v/>
      </c>
      <c r="H25" s="10">
        <f>IF(OR($A25="",H$4=""),"",IFERROR(INDEX('All Data'!$H$5:$H$2001,MATCH(1,('All Data'!$J$5:$J$2001=$A25)*('All Data'!$B$5:$B$2001=H$4)*('All Data'!$A$5:$A$2001=MAX(IF(('All Data'!$J$5:$J$2001=$A25)*('All Data'!$B$5:$B$2001=H$4),'All Data'!$A$5:$A$2001))),0)),""))</f>
        <v/>
      </c>
      <c r="I25" s="10">
        <f>IF(OR($A25="",I$4=""),"",IFERROR(INDEX('All Data'!$H$5:$H$2001,MATCH(1,('All Data'!$J$5:$J$2001=$A25)*('All Data'!$B$5:$B$2001=I$4)*('All Data'!$A$5:$A$2001=MAX(IF(('All Data'!$J$5:$J$2001=$A25)*('All Data'!$B$5:$B$2001=I$4),'All Data'!$A$5:$A$2001))),0)),""))</f>
        <v/>
      </c>
      <c r="J25" s="10">
        <f>IFERROR(MIN(D25,E25,F25,G25,H25,I25),"")</f>
        <v/>
      </c>
      <c r="K25" s="10">
        <f>IFERROR(MAX(D25,E25,F25,G25,H25,I25),"")</f>
        <v/>
      </c>
      <c r="L25" s="10">
        <f>IF(OR(J25="",K25=""),"",K25-J25)</f>
        <v/>
      </c>
      <c r="M25" s="12">
        <f>IFERROR(INDEX($D$4:$I$4,MATCH(J25,$D25:$I25,0)),"")</f>
        <v/>
      </c>
    </row>
    <row r="26">
      <c r="A26" s="12">
        <f>'Item List'!A26</f>
        <v/>
      </c>
      <c r="B26" s="12">
        <f>'Item List'!B26</f>
        <v/>
      </c>
      <c r="C26" s="12">
        <f>'Item List'!C26</f>
        <v/>
      </c>
      <c r="D26" s="10">
        <f>IF(OR($A26="",D$4=""),"",IFERROR(INDEX('All Data'!$H$5:$H$2001,MATCH(1,('All Data'!$J$5:$J$2001=$A26)*('All Data'!$B$5:$B$2001=D$4)*('All Data'!$A$5:$A$2001=MAX(IF(('All Data'!$J$5:$J$2001=$A26)*('All Data'!$B$5:$B$2001=D$4),'All Data'!$A$5:$A$2001))),0)),""))</f>
        <v/>
      </c>
      <c r="E26" s="10">
        <f>IF(OR($A26="",E$4=""),"",IFERROR(INDEX('All Data'!$H$5:$H$2001,MATCH(1,('All Data'!$J$5:$J$2001=$A26)*('All Data'!$B$5:$B$2001=E$4)*('All Data'!$A$5:$A$2001=MAX(IF(('All Data'!$J$5:$J$2001=$A26)*('All Data'!$B$5:$B$2001=E$4),'All Data'!$A$5:$A$2001))),0)),""))</f>
        <v/>
      </c>
      <c r="F26" s="10">
        <f>IF(OR($A26="",F$4=""),"",IFERROR(INDEX('All Data'!$H$5:$H$2001,MATCH(1,('All Data'!$J$5:$J$2001=$A26)*('All Data'!$B$5:$B$2001=F$4)*('All Data'!$A$5:$A$2001=MAX(IF(('All Data'!$J$5:$J$2001=$A26)*('All Data'!$B$5:$B$2001=F$4),'All Data'!$A$5:$A$2001))),0)),""))</f>
        <v/>
      </c>
      <c r="G26" s="10">
        <f>IF(OR($A26="",G$4=""),"",IFERROR(INDEX('All Data'!$H$5:$H$2001,MATCH(1,('All Data'!$J$5:$J$2001=$A26)*('All Data'!$B$5:$B$2001=G$4)*('All Data'!$A$5:$A$2001=MAX(IF(('All Data'!$J$5:$J$2001=$A26)*('All Data'!$B$5:$B$2001=G$4),'All Data'!$A$5:$A$2001))),0)),""))</f>
        <v/>
      </c>
      <c r="H26" s="10">
        <f>IF(OR($A26="",H$4=""),"",IFERROR(INDEX('All Data'!$H$5:$H$2001,MATCH(1,('All Data'!$J$5:$J$2001=$A26)*('All Data'!$B$5:$B$2001=H$4)*('All Data'!$A$5:$A$2001=MAX(IF(('All Data'!$J$5:$J$2001=$A26)*('All Data'!$B$5:$B$2001=H$4),'All Data'!$A$5:$A$2001))),0)),""))</f>
        <v/>
      </c>
      <c r="I26" s="10">
        <f>IF(OR($A26="",I$4=""),"",IFERROR(INDEX('All Data'!$H$5:$H$2001,MATCH(1,('All Data'!$J$5:$J$2001=$A26)*('All Data'!$B$5:$B$2001=I$4)*('All Data'!$A$5:$A$2001=MAX(IF(('All Data'!$J$5:$J$2001=$A26)*('All Data'!$B$5:$B$2001=I$4),'All Data'!$A$5:$A$2001))),0)),""))</f>
        <v/>
      </c>
      <c r="J26" s="10">
        <f>IFERROR(MIN(D26,E26,F26,G26,H26,I26),"")</f>
        <v/>
      </c>
      <c r="K26" s="10">
        <f>IFERROR(MAX(D26,E26,F26,G26,H26,I26),"")</f>
        <v/>
      </c>
      <c r="L26" s="10">
        <f>IF(OR(J26="",K26=""),"",K26-J26)</f>
        <v/>
      </c>
      <c r="M26" s="12">
        <f>IFERROR(INDEX($D$4:$I$4,MATCH(J26,$D26:$I26,0)),"")</f>
        <v/>
      </c>
    </row>
    <row r="27">
      <c r="A27" s="12">
        <f>'Item List'!A27</f>
        <v/>
      </c>
      <c r="B27" s="12">
        <f>'Item List'!B27</f>
        <v/>
      </c>
      <c r="C27" s="12">
        <f>'Item List'!C27</f>
        <v/>
      </c>
      <c r="D27" s="10">
        <f>IF(OR($A27="",D$4=""),"",IFERROR(INDEX('All Data'!$H$5:$H$2001,MATCH(1,('All Data'!$J$5:$J$2001=$A27)*('All Data'!$B$5:$B$2001=D$4)*('All Data'!$A$5:$A$2001=MAX(IF(('All Data'!$J$5:$J$2001=$A27)*('All Data'!$B$5:$B$2001=D$4),'All Data'!$A$5:$A$2001))),0)),""))</f>
        <v/>
      </c>
      <c r="E27" s="10">
        <f>IF(OR($A27="",E$4=""),"",IFERROR(INDEX('All Data'!$H$5:$H$2001,MATCH(1,('All Data'!$J$5:$J$2001=$A27)*('All Data'!$B$5:$B$2001=E$4)*('All Data'!$A$5:$A$2001=MAX(IF(('All Data'!$J$5:$J$2001=$A27)*('All Data'!$B$5:$B$2001=E$4),'All Data'!$A$5:$A$2001))),0)),""))</f>
        <v/>
      </c>
      <c r="F27" s="10">
        <f>IF(OR($A27="",F$4=""),"",IFERROR(INDEX('All Data'!$H$5:$H$2001,MATCH(1,('All Data'!$J$5:$J$2001=$A27)*('All Data'!$B$5:$B$2001=F$4)*('All Data'!$A$5:$A$2001=MAX(IF(('All Data'!$J$5:$J$2001=$A27)*('All Data'!$B$5:$B$2001=F$4),'All Data'!$A$5:$A$2001))),0)),""))</f>
        <v/>
      </c>
      <c r="G27" s="10">
        <f>IF(OR($A27="",G$4=""),"",IFERROR(INDEX('All Data'!$H$5:$H$2001,MATCH(1,('All Data'!$J$5:$J$2001=$A27)*('All Data'!$B$5:$B$2001=G$4)*('All Data'!$A$5:$A$2001=MAX(IF(('All Data'!$J$5:$J$2001=$A27)*('All Data'!$B$5:$B$2001=G$4),'All Data'!$A$5:$A$2001))),0)),""))</f>
        <v/>
      </c>
      <c r="H27" s="10">
        <f>IF(OR($A27="",H$4=""),"",IFERROR(INDEX('All Data'!$H$5:$H$2001,MATCH(1,('All Data'!$J$5:$J$2001=$A27)*('All Data'!$B$5:$B$2001=H$4)*('All Data'!$A$5:$A$2001=MAX(IF(('All Data'!$J$5:$J$2001=$A27)*('All Data'!$B$5:$B$2001=H$4),'All Data'!$A$5:$A$2001))),0)),""))</f>
        <v/>
      </c>
      <c r="I27" s="10">
        <f>IF(OR($A27="",I$4=""),"",IFERROR(INDEX('All Data'!$H$5:$H$2001,MATCH(1,('All Data'!$J$5:$J$2001=$A27)*('All Data'!$B$5:$B$2001=I$4)*('All Data'!$A$5:$A$2001=MAX(IF(('All Data'!$J$5:$J$2001=$A27)*('All Data'!$B$5:$B$2001=I$4),'All Data'!$A$5:$A$2001))),0)),""))</f>
        <v/>
      </c>
      <c r="J27" s="10">
        <f>IFERROR(MIN(D27,E27,F27,G27,H27,I27),"")</f>
        <v/>
      </c>
      <c r="K27" s="10">
        <f>IFERROR(MAX(D27,E27,F27,G27,H27,I27),"")</f>
        <v/>
      </c>
      <c r="L27" s="10">
        <f>IF(OR(J27="",K27=""),"",K27-J27)</f>
        <v/>
      </c>
      <c r="M27" s="12">
        <f>IFERROR(INDEX($D$4:$I$4,MATCH(J27,$D27:$I27,0)),"")</f>
        <v/>
      </c>
    </row>
    <row r="28">
      <c r="A28" s="12">
        <f>'Item List'!A28</f>
        <v/>
      </c>
      <c r="B28" s="12">
        <f>'Item List'!B28</f>
        <v/>
      </c>
      <c r="C28" s="12">
        <f>'Item List'!C28</f>
        <v/>
      </c>
      <c r="D28" s="10">
        <f>IF(OR($A28="",D$4=""),"",IFERROR(INDEX('All Data'!$H$5:$H$2001,MATCH(1,('All Data'!$J$5:$J$2001=$A28)*('All Data'!$B$5:$B$2001=D$4)*('All Data'!$A$5:$A$2001=MAX(IF(('All Data'!$J$5:$J$2001=$A28)*('All Data'!$B$5:$B$2001=D$4),'All Data'!$A$5:$A$2001))),0)),""))</f>
        <v/>
      </c>
      <c r="E28" s="10">
        <f>IF(OR($A28="",E$4=""),"",IFERROR(INDEX('All Data'!$H$5:$H$2001,MATCH(1,('All Data'!$J$5:$J$2001=$A28)*('All Data'!$B$5:$B$2001=E$4)*('All Data'!$A$5:$A$2001=MAX(IF(('All Data'!$J$5:$J$2001=$A28)*('All Data'!$B$5:$B$2001=E$4),'All Data'!$A$5:$A$2001))),0)),""))</f>
        <v/>
      </c>
      <c r="F28" s="10">
        <f>IF(OR($A28="",F$4=""),"",IFERROR(INDEX('All Data'!$H$5:$H$2001,MATCH(1,('All Data'!$J$5:$J$2001=$A28)*('All Data'!$B$5:$B$2001=F$4)*('All Data'!$A$5:$A$2001=MAX(IF(('All Data'!$J$5:$J$2001=$A28)*('All Data'!$B$5:$B$2001=F$4),'All Data'!$A$5:$A$2001))),0)),""))</f>
        <v/>
      </c>
      <c r="G28" s="10">
        <f>IF(OR($A28="",G$4=""),"",IFERROR(INDEX('All Data'!$H$5:$H$2001,MATCH(1,('All Data'!$J$5:$J$2001=$A28)*('All Data'!$B$5:$B$2001=G$4)*('All Data'!$A$5:$A$2001=MAX(IF(('All Data'!$J$5:$J$2001=$A28)*('All Data'!$B$5:$B$2001=G$4),'All Data'!$A$5:$A$2001))),0)),""))</f>
        <v/>
      </c>
      <c r="H28" s="10">
        <f>IF(OR($A28="",H$4=""),"",IFERROR(INDEX('All Data'!$H$5:$H$2001,MATCH(1,('All Data'!$J$5:$J$2001=$A28)*('All Data'!$B$5:$B$2001=H$4)*('All Data'!$A$5:$A$2001=MAX(IF(('All Data'!$J$5:$J$2001=$A28)*('All Data'!$B$5:$B$2001=H$4),'All Data'!$A$5:$A$2001))),0)),""))</f>
        <v/>
      </c>
      <c r="I28" s="10">
        <f>IF(OR($A28="",I$4=""),"",IFERROR(INDEX('All Data'!$H$5:$H$2001,MATCH(1,('All Data'!$J$5:$J$2001=$A28)*('All Data'!$B$5:$B$2001=I$4)*('All Data'!$A$5:$A$2001=MAX(IF(('All Data'!$J$5:$J$2001=$A28)*('All Data'!$B$5:$B$2001=I$4),'All Data'!$A$5:$A$2001))),0)),""))</f>
        <v/>
      </c>
      <c r="J28" s="10">
        <f>IFERROR(MIN(D28,E28,F28,G28,H28,I28),"")</f>
        <v/>
      </c>
      <c r="K28" s="10">
        <f>IFERROR(MAX(D28,E28,F28,G28,H28,I28),"")</f>
        <v/>
      </c>
      <c r="L28" s="10">
        <f>IF(OR(J28="",K28=""),"",K28-J28)</f>
        <v/>
      </c>
      <c r="M28" s="12">
        <f>IFERROR(INDEX($D$4:$I$4,MATCH(J28,$D28:$I28,0)),"")</f>
        <v/>
      </c>
    </row>
    <row r="29">
      <c r="A29" s="12">
        <f>'Item List'!A29</f>
        <v/>
      </c>
      <c r="B29" s="12">
        <f>'Item List'!B29</f>
        <v/>
      </c>
      <c r="C29" s="12">
        <f>'Item List'!C29</f>
        <v/>
      </c>
      <c r="D29" s="10">
        <f>IF(OR($A29="",D$4=""),"",IFERROR(INDEX('All Data'!$H$5:$H$2001,MATCH(1,('All Data'!$J$5:$J$2001=$A29)*('All Data'!$B$5:$B$2001=D$4)*('All Data'!$A$5:$A$2001=MAX(IF(('All Data'!$J$5:$J$2001=$A29)*('All Data'!$B$5:$B$2001=D$4),'All Data'!$A$5:$A$2001))),0)),""))</f>
        <v/>
      </c>
      <c r="E29" s="10">
        <f>IF(OR($A29="",E$4=""),"",IFERROR(INDEX('All Data'!$H$5:$H$2001,MATCH(1,('All Data'!$J$5:$J$2001=$A29)*('All Data'!$B$5:$B$2001=E$4)*('All Data'!$A$5:$A$2001=MAX(IF(('All Data'!$J$5:$J$2001=$A29)*('All Data'!$B$5:$B$2001=E$4),'All Data'!$A$5:$A$2001))),0)),""))</f>
        <v/>
      </c>
      <c r="F29" s="10">
        <f>IF(OR($A29="",F$4=""),"",IFERROR(INDEX('All Data'!$H$5:$H$2001,MATCH(1,('All Data'!$J$5:$J$2001=$A29)*('All Data'!$B$5:$B$2001=F$4)*('All Data'!$A$5:$A$2001=MAX(IF(('All Data'!$J$5:$J$2001=$A29)*('All Data'!$B$5:$B$2001=F$4),'All Data'!$A$5:$A$2001))),0)),""))</f>
        <v/>
      </c>
      <c r="G29" s="10">
        <f>IF(OR($A29="",G$4=""),"",IFERROR(INDEX('All Data'!$H$5:$H$2001,MATCH(1,('All Data'!$J$5:$J$2001=$A29)*('All Data'!$B$5:$B$2001=G$4)*('All Data'!$A$5:$A$2001=MAX(IF(('All Data'!$J$5:$J$2001=$A29)*('All Data'!$B$5:$B$2001=G$4),'All Data'!$A$5:$A$2001))),0)),""))</f>
        <v/>
      </c>
      <c r="H29" s="10">
        <f>IF(OR($A29="",H$4=""),"",IFERROR(INDEX('All Data'!$H$5:$H$2001,MATCH(1,('All Data'!$J$5:$J$2001=$A29)*('All Data'!$B$5:$B$2001=H$4)*('All Data'!$A$5:$A$2001=MAX(IF(('All Data'!$J$5:$J$2001=$A29)*('All Data'!$B$5:$B$2001=H$4),'All Data'!$A$5:$A$2001))),0)),""))</f>
        <v/>
      </c>
      <c r="I29" s="10">
        <f>IF(OR($A29="",I$4=""),"",IFERROR(INDEX('All Data'!$H$5:$H$2001,MATCH(1,('All Data'!$J$5:$J$2001=$A29)*('All Data'!$B$5:$B$2001=I$4)*('All Data'!$A$5:$A$2001=MAX(IF(('All Data'!$J$5:$J$2001=$A29)*('All Data'!$B$5:$B$2001=I$4),'All Data'!$A$5:$A$2001))),0)),""))</f>
        <v/>
      </c>
      <c r="J29" s="10">
        <f>IFERROR(MIN(D29,E29,F29,G29,H29,I29),"")</f>
        <v/>
      </c>
      <c r="K29" s="10">
        <f>IFERROR(MAX(D29,E29,F29,G29,H29,I29),"")</f>
        <v/>
      </c>
      <c r="L29" s="10">
        <f>IF(OR(J29="",K29=""),"",K29-J29)</f>
        <v/>
      </c>
      <c r="M29" s="12">
        <f>IFERROR(INDEX($D$4:$I$4,MATCH(J29,$D29:$I29,0)),"")</f>
        <v/>
      </c>
    </row>
    <row r="30">
      <c r="A30" s="12">
        <f>'Item List'!A30</f>
        <v/>
      </c>
      <c r="B30" s="12">
        <f>'Item List'!B30</f>
        <v/>
      </c>
      <c r="C30" s="12">
        <f>'Item List'!C30</f>
        <v/>
      </c>
      <c r="D30" s="10">
        <f>IF(OR($A30="",D$4=""),"",IFERROR(INDEX('All Data'!$H$5:$H$2001,MATCH(1,('All Data'!$J$5:$J$2001=$A30)*('All Data'!$B$5:$B$2001=D$4)*('All Data'!$A$5:$A$2001=MAX(IF(('All Data'!$J$5:$J$2001=$A30)*('All Data'!$B$5:$B$2001=D$4),'All Data'!$A$5:$A$2001))),0)),""))</f>
        <v/>
      </c>
      <c r="E30" s="10">
        <f>IF(OR($A30="",E$4=""),"",IFERROR(INDEX('All Data'!$H$5:$H$2001,MATCH(1,('All Data'!$J$5:$J$2001=$A30)*('All Data'!$B$5:$B$2001=E$4)*('All Data'!$A$5:$A$2001=MAX(IF(('All Data'!$J$5:$J$2001=$A30)*('All Data'!$B$5:$B$2001=E$4),'All Data'!$A$5:$A$2001))),0)),""))</f>
        <v/>
      </c>
      <c r="F30" s="10">
        <f>IF(OR($A30="",F$4=""),"",IFERROR(INDEX('All Data'!$H$5:$H$2001,MATCH(1,('All Data'!$J$5:$J$2001=$A30)*('All Data'!$B$5:$B$2001=F$4)*('All Data'!$A$5:$A$2001=MAX(IF(('All Data'!$J$5:$J$2001=$A30)*('All Data'!$B$5:$B$2001=F$4),'All Data'!$A$5:$A$2001))),0)),""))</f>
        <v/>
      </c>
      <c r="G30" s="10">
        <f>IF(OR($A30="",G$4=""),"",IFERROR(INDEX('All Data'!$H$5:$H$2001,MATCH(1,('All Data'!$J$5:$J$2001=$A30)*('All Data'!$B$5:$B$2001=G$4)*('All Data'!$A$5:$A$2001=MAX(IF(('All Data'!$J$5:$J$2001=$A30)*('All Data'!$B$5:$B$2001=G$4),'All Data'!$A$5:$A$2001))),0)),""))</f>
        <v/>
      </c>
      <c r="H30" s="10">
        <f>IF(OR($A30="",H$4=""),"",IFERROR(INDEX('All Data'!$H$5:$H$2001,MATCH(1,('All Data'!$J$5:$J$2001=$A30)*('All Data'!$B$5:$B$2001=H$4)*('All Data'!$A$5:$A$2001=MAX(IF(('All Data'!$J$5:$J$2001=$A30)*('All Data'!$B$5:$B$2001=H$4),'All Data'!$A$5:$A$2001))),0)),""))</f>
        <v/>
      </c>
      <c r="I30" s="10">
        <f>IF(OR($A30="",I$4=""),"",IFERROR(INDEX('All Data'!$H$5:$H$2001,MATCH(1,('All Data'!$J$5:$J$2001=$A30)*('All Data'!$B$5:$B$2001=I$4)*('All Data'!$A$5:$A$2001=MAX(IF(('All Data'!$J$5:$J$2001=$A30)*('All Data'!$B$5:$B$2001=I$4),'All Data'!$A$5:$A$2001))),0)),""))</f>
        <v/>
      </c>
      <c r="J30" s="10">
        <f>IFERROR(MIN(D30,E30,F30,G30,H30,I30),"")</f>
        <v/>
      </c>
      <c r="K30" s="10">
        <f>IFERROR(MAX(D30,E30,F30,G30,H30,I30),"")</f>
        <v/>
      </c>
      <c r="L30" s="10">
        <f>IF(OR(J30="",K30=""),"",K30-J30)</f>
        <v/>
      </c>
      <c r="M30" s="12">
        <f>IFERROR(INDEX($D$4:$I$4,MATCH(J30,$D30:$I30,0)),"")</f>
        <v/>
      </c>
    </row>
    <row r="31">
      <c r="A31" s="12">
        <f>'Item List'!A31</f>
        <v/>
      </c>
      <c r="B31" s="12">
        <f>'Item List'!B31</f>
        <v/>
      </c>
      <c r="C31" s="12">
        <f>'Item List'!C31</f>
        <v/>
      </c>
      <c r="D31" s="10">
        <f>IF(OR($A31="",D$4=""),"",IFERROR(INDEX('All Data'!$H$5:$H$2001,MATCH(1,('All Data'!$J$5:$J$2001=$A31)*('All Data'!$B$5:$B$2001=D$4)*('All Data'!$A$5:$A$2001=MAX(IF(('All Data'!$J$5:$J$2001=$A31)*('All Data'!$B$5:$B$2001=D$4),'All Data'!$A$5:$A$2001))),0)),""))</f>
        <v/>
      </c>
      <c r="E31" s="10">
        <f>IF(OR($A31="",E$4=""),"",IFERROR(INDEX('All Data'!$H$5:$H$2001,MATCH(1,('All Data'!$J$5:$J$2001=$A31)*('All Data'!$B$5:$B$2001=E$4)*('All Data'!$A$5:$A$2001=MAX(IF(('All Data'!$J$5:$J$2001=$A31)*('All Data'!$B$5:$B$2001=E$4),'All Data'!$A$5:$A$2001))),0)),""))</f>
        <v/>
      </c>
      <c r="F31" s="10">
        <f>IF(OR($A31="",F$4=""),"",IFERROR(INDEX('All Data'!$H$5:$H$2001,MATCH(1,('All Data'!$J$5:$J$2001=$A31)*('All Data'!$B$5:$B$2001=F$4)*('All Data'!$A$5:$A$2001=MAX(IF(('All Data'!$J$5:$J$2001=$A31)*('All Data'!$B$5:$B$2001=F$4),'All Data'!$A$5:$A$2001))),0)),""))</f>
        <v/>
      </c>
      <c r="G31" s="10">
        <f>IF(OR($A31="",G$4=""),"",IFERROR(INDEX('All Data'!$H$5:$H$2001,MATCH(1,('All Data'!$J$5:$J$2001=$A31)*('All Data'!$B$5:$B$2001=G$4)*('All Data'!$A$5:$A$2001=MAX(IF(('All Data'!$J$5:$J$2001=$A31)*('All Data'!$B$5:$B$2001=G$4),'All Data'!$A$5:$A$2001))),0)),""))</f>
        <v/>
      </c>
      <c r="H31" s="10">
        <f>IF(OR($A31="",H$4=""),"",IFERROR(INDEX('All Data'!$H$5:$H$2001,MATCH(1,('All Data'!$J$5:$J$2001=$A31)*('All Data'!$B$5:$B$2001=H$4)*('All Data'!$A$5:$A$2001=MAX(IF(('All Data'!$J$5:$J$2001=$A31)*('All Data'!$B$5:$B$2001=H$4),'All Data'!$A$5:$A$2001))),0)),""))</f>
        <v/>
      </c>
      <c r="I31" s="10">
        <f>IF(OR($A31="",I$4=""),"",IFERROR(INDEX('All Data'!$H$5:$H$2001,MATCH(1,('All Data'!$J$5:$J$2001=$A31)*('All Data'!$B$5:$B$2001=I$4)*('All Data'!$A$5:$A$2001=MAX(IF(('All Data'!$J$5:$J$2001=$A31)*('All Data'!$B$5:$B$2001=I$4),'All Data'!$A$5:$A$2001))),0)),""))</f>
        <v/>
      </c>
      <c r="J31" s="10">
        <f>IFERROR(MIN(D31,E31,F31,G31,H31,I31),"")</f>
        <v/>
      </c>
      <c r="K31" s="10">
        <f>IFERROR(MAX(D31,E31,F31,G31,H31,I31),"")</f>
        <v/>
      </c>
      <c r="L31" s="10">
        <f>IF(OR(J31="",K31=""),"",K31-J31)</f>
        <v/>
      </c>
      <c r="M31" s="12">
        <f>IFERROR(INDEX($D$4:$I$4,MATCH(J31,$D31:$I31,0)),"")</f>
        <v/>
      </c>
    </row>
    <row r="32">
      <c r="A32" s="12">
        <f>'Item List'!A32</f>
        <v/>
      </c>
      <c r="B32" s="12">
        <f>'Item List'!B32</f>
        <v/>
      </c>
      <c r="C32" s="12">
        <f>'Item List'!C32</f>
        <v/>
      </c>
      <c r="D32" s="10">
        <f>IF(OR($A32="",D$4=""),"",IFERROR(INDEX('All Data'!$H$5:$H$2001,MATCH(1,('All Data'!$J$5:$J$2001=$A32)*('All Data'!$B$5:$B$2001=D$4)*('All Data'!$A$5:$A$2001=MAX(IF(('All Data'!$J$5:$J$2001=$A32)*('All Data'!$B$5:$B$2001=D$4),'All Data'!$A$5:$A$2001))),0)),""))</f>
        <v/>
      </c>
      <c r="E32" s="10">
        <f>IF(OR($A32="",E$4=""),"",IFERROR(INDEX('All Data'!$H$5:$H$2001,MATCH(1,('All Data'!$J$5:$J$2001=$A32)*('All Data'!$B$5:$B$2001=E$4)*('All Data'!$A$5:$A$2001=MAX(IF(('All Data'!$J$5:$J$2001=$A32)*('All Data'!$B$5:$B$2001=E$4),'All Data'!$A$5:$A$2001))),0)),""))</f>
        <v/>
      </c>
      <c r="F32" s="10">
        <f>IF(OR($A32="",F$4=""),"",IFERROR(INDEX('All Data'!$H$5:$H$2001,MATCH(1,('All Data'!$J$5:$J$2001=$A32)*('All Data'!$B$5:$B$2001=F$4)*('All Data'!$A$5:$A$2001=MAX(IF(('All Data'!$J$5:$J$2001=$A32)*('All Data'!$B$5:$B$2001=F$4),'All Data'!$A$5:$A$2001))),0)),""))</f>
        <v/>
      </c>
      <c r="G32" s="10">
        <f>IF(OR($A32="",G$4=""),"",IFERROR(INDEX('All Data'!$H$5:$H$2001,MATCH(1,('All Data'!$J$5:$J$2001=$A32)*('All Data'!$B$5:$B$2001=G$4)*('All Data'!$A$5:$A$2001=MAX(IF(('All Data'!$J$5:$J$2001=$A32)*('All Data'!$B$5:$B$2001=G$4),'All Data'!$A$5:$A$2001))),0)),""))</f>
        <v/>
      </c>
      <c r="H32" s="10">
        <f>IF(OR($A32="",H$4=""),"",IFERROR(INDEX('All Data'!$H$5:$H$2001,MATCH(1,('All Data'!$J$5:$J$2001=$A32)*('All Data'!$B$5:$B$2001=H$4)*('All Data'!$A$5:$A$2001=MAX(IF(('All Data'!$J$5:$J$2001=$A32)*('All Data'!$B$5:$B$2001=H$4),'All Data'!$A$5:$A$2001))),0)),""))</f>
        <v/>
      </c>
      <c r="I32" s="10">
        <f>IF(OR($A32="",I$4=""),"",IFERROR(INDEX('All Data'!$H$5:$H$2001,MATCH(1,('All Data'!$J$5:$J$2001=$A32)*('All Data'!$B$5:$B$2001=I$4)*('All Data'!$A$5:$A$2001=MAX(IF(('All Data'!$J$5:$J$2001=$A32)*('All Data'!$B$5:$B$2001=I$4),'All Data'!$A$5:$A$2001))),0)),""))</f>
        <v/>
      </c>
      <c r="J32" s="10">
        <f>IFERROR(MIN(D32,E32,F32,G32,H32,I32),"")</f>
        <v/>
      </c>
      <c r="K32" s="10">
        <f>IFERROR(MAX(D32,E32,F32,G32,H32,I32),"")</f>
        <v/>
      </c>
      <c r="L32" s="10">
        <f>IF(OR(J32="",K32=""),"",K32-J32)</f>
        <v/>
      </c>
      <c r="M32" s="12">
        <f>IFERROR(INDEX($D$4:$I$4,MATCH(J32,$D32:$I32,0)),"")</f>
        <v/>
      </c>
    </row>
    <row r="33">
      <c r="A33" s="12">
        <f>'Item List'!A33</f>
        <v/>
      </c>
      <c r="B33" s="12">
        <f>'Item List'!B33</f>
        <v/>
      </c>
      <c r="C33" s="12">
        <f>'Item List'!C33</f>
        <v/>
      </c>
      <c r="D33" s="10">
        <f>IF(OR($A33="",D$4=""),"",IFERROR(INDEX('All Data'!$H$5:$H$2001,MATCH(1,('All Data'!$J$5:$J$2001=$A33)*('All Data'!$B$5:$B$2001=D$4)*('All Data'!$A$5:$A$2001=MAX(IF(('All Data'!$J$5:$J$2001=$A33)*('All Data'!$B$5:$B$2001=D$4),'All Data'!$A$5:$A$2001))),0)),""))</f>
        <v/>
      </c>
      <c r="E33" s="10">
        <f>IF(OR($A33="",E$4=""),"",IFERROR(INDEX('All Data'!$H$5:$H$2001,MATCH(1,('All Data'!$J$5:$J$2001=$A33)*('All Data'!$B$5:$B$2001=E$4)*('All Data'!$A$5:$A$2001=MAX(IF(('All Data'!$J$5:$J$2001=$A33)*('All Data'!$B$5:$B$2001=E$4),'All Data'!$A$5:$A$2001))),0)),""))</f>
        <v/>
      </c>
      <c r="F33" s="10">
        <f>IF(OR($A33="",F$4=""),"",IFERROR(INDEX('All Data'!$H$5:$H$2001,MATCH(1,('All Data'!$J$5:$J$2001=$A33)*('All Data'!$B$5:$B$2001=F$4)*('All Data'!$A$5:$A$2001=MAX(IF(('All Data'!$J$5:$J$2001=$A33)*('All Data'!$B$5:$B$2001=F$4),'All Data'!$A$5:$A$2001))),0)),""))</f>
        <v/>
      </c>
      <c r="G33" s="10">
        <f>IF(OR($A33="",G$4=""),"",IFERROR(INDEX('All Data'!$H$5:$H$2001,MATCH(1,('All Data'!$J$5:$J$2001=$A33)*('All Data'!$B$5:$B$2001=G$4)*('All Data'!$A$5:$A$2001=MAX(IF(('All Data'!$J$5:$J$2001=$A33)*('All Data'!$B$5:$B$2001=G$4),'All Data'!$A$5:$A$2001))),0)),""))</f>
        <v/>
      </c>
      <c r="H33" s="10">
        <f>IF(OR($A33="",H$4=""),"",IFERROR(INDEX('All Data'!$H$5:$H$2001,MATCH(1,('All Data'!$J$5:$J$2001=$A33)*('All Data'!$B$5:$B$2001=H$4)*('All Data'!$A$5:$A$2001=MAX(IF(('All Data'!$J$5:$J$2001=$A33)*('All Data'!$B$5:$B$2001=H$4),'All Data'!$A$5:$A$2001))),0)),""))</f>
        <v/>
      </c>
      <c r="I33" s="10">
        <f>IF(OR($A33="",I$4=""),"",IFERROR(INDEX('All Data'!$H$5:$H$2001,MATCH(1,('All Data'!$J$5:$J$2001=$A33)*('All Data'!$B$5:$B$2001=I$4)*('All Data'!$A$5:$A$2001=MAX(IF(('All Data'!$J$5:$J$2001=$A33)*('All Data'!$B$5:$B$2001=I$4),'All Data'!$A$5:$A$2001))),0)),""))</f>
        <v/>
      </c>
      <c r="J33" s="10">
        <f>IFERROR(MIN(D33,E33,F33,G33,H33,I33),"")</f>
        <v/>
      </c>
      <c r="K33" s="10">
        <f>IFERROR(MAX(D33,E33,F33,G33,H33,I33),"")</f>
        <v/>
      </c>
      <c r="L33" s="10">
        <f>IF(OR(J33="",K33=""),"",K33-J33)</f>
        <v/>
      </c>
      <c r="M33" s="12">
        <f>IFERROR(INDEX($D$4:$I$4,MATCH(J33,$D33:$I33,0)),"")</f>
        <v/>
      </c>
    </row>
    <row r="34">
      <c r="A34" s="12">
        <f>'Item List'!A34</f>
        <v/>
      </c>
      <c r="B34" s="12">
        <f>'Item List'!B34</f>
        <v/>
      </c>
      <c r="C34" s="12">
        <f>'Item List'!C34</f>
        <v/>
      </c>
      <c r="D34" s="10">
        <f>IF(OR($A34="",D$4=""),"",IFERROR(INDEX('All Data'!$H$5:$H$2001,MATCH(1,('All Data'!$J$5:$J$2001=$A34)*('All Data'!$B$5:$B$2001=D$4)*('All Data'!$A$5:$A$2001=MAX(IF(('All Data'!$J$5:$J$2001=$A34)*('All Data'!$B$5:$B$2001=D$4),'All Data'!$A$5:$A$2001))),0)),""))</f>
        <v/>
      </c>
      <c r="E34" s="10">
        <f>IF(OR($A34="",E$4=""),"",IFERROR(INDEX('All Data'!$H$5:$H$2001,MATCH(1,('All Data'!$J$5:$J$2001=$A34)*('All Data'!$B$5:$B$2001=E$4)*('All Data'!$A$5:$A$2001=MAX(IF(('All Data'!$J$5:$J$2001=$A34)*('All Data'!$B$5:$B$2001=E$4),'All Data'!$A$5:$A$2001))),0)),""))</f>
        <v/>
      </c>
      <c r="F34" s="10">
        <f>IF(OR($A34="",F$4=""),"",IFERROR(INDEX('All Data'!$H$5:$H$2001,MATCH(1,('All Data'!$J$5:$J$2001=$A34)*('All Data'!$B$5:$B$2001=F$4)*('All Data'!$A$5:$A$2001=MAX(IF(('All Data'!$J$5:$J$2001=$A34)*('All Data'!$B$5:$B$2001=F$4),'All Data'!$A$5:$A$2001))),0)),""))</f>
        <v/>
      </c>
      <c r="G34" s="10">
        <f>IF(OR($A34="",G$4=""),"",IFERROR(INDEX('All Data'!$H$5:$H$2001,MATCH(1,('All Data'!$J$5:$J$2001=$A34)*('All Data'!$B$5:$B$2001=G$4)*('All Data'!$A$5:$A$2001=MAX(IF(('All Data'!$J$5:$J$2001=$A34)*('All Data'!$B$5:$B$2001=G$4),'All Data'!$A$5:$A$2001))),0)),""))</f>
        <v/>
      </c>
      <c r="H34" s="10">
        <f>IF(OR($A34="",H$4=""),"",IFERROR(INDEX('All Data'!$H$5:$H$2001,MATCH(1,('All Data'!$J$5:$J$2001=$A34)*('All Data'!$B$5:$B$2001=H$4)*('All Data'!$A$5:$A$2001=MAX(IF(('All Data'!$J$5:$J$2001=$A34)*('All Data'!$B$5:$B$2001=H$4),'All Data'!$A$5:$A$2001))),0)),""))</f>
        <v/>
      </c>
      <c r="I34" s="10">
        <f>IF(OR($A34="",I$4=""),"",IFERROR(INDEX('All Data'!$H$5:$H$2001,MATCH(1,('All Data'!$J$5:$J$2001=$A34)*('All Data'!$B$5:$B$2001=I$4)*('All Data'!$A$5:$A$2001=MAX(IF(('All Data'!$J$5:$J$2001=$A34)*('All Data'!$B$5:$B$2001=I$4),'All Data'!$A$5:$A$2001))),0)),""))</f>
        <v/>
      </c>
      <c r="J34" s="10">
        <f>IFERROR(MIN(D34,E34,F34,G34,H34,I34),"")</f>
        <v/>
      </c>
      <c r="K34" s="10">
        <f>IFERROR(MAX(D34,E34,F34,G34,H34,I34),"")</f>
        <v/>
      </c>
      <c r="L34" s="10">
        <f>IF(OR(J34="",K34=""),"",K34-J34)</f>
        <v/>
      </c>
      <c r="M34" s="12">
        <f>IFERROR(INDEX($D$4:$I$4,MATCH(J34,$D34:$I34,0)),"")</f>
        <v/>
      </c>
    </row>
    <row r="35">
      <c r="A35" s="12">
        <f>'Item List'!A35</f>
        <v/>
      </c>
      <c r="B35" s="12">
        <f>'Item List'!B35</f>
        <v/>
      </c>
      <c r="C35" s="12">
        <f>'Item List'!C35</f>
        <v/>
      </c>
      <c r="D35" s="10">
        <f>IF(OR($A35="",D$4=""),"",IFERROR(INDEX('All Data'!$H$5:$H$2001,MATCH(1,('All Data'!$J$5:$J$2001=$A35)*('All Data'!$B$5:$B$2001=D$4)*('All Data'!$A$5:$A$2001=MAX(IF(('All Data'!$J$5:$J$2001=$A35)*('All Data'!$B$5:$B$2001=D$4),'All Data'!$A$5:$A$2001))),0)),""))</f>
        <v/>
      </c>
      <c r="E35" s="10">
        <f>IF(OR($A35="",E$4=""),"",IFERROR(INDEX('All Data'!$H$5:$H$2001,MATCH(1,('All Data'!$J$5:$J$2001=$A35)*('All Data'!$B$5:$B$2001=E$4)*('All Data'!$A$5:$A$2001=MAX(IF(('All Data'!$J$5:$J$2001=$A35)*('All Data'!$B$5:$B$2001=E$4),'All Data'!$A$5:$A$2001))),0)),""))</f>
        <v/>
      </c>
      <c r="F35" s="10">
        <f>IF(OR($A35="",F$4=""),"",IFERROR(INDEX('All Data'!$H$5:$H$2001,MATCH(1,('All Data'!$J$5:$J$2001=$A35)*('All Data'!$B$5:$B$2001=F$4)*('All Data'!$A$5:$A$2001=MAX(IF(('All Data'!$J$5:$J$2001=$A35)*('All Data'!$B$5:$B$2001=F$4),'All Data'!$A$5:$A$2001))),0)),""))</f>
        <v/>
      </c>
      <c r="G35" s="10">
        <f>IF(OR($A35="",G$4=""),"",IFERROR(INDEX('All Data'!$H$5:$H$2001,MATCH(1,('All Data'!$J$5:$J$2001=$A35)*('All Data'!$B$5:$B$2001=G$4)*('All Data'!$A$5:$A$2001=MAX(IF(('All Data'!$J$5:$J$2001=$A35)*('All Data'!$B$5:$B$2001=G$4),'All Data'!$A$5:$A$2001))),0)),""))</f>
        <v/>
      </c>
      <c r="H35" s="10">
        <f>IF(OR($A35="",H$4=""),"",IFERROR(INDEX('All Data'!$H$5:$H$2001,MATCH(1,('All Data'!$J$5:$J$2001=$A35)*('All Data'!$B$5:$B$2001=H$4)*('All Data'!$A$5:$A$2001=MAX(IF(('All Data'!$J$5:$J$2001=$A35)*('All Data'!$B$5:$B$2001=H$4),'All Data'!$A$5:$A$2001))),0)),""))</f>
        <v/>
      </c>
      <c r="I35" s="10">
        <f>IF(OR($A35="",I$4=""),"",IFERROR(INDEX('All Data'!$H$5:$H$2001,MATCH(1,('All Data'!$J$5:$J$2001=$A35)*('All Data'!$B$5:$B$2001=I$4)*('All Data'!$A$5:$A$2001=MAX(IF(('All Data'!$J$5:$J$2001=$A35)*('All Data'!$B$5:$B$2001=I$4),'All Data'!$A$5:$A$2001))),0)),""))</f>
        <v/>
      </c>
      <c r="J35" s="10">
        <f>IFERROR(MIN(D35,E35,F35,G35,H35,I35),"")</f>
        <v/>
      </c>
      <c r="K35" s="10">
        <f>IFERROR(MAX(D35,E35,F35,G35,H35,I35),"")</f>
        <v/>
      </c>
      <c r="L35" s="10">
        <f>IF(OR(J35="",K35=""),"",K35-J35)</f>
        <v/>
      </c>
      <c r="M35" s="12">
        <f>IFERROR(INDEX($D$4:$I$4,MATCH(J35,$D35:$I35,0)),"")</f>
        <v/>
      </c>
    </row>
    <row r="36">
      <c r="A36" s="12">
        <f>'Item List'!A36</f>
        <v/>
      </c>
      <c r="B36" s="12">
        <f>'Item List'!B36</f>
        <v/>
      </c>
      <c r="C36" s="12">
        <f>'Item List'!C36</f>
        <v/>
      </c>
      <c r="D36" s="10">
        <f>IF(OR($A36="",D$4=""),"",IFERROR(INDEX('All Data'!$H$5:$H$2001,MATCH(1,('All Data'!$J$5:$J$2001=$A36)*('All Data'!$B$5:$B$2001=D$4)*('All Data'!$A$5:$A$2001=MAX(IF(('All Data'!$J$5:$J$2001=$A36)*('All Data'!$B$5:$B$2001=D$4),'All Data'!$A$5:$A$2001))),0)),""))</f>
        <v/>
      </c>
      <c r="E36" s="10">
        <f>IF(OR($A36="",E$4=""),"",IFERROR(INDEX('All Data'!$H$5:$H$2001,MATCH(1,('All Data'!$J$5:$J$2001=$A36)*('All Data'!$B$5:$B$2001=E$4)*('All Data'!$A$5:$A$2001=MAX(IF(('All Data'!$J$5:$J$2001=$A36)*('All Data'!$B$5:$B$2001=E$4),'All Data'!$A$5:$A$2001))),0)),""))</f>
        <v/>
      </c>
      <c r="F36" s="10">
        <f>IF(OR($A36="",F$4=""),"",IFERROR(INDEX('All Data'!$H$5:$H$2001,MATCH(1,('All Data'!$J$5:$J$2001=$A36)*('All Data'!$B$5:$B$2001=F$4)*('All Data'!$A$5:$A$2001=MAX(IF(('All Data'!$J$5:$J$2001=$A36)*('All Data'!$B$5:$B$2001=F$4),'All Data'!$A$5:$A$2001))),0)),""))</f>
        <v/>
      </c>
      <c r="G36" s="10">
        <f>IF(OR($A36="",G$4=""),"",IFERROR(INDEX('All Data'!$H$5:$H$2001,MATCH(1,('All Data'!$J$5:$J$2001=$A36)*('All Data'!$B$5:$B$2001=G$4)*('All Data'!$A$5:$A$2001=MAX(IF(('All Data'!$J$5:$J$2001=$A36)*('All Data'!$B$5:$B$2001=G$4),'All Data'!$A$5:$A$2001))),0)),""))</f>
        <v/>
      </c>
      <c r="H36" s="10">
        <f>IF(OR($A36="",H$4=""),"",IFERROR(INDEX('All Data'!$H$5:$H$2001,MATCH(1,('All Data'!$J$5:$J$2001=$A36)*('All Data'!$B$5:$B$2001=H$4)*('All Data'!$A$5:$A$2001=MAX(IF(('All Data'!$J$5:$J$2001=$A36)*('All Data'!$B$5:$B$2001=H$4),'All Data'!$A$5:$A$2001))),0)),""))</f>
        <v/>
      </c>
      <c r="I36" s="10">
        <f>IF(OR($A36="",I$4=""),"",IFERROR(INDEX('All Data'!$H$5:$H$2001,MATCH(1,('All Data'!$J$5:$J$2001=$A36)*('All Data'!$B$5:$B$2001=I$4)*('All Data'!$A$5:$A$2001=MAX(IF(('All Data'!$J$5:$J$2001=$A36)*('All Data'!$B$5:$B$2001=I$4),'All Data'!$A$5:$A$2001))),0)),""))</f>
        <v/>
      </c>
      <c r="J36" s="10">
        <f>IFERROR(MIN(D36,E36,F36,G36,H36,I36),"")</f>
        <v/>
      </c>
      <c r="K36" s="10">
        <f>IFERROR(MAX(D36,E36,F36,G36,H36,I36),"")</f>
        <v/>
      </c>
      <c r="L36" s="10">
        <f>IF(OR(J36="",K36=""),"",K36-J36)</f>
        <v/>
      </c>
      <c r="M36" s="12">
        <f>IFERROR(INDEX($D$4:$I$4,MATCH(J36,$D36:$I36,0)),"")</f>
        <v/>
      </c>
    </row>
    <row r="37">
      <c r="A37" s="12">
        <f>'Item List'!A37</f>
        <v/>
      </c>
      <c r="B37" s="12">
        <f>'Item List'!B37</f>
        <v/>
      </c>
      <c r="C37" s="12">
        <f>'Item List'!C37</f>
        <v/>
      </c>
      <c r="D37" s="10">
        <f>IF(OR($A37="",D$4=""),"",IFERROR(INDEX('All Data'!$H$5:$H$2001,MATCH(1,('All Data'!$J$5:$J$2001=$A37)*('All Data'!$B$5:$B$2001=D$4)*('All Data'!$A$5:$A$2001=MAX(IF(('All Data'!$J$5:$J$2001=$A37)*('All Data'!$B$5:$B$2001=D$4),'All Data'!$A$5:$A$2001))),0)),""))</f>
        <v/>
      </c>
      <c r="E37" s="10">
        <f>IF(OR($A37="",E$4=""),"",IFERROR(INDEX('All Data'!$H$5:$H$2001,MATCH(1,('All Data'!$J$5:$J$2001=$A37)*('All Data'!$B$5:$B$2001=E$4)*('All Data'!$A$5:$A$2001=MAX(IF(('All Data'!$J$5:$J$2001=$A37)*('All Data'!$B$5:$B$2001=E$4),'All Data'!$A$5:$A$2001))),0)),""))</f>
        <v/>
      </c>
      <c r="F37" s="10">
        <f>IF(OR($A37="",F$4=""),"",IFERROR(INDEX('All Data'!$H$5:$H$2001,MATCH(1,('All Data'!$J$5:$J$2001=$A37)*('All Data'!$B$5:$B$2001=F$4)*('All Data'!$A$5:$A$2001=MAX(IF(('All Data'!$J$5:$J$2001=$A37)*('All Data'!$B$5:$B$2001=F$4),'All Data'!$A$5:$A$2001))),0)),""))</f>
        <v/>
      </c>
      <c r="G37" s="10">
        <f>IF(OR($A37="",G$4=""),"",IFERROR(INDEX('All Data'!$H$5:$H$2001,MATCH(1,('All Data'!$J$5:$J$2001=$A37)*('All Data'!$B$5:$B$2001=G$4)*('All Data'!$A$5:$A$2001=MAX(IF(('All Data'!$J$5:$J$2001=$A37)*('All Data'!$B$5:$B$2001=G$4),'All Data'!$A$5:$A$2001))),0)),""))</f>
        <v/>
      </c>
      <c r="H37" s="10">
        <f>IF(OR($A37="",H$4=""),"",IFERROR(INDEX('All Data'!$H$5:$H$2001,MATCH(1,('All Data'!$J$5:$J$2001=$A37)*('All Data'!$B$5:$B$2001=H$4)*('All Data'!$A$5:$A$2001=MAX(IF(('All Data'!$J$5:$J$2001=$A37)*('All Data'!$B$5:$B$2001=H$4),'All Data'!$A$5:$A$2001))),0)),""))</f>
        <v/>
      </c>
      <c r="I37" s="10">
        <f>IF(OR($A37="",I$4=""),"",IFERROR(INDEX('All Data'!$H$5:$H$2001,MATCH(1,('All Data'!$J$5:$J$2001=$A37)*('All Data'!$B$5:$B$2001=I$4)*('All Data'!$A$5:$A$2001=MAX(IF(('All Data'!$J$5:$J$2001=$A37)*('All Data'!$B$5:$B$2001=I$4),'All Data'!$A$5:$A$2001))),0)),""))</f>
        <v/>
      </c>
      <c r="J37" s="10">
        <f>IFERROR(MIN(D37,E37,F37,G37,H37,I37),"")</f>
        <v/>
      </c>
      <c r="K37" s="10">
        <f>IFERROR(MAX(D37,E37,F37,G37,H37,I37),"")</f>
        <v/>
      </c>
      <c r="L37" s="10">
        <f>IF(OR(J37="",K37=""),"",K37-J37)</f>
        <v/>
      </c>
      <c r="M37" s="12">
        <f>IFERROR(INDEX($D$4:$I$4,MATCH(J37,$D37:$I37,0)),"")</f>
        <v/>
      </c>
    </row>
    <row r="38">
      <c r="A38" s="12">
        <f>'Item List'!A38</f>
        <v/>
      </c>
      <c r="B38" s="12">
        <f>'Item List'!B38</f>
        <v/>
      </c>
      <c r="C38" s="12">
        <f>'Item List'!C38</f>
        <v/>
      </c>
      <c r="D38" s="10">
        <f>IF(OR($A38="",D$4=""),"",IFERROR(INDEX('All Data'!$H$5:$H$2001,MATCH(1,('All Data'!$J$5:$J$2001=$A38)*('All Data'!$B$5:$B$2001=D$4)*('All Data'!$A$5:$A$2001=MAX(IF(('All Data'!$J$5:$J$2001=$A38)*('All Data'!$B$5:$B$2001=D$4),'All Data'!$A$5:$A$2001))),0)),""))</f>
        <v/>
      </c>
      <c r="E38" s="10">
        <f>IF(OR($A38="",E$4=""),"",IFERROR(INDEX('All Data'!$H$5:$H$2001,MATCH(1,('All Data'!$J$5:$J$2001=$A38)*('All Data'!$B$5:$B$2001=E$4)*('All Data'!$A$5:$A$2001=MAX(IF(('All Data'!$J$5:$J$2001=$A38)*('All Data'!$B$5:$B$2001=E$4),'All Data'!$A$5:$A$2001))),0)),""))</f>
        <v/>
      </c>
      <c r="F38" s="10">
        <f>IF(OR($A38="",F$4=""),"",IFERROR(INDEX('All Data'!$H$5:$H$2001,MATCH(1,('All Data'!$J$5:$J$2001=$A38)*('All Data'!$B$5:$B$2001=F$4)*('All Data'!$A$5:$A$2001=MAX(IF(('All Data'!$J$5:$J$2001=$A38)*('All Data'!$B$5:$B$2001=F$4),'All Data'!$A$5:$A$2001))),0)),""))</f>
        <v/>
      </c>
      <c r="G38" s="10">
        <f>IF(OR($A38="",G$4=""),"",IFERROR(INDEX('All Data'!$H$5:$H$2001,MATCH(1,('All Data'!$J$5:$J$2001=$A38)*('All Data'!$B$5:$B$2001=G$4)*('All Data'!$A$5:$A$2001=MAX(IF(('All Data'!$J$5:$J$2001=$A38)*('All Data'!$B$5:$B$2001=G$4),'All Data'!$A$5:$A$2001))),0)),""))</f>
        <v/>
      </c>
      <c r="H38" s="10">
        <f>IF(OR($A38="",H$4=""),"",IFERROR(INDEX('All Data'!$H$5:$H$2001,MATCH(1,('All Data'!$J$5:$J$2001=$A38)*('All Data'!$B$5:$B$2001=H$4)*('All Data'!$A$5:$A$2001=MAX(IF(('All Data'!$J$5:$J$2001=$A38)*('All Data'!$B$5:$B$2001=H$4),'All Data'!$A$5:$A$2001))),0)),""))</f>
        <v/>
      </c>
      <c r="I38" s="10">
        <f>IF(OR($A38="",I$4=""),"",IFERROR(INDEX('All Data'!$H$5:$H$2001,MATCH(1,('All Data'!$J$5:$J$2001=$A38)*('All Data'!$B$5:$B$2001=I$4)*('All Data'!$A$5:$A$2001=MAX(IF(('All Data'!$J$5:$J$2001=$A38)*('All Data'!$B$5:$B$2001=I$4),'All Data'!$A$5:$A$2001))),0)),""))</f>
        <v/>
      </c>
      <c r="J38" s="10">
        <f>IFERROR(MIN(D38,E38,F38,G38,H38,I38),"")</f>
        <v/>
      </c>
      <c r="K38" s="10">
        <f>IFERROR(MAX(D38,E38,F38,G38,H38,I38),"")</f>
        <v/>
      </c>
      <c r="L38" s="10">
        <f>IF(OR(J38="",K38=""),"",K38-J38)</f>
        <v/>
      </c>
      <c r="M38" s="12">
        <f>IFERROR(INDEX($D$4:$I$4,MATCH(J38,$D38:$I38,0)),"")</f>
        <v/>
      </c>
    </row>
    <row r="39">
      <c r="A39" s="12">
        <f>'Item List'!A39</f>
        <v/>
      </c>
      <c r="B39" s="12">
        <f>'Item List'!B39</f>
        <v/>
      </c>
      <c r="C39" s="12">
        <f>'Item List'!C39</f>
        <v/>
      </c>
      <c r="D39" s="10">
        <f>IF(OR($A39="",D$4=""),"",IFERROR(INDEX('All Data'!$H$5:$H$2001,MATCH(1,('All Data'!$J$5:$J$2001=$A39)*('All Data'!$B$5:$B$2001=D$4)*('All Data'!$A$5:$A$2001=MAX(IF(('All Data'!$J$5:$J$2001=$A39)*('All Data'!$B$5:$B$2001=D$4),'All Data'!$A$5:$A$2001))),0)),""))</f>
        <v/>
      </c>
      <c r="E39" s="10">
        <f>IF(OR($A39="",E$4=""),"",IFERROR(INDEX('All Data'!$H$5:$H$2001,MATCH(1,('All Data'!$J$5:$J$2001=$A39)*('All Data'!$B$5:$B$2001=E$4)*('All Data'!$A$5:$A$2001=MAX(IF(('All Data'!$J$5:$J$2001=$A39)*('All Data'!$B$5:$B$2001=E$4),'All Data'!$A$5:$A$2001))),0)),""))</f>
        <v/>
      </c>
      <c r="F39" s="10">
        <f>IF(OR($A39="",F$4=""),"",IFERROR(INDEX('All Data'!$H$5:$H$2001,MATCH(1,('All Data'!$J$5:$J$2001=$A39)*('All Data'!$B$5:$B$2001=F$4)*('All Data'!$A$5:$A$2001=MAX(IF(('All Data'!$J$5:$J$2001=$A39)*('All Data'!$B$5:$B$2001=F$4),'All Data'!$A$5:$A$2001))),0)),""))</f>
        <v/>
      </c>
      <c r="G39" s="10">
        <f>IF(OR($A39="",G$4=""),"",IFERROR(INDEX('All Data'!$H$5:$H$2001,MATCH(1,('All Data'!$J$5:$J$2001=$A39)*('All Data'!$B$5:$B$2001=G$4)*('All Data'!$A$5:$A$2001=MAX(IF(('All Data'!$J$5:$J$2001=$A39)*('All Data'!$B$5:$B$2001=G$4),'All Data'!$A$5:$A$2001))),0)),""))</f>
        <v/>
      </c>
      <c r="H39" s="10">
        <f>IF(OR($A39="",H$4=""),"",IFERROR(INDEX('All Data'!$H$5:$H$2001,MATCH(1,('All Data'!$J$5:$J$2001=$A39)*('All Data'!$B$5:$B$2001=H$4)*('All Data'!$A$5:$A$2001=MAX(IF(('All Data'!$J$5:$J$2001=$A39)*('All Data'!$B$5:$B$2001=H$4),'All Data'!$A$5:$A$2001))),0)),""))</f>
        <v/>
      </c>
      <c r="I39" s="10">
        <f>IF(OR($A39="",I$4=""),"",IFERROR(INDEX('All Data'!$H$5:$H$2001,MATCH(1,('All Data'!$J$5:$J$2001=$A39)*('All Data'!$B$5:$B$2001=I$4)*('All Data'!$A$5:$A$2001=MAX(IF(('All Data'!$J$5:$J$2001=$A39)*('All Data'!$B$5:$B$2001=I$4),'All Data'!$A$5:$A$2001))),0)),""))</f>
        <v/>
      </c>
      <c r="J39" s="10">
        <f>IFERROR(MIN(D39,E39,F39,G39,H39,I39),"")</f>
        <v/>
      </c>
      <c r="K39" s="10">
        <f>IFERROR(MAX(D39,E39,F39,G39,H39,I39),"")</f>
        <v/>
      </c>
      <c r="L39" s="10">
        <f>IF(OR(J39="",K39=""),"",K39-J39)</f>
        <v/>
      </c>
      <c r="M39" s="12">
        <f>IFERROR(INDEX($D$4:$I$4,MATCH(J39,$D39:$I39,0)),"")</f>
        <v/>
      </c>
    </row>
    <row r="40">
      <c r="A40" s="12">
        <f>'Item List'!A40</f>
        <v/>
      </c>
      <c r="B40" s="12">
        <f>'Item List'!B40</f>
        <v/>
      </c>
      <c r="C40" s="12">
        <f>'Item List'!C40</f>
        <v/>
      </c>
      <c r="D40" s="10">
        <f>IF(OR($A40="",D$4=""),"",IFERROR(INDEX('All Data'!$H$5:$H$2001,MATCH(1,('All Data'!$J$5:$J$2001=$A40)*('All Data'!$B$5:$B$2001=D$4)*('All Data'!$A$5:$A$2001=MAX(IF(('All Data'!$J$5:$J$2001=$A40)*('All Data'!$B$5:$B$2001=D$4),'All Data'!$A$5:$A$2001))),0)),""))</f>
        <v/>
      </c>
      <c r="E40" s="10">
        <f>IF(OR($A40="",E$4=""),"",IFERROR(INDEX('All Data'!$H$5:$H$2001,MATCH(1,('All Data'!$J$5:$J$2001=$A40)*('All Data'!$B$5:$B$2001=E$4)*('All Data'!$A$5:$A$2001=MAX(IF(('All Data'!$J$5:$J$2001=$A40)*('All Data'!$B$5:$B$2001=E$4),'All Data'!$A$5:$A$2001))),0)),""))</f>
        <v/>
      </c>
      <c r="F40" s="10">
        <f>IF(OR($A40="",F$4=""),"",IFERROR(INDEX('All Data'!$H$5:$H$2001,MATCH(1,('All Data'!$J$5:$J$2001=$A40)*('All Data'!$B$5:$B$2001=F$4)*('All Data'!$A$5:$A$2001=MAX(IF(('All Data'!$J$5:$J$2001=$A40)*('All Data'!$B$5:$B$2001=F$4),'All Data'!$A$5:$A$2001))),0)),""))</f>
        <v/>
      </c>
      <c r="G40" s="10">
        <f>IF(OR($A40="",G$4=""),"",IFERROR(INDEX('All Data'!$H$5:$H$2001,MATCH(1,('All Data'!$J$5:$J$2001=$A40)*('All Data'!$B$5:$B$2001=G$4)*('All Data'!$A$5:$A$2001=MAX(IF(('All Data'!$J$5:$J$2001=$A40)*('All Data'!$B$5:$B$2001=G$4),'All Data'!$A$5:$A$2001))),0)),""))</f>
        <v/>
      </c>
      <c r="H40" s="10">
        <f>IF(OR($A40="",H$4=""),"",IFERROR(INDEX('All Data'!$H$5:$H$2001,MATCH(1,('All Data'!$J$5:$J$2001=$A40)*('All Data'!$B$5:$B$2001=H$4)*('All Data'!$A$5:$A$2001=MAX(IF(('All Data'!$J$5:$J$2001=$A40)*('All Data'!$B$5:$B$2001=H$4),'All Data'!$A$5:$A$2001))),0)),""))</f>
        <v/>
      </c>
      <c r="I40" s="10">
        <f>IF(OR($A40="",I$4=""),"",IFERROR(INDEX('All Data'!$H$5:$H$2001,MATCH(1,('All Data'!$J$5:$J$2001=$A40)*('All Data'!$B$5:$B$2001=I$4)*('All Data'!$A$5:$A$2001=MAX(IF(('All Data'!$J$5:$J$2001=$A40)*('All Data'!$B$5:$B$2001=I$4),'All Data'!$A$5:$A$2001))),0)),""))</f>
        <v/>
      </c>
      <c r="J40" s="10">
        <f>IFERROR(MIN(D40,E40,F40,G40,H40,I40),"")</f>
        <v/>
      </c>
      <c r="K40" s="10">
        <f>IFERROR(MAX(D40,E40,F40,G40,H40,I40),"")</f>
        <v/>
      </c>
      <c r="L40" s="10">
        <f>IF(OR(J40="",K40=""),"",K40-J40)</f>
        <v/>
      </c>
      <c r="M40" s="12">
        <f>IFERROR(INDEX($D$4:$I$4,MATCH(J40,$D40:$I40,0)),"")</f>
        <v/>
      </c>
    </row>
    <row r="41">
      <c r="A41" s="12">
        <f>'Item List'!A41</f>
        <v/>
      </c>
      <c r="B41" s="12">
        <f>'Item List'!B41</f>
        <v/>
      </c>
      <c r="C41" s="12">
        <f>'Item List'!C41</f>
        <v/>
      </c>
      <c r="D41" s="10">
        <f>IF(OR($A41="",D$4=""),"",IFERROR(INDEX('All Data'!$H$5:$H$2001,MATCH(1,('All Data'!$J$5:$J$2001=$A41)*('All Data'!$B$5:$B$2001=D$4)*('All Data'!$A$5:$A$2001=MAX(IF(('All Data'!$J$5:$J$2001=$A41)*('All Data'!$B$5:$B$2001=D$4),'All Data'!$A$5:$A$2001))),0)),""))</f>
        <v/>
      </c>
      <c r="E41" s="10">
        <f>IF(OR($A41="",E$4=""),"",IFERROR(INDEX('All Data'!$H$5:$H$2001,MATCH(1,('All Data'!$J$5:$J$2001=$A41)*('All Data'!$B$5:$B$2001=E$4)*('All Data'!$A$5:$A$2001=MAX(IF(('All Data'!$J$5:$J$2001=$A41)*('All Data'!$B$5:$B$2001=E$4),'All Data'!$A$5:$A$2001))),0)),""))</f>
        <v/>
      </c>
      <c r="F41" s="10">
        <f>IF(OR($A41="",F$4=""),"",IFERROR(INDEX('All Data'!$H$5:$H$2001,MATCH(1,('All Data'!$J$5:$J$2001=$A41)*('All Data'!$B$5:$B$2001=F$4)*('All Data'!$A$5:$A$2001=MAX(IF(('All Data'!$J$5:$J$2001=$A41)*('All Data'!$B$5:$B$2001=F$4),'All Data'!$A$5:$A$2001))),0)),""))</f>
        <v/>
      </c>
      <c r="G41" s="10">
        <f>IF(OR($A41="",G$4=""),"",IFERROR(INDEX('All Data'!$H$5:$H$2001,MATCH(1,('All Data'!$J$5:$J$2001=$A41)*('All Data'!$B$5:$B$2001=G$4)*('All Data'!$A$5:$A$2001=MAX(IF(('All Data'!$J$5:$J$2001=$A41)*('All Data'!$B$5:$B$2001=G$4),'All Data'!$A$5:$A$2001))),0)),""))</f>
        <v/>
      </c>
      <c r="H41" s="10">
        <f>IF(OR($A41="",H$4=""),"",IFERROR(INDEX('All Data'!$H$5:$H$2001,MATCH(1,('All Data'!$J$5:$J$2001=$A41)*('All Data'!$B$5:$B$2001=H$4)*('All Data'!$A$5:$A$2001=MAX(IF(('All Data'!$J$5:$J$2001=$A41)*('All Data'!$B$5:$B$2001=H$4),'All Data'!$A$5:$A$2001))),0)),""))</f>
        <v/>
      </c>
      <c r="I41" s="10">
        <f>IF(OR($A41="",I$4=""),"",IFERROR(INDEX('All Data'!$H$5:$H$2001,MATCH(1,('All Data'!$J$5:$J$2001=$A41)*('All Data'!$B$5:$B$2001=I$4)*('All Data'!$A$5:$A$2001=MAX(IF(('All Data'!$J$5:$J$2001=$A41)*('All Data'!$B$5:$B$2001=I$4),'All Data'!$A$5:$A$2001))),0)),""))</f>
        <v/>
      </c>
      <c r="J41" s="10">
        <f>IFERROR(MIN(D41,E41,F41,G41,H41,I41),"")</f>
        <v/>
      </c>
      <c r="K41" s="10">
        <f>IFERROR(MAX(D41,E41,F41,G41,H41,I41),"")</f>
        <v/>
      </c>
      <c r="L41" s="10">
        <f>IF(OR(J41="",K41=""),"",K41-J41)</f>
        <v/>
      </c>
      <c r="M41" s="12">
        <f>IFERROR(INDEX($D$4:$I$4,MATCH(J41,$D41:$I41,0)),"")</f>
        <v/>
      </c>
    </row>
    <row r="42">
      <c r="A42" s="12">
        <f>'Item List'!A42</f>
        <v/>
      </c>
      <c r="B42" s="12">
        <f>'Item List'!B42</f>
        <v/>
      </c>
      <c r="C42" s="12">
        <f>'Item List'!C42</f>
        <v/>
      </c>
      <c r="D42" s="10">
        <f>IF(OR($A42="",D$4=""),"",IFERROR(INDEX('All Data'!$H$5:$H$2001,MATCH(1,('All Data'!$J$5:$J$2001=$A42)*('All Data'!$B$5:$B$2001=D$4)*('All Data'!$A$5:$A$2001=MAX(IF(('All Data'!$J$5:$J$2001=$A42)*('All Data'!$B$5:$B$2001=D$4),'All Data'!$A$5:$A$2001))),0)),""))</f>
        <v/>
      </c>
      <c r="E42" s="10">
        <f>IF(OR($A42="",E$4=""),"",IFERROR(INDEX('All Data'!$H$5:$H$2001,MATCH(1,('All Data'!$J$5:$J$2001=$A42)*('All Data'!$B$5:$B$2001=E$4)*('All Data'!$A$5:$A$2001=MAX(IF(('All Data'!$J$5:$J$2001=$A42)*('All Data'!$B$5:$B$2001=E$4),'All Data'!$A$5:$A$2001))),0)),""))</f>
        <v/>
      </c>
      <c r="F42" s="10">
        <f>IF(OR($A42="",F$4=""),"",IFERROR(INDEX('All Data'!$H$5:$H$2001,MATCH(1,('All Data'!$J$5:$J$2001=$A42)*('All Data'!$B$5:$B$2001=F$4)*('All Data'!$A$5:$A$2001=MAX(IF(('All Data'!$J$5:$J$2001=$A42)*('All Data'!$B$5:$B$2001=F$4),'All Data'!$A$5:$A$2001))),0)),""))</f>
        <v/>
      </c>
      <c r="G42" s="10">
        <f>IF(OR($A42="",G$4=""),"",IFERROR(INDEX('All Data'!$H$5:$H$2001,MATCH(1,('All Data'!$J$5:$J$2001=$A42)*('All Data'!$B$5:$B$2001=G$4)*('All Data'!$A$5:$A$2001=MAX(IF(('All Data'!$J$5:$J$2001=$A42)*('All Data'!$B$5:$B$2001=G$4),'All Data'!$A$5:$A$2001))),0)),""))</f>
        <v/>
      </c>
      <c r="H42" s="10">
        <f>IF(OR($A42="",H$4=""),"",IFERROR(INDEX('All Data'!$H$5:$H$2001,MATCH(1,('All Data'!$J$5:$J$2001=$A42)*('All Data'!$B$5:$B$2001=H$4)*('All Data'!$A$5:$A$2001=MAX(IF(('All Data'!$J$5:$J$2001=$A42)*('All Data'!$B$5:$B$2001=H$4),'All Data'!$A$5:$A$2001))),0)),""))</f>
        <v/>
      </c>
      <c r="I42" s="10">
        <f>IF(OR($A42="",I$4=""),"",IFERROR(INDEX('All Data'!$H$5:$H$2001,MATCH(1,('All Data'!$J$5:$J$2001=$A42)*('All Data'!$B$5:$B$2001=I$4)*('All Data'!$A$5:$A$2001=MAX(IF(('All Data'!$J$5:$J$2001=$A42)*('All Data'!$B$5:$B$2001=I$4),'All Data'!$A$5:$A$2001))),0)),""))</f>
        <v/>
      </c>
      <c r="J42" s="10">
        <f>IFERROR(MIN(D42,E42,F42,G42,H42,I42),"")</f>
        <v/>
      </c>
      <c r="K42" s="10">
        <f>IFERROR(MAX(D42,E42,F42,G42,H42,I42),"")</f>
        <v/>
      </c>
      <c r="L42" s="10">
        <f>IF(OR(J42="",K42=""),"",K42-J42)</f>
        <v/>
      </c>
      <c r="M42" s="12">
        <f>IFERROR(INDEX($D$4:$I$4,MATCH(J42,$D42:$I42,0)),"")</f>
        <v/>
      </c>
    </row>
    <row r="43">
      <c r="A43" s="12">
        <f>'Item List'!A43</f>
        <v/>
      </c>
      <c r="B43" s="12">
        <f>'Item List'!B43</f>
        <v/>
      </c>
      <c r="C43" s="12">
        <f>'Item List'!C43</f>
        <v/>
      </c>
      <c r="D43" s="10">
        <f>IF(OR($A43="",D$4=""),"",IFERROR(INDEX('All Data'!$H$5:$H$2001,MATCH(1,('All Data'!$J$5:$J$2001=$A43)*('All Data'!$B$5:$B$2001=D$4)*('All Data'!$A$5:$A$2001=MAX(IF(('All Data'!$J$5:$J$2001=$A43)*('All Data'!$B$5:$B$2001=D$4),'All Data'!$A$5:$A$2001))),0)),""))</f>
        <v/>
      </c>
      <c r="E43" s="10">
        <f>IF(OR($A43="",E$4=""),"",IFERROR(INDEX('All Data'!$H$5:$H$2001,MATCH(1,('All Data'!$J$5:$J$2001=$A43)*('All Data'!$B$5:$B$2001=E$4)*('All Data'!$A$5:$A$2001=MAX(IF(('All Data'!$J$5:$J$2001=$A43)*('All Data'!$B$5:$B$2001=E$4),'All Data'!$A$5:$A$2001))),0)),""))</f>
        <v/>
      </c>
      <c r="F43" s="10">
        <f>IF(OR($A43="",F$4=""),"",IFERROR(INDEX('All Data'!$H$5:$H$2001,MATCH(1,('All Data'!$J$5:$J$2001=$A43)*('All Data'!$B$5:$B$2001=F$4)*('All Data'!$A$5:$A$2001=MAX(IF(('All Data'!$J$5:$J$2001=$A43)*('All Data'!$B$5:$B$2001=F$4),'All Data'!$A$5:$A$2001))),0)),""))</f>
        <v/>
      </c>
      <c r="G43" s="10">
        <f>IF(OR($A43="",G$4=""),"",IFERROR(INDEX('All Data'!$H$5:$H$2001,MATCH(1,('All Data'!$J$5:$J$2001=$A43)*('All Data'!$B$5:$B$2001=G$4)*('All Data'!$A$5:$A$2001=MAX(IF(('All Data'!$J$5:$J$2001=$A43)*('All Data'!$B$5:$B$2001=G$4),'All Data'!$A$5:$A$2001))),0)),""))</f>
        <v/>
      </c>
      <c r="H43" s="10">
        <f>IF(OR($A43="",H$4=""),"",IFERROR(INDEX('All Data'!$H$5:$H$2001,MATCH(1,('All Data'!$J$5:$J$2001=$A43)*('All Data'!$B$5:$B$2001=H$4)*('All Data'!$A$5:$A$2001=MAX(IF(('All Data'!$J$5:$J$2001=$A43)*('All Data'!$B$5:$B$2001=H$4),'All Data'!$A$5:$A$2001))),0)),""))</f>
        <v/>
      </c>
      <c r="I43" s="10">
        <f>IF(OR($A43="",I$4=""),"",IFERROR(INDEX('All Data'!$H$5:$H$2001,MATCH(1,('All Data'!$J$5:$J$2001=$A43)*('All Data'!$B$5:$B$2001=I$4)*('All Data'!$A$5:$A$2001=MAX(IF(('All Data'!$J$5:$J$2001=$A43)*('All Data'!$B$5:$B$2001=I$4),'All Data'!$A$5:$A$2001))),0)),""))</f>
        <v/>
      </c>
      <c r="J43" s="10">
        <f>IFERROR(MIN(D43,E43,F43,G43,H43,I43),"")</f>
        <v/>
      </c>
      <c r="K43" s="10">
        <f>IFERROR(MAX(D43,E43,F43,G43,H43,I43),"")</f>
        <v/>
      </c>
      <c r="L43" s="10">
        <f>IF(OR(J43="",K43=""),"",K43-J43)</f>
        <v/>
      </c>
      <c r="M43" s="12">
        <f>IFERROR(INDEX($D$4:$I$4,MATCH(J43,$D43:$I43,0)),"")</f>
        <v/>
      </c>
    </row>
    <row r="44">
      <c r="A44" s="12">
        <f>'Item List'!A44</f>
        <v/>
      </c>
      <c r="B44" s="12">
        <f>'Item List'!B44</f>
        <v/>
      </c>
      <c r="C44" s="12">
        <f>'Item List'!C44</f>
        <v/>
      </c>
      <c r="D44" s="10">
        <f>IF(OR($A44="",D$4=""),"",IFERROR(INDEX('All Data'!$H$5:$H$2001,MATCH(1,('All Data'!$J$5:$J$2001=$A44)*('All Data'!$B$5:$B$2001=D$4)*('All Data'!$A$5:$A$2001=MAX(IF(('All Data'!$J$5:$J$2001=$A44)*('All Data'!$B$5:$B$2001=D$4),'All Data'!$A$5:$A$2001))),0)),""))</f>
        <v/>
      </c>
      <c r="E44" s="10">
        <f>IF(OR($A44="",E$4=""),"",IFERROR(INDEX('All Data'!$H$5:$H$2001,MATCH(1,('All Data'!$J$5:$J$2001=$A44)*('All Data'!$B$5:$B$2001=E$4)*('All Data'!$A$5:$A$2001=MAX(IF(('All Data'!$J$5:$J$2001=$A44)*('All Data'!$B$5:$B$2001=E$4),'All Data'!$A$5:$A$2001))),0)),""))</f>
        <v/>
      </c>
      <c r="F44" s="10">
        <f>IF(OR($A44="",F$4=""),"",IFERROR(INDEX('All Data'!$H$5:$H$2001,MATCH(1,('All Data'!$J$5:$J$2001=$A44)*('All Data'!$B$5:$B$2001=F$4)*('All Data'!$A$5:$A$2001=MAX(IF(('All Data'!$J$5:$J$2001=$A44)*('All Data'!$B$5:$B$2001=F$4),'All Data'!$A$5:$A$2001))),0)),""))</f>
        <v/>
      </c>
      <c r="G44" s="10">
        <f>IF(OR($A44="",G$4=""),"",IFERROR(INDEX('All Data'!$H$5:$H$2001,MATCH(1,('All Data'!$J$5:$J$2001=$A44)*('All Data'!$B$5:$B$2001=G$4)*('All Data'!$A$5:$A$2001=MAX(IF(('All Data'!$J$5:$J$2001=$A44)*('All Data'!$B$5:$B$2001=G$4),'All Data'!$A$5:$A$2001))),0)),""))</f>
        <v/>
      </c>
      <c r="H44" s="10">
        <f>IF(OR($A44="",H$4=""),"",IFERROR(INDEX('All Data'!$H$5:$H$2001,MATCH(1,('All Data'!$J$5:$J$2001=$A44)*('All Data'!$B$5:$B$2001=H$4)*('All Data'!$A$5:$A$2001=MAX(IF(('All Data'!$J$5:$J$2001=$A44)*('All Data'!$B$5:$B$2001=H$4),'All Data'!$A$5:$A$2001))),0)),""))</f>
        <v/>
      </c>
      <c r="I44" s="10">
        <f>IF(OR($A44="",I$4=""),"",IFERROR(INDEX('All Data'!$H$5:$H$2001,MATCH(1,('All Data'!$J$5:$J$2001=$A44)*('All Data'!$B$5:$B$2001=I$4)*('All Data'!$A$5:$A$2001=MAX(IF(('All Data'!$J$5:$J$2001=$A44)*('All Data'!$B$5:$B$2001=I$4),'All Data'!$A$5:$A$2001))),0)),""))</f>
        <v/>
      </c>
      <c r="J44" s="10">
        <f>IFERROR(MIN(D44,E44,F44,G44,H44,I44),"")</f>
        <v/>
      </c>
      <c r="K44" s="10">
        <f>IFERROR(MAX(D44,E44,F44,G44,H44,I44),"")</f>
        <v/>
      </c>
      <c r="L44" s="10">
        <f>IF(OR(J44="",K44=""),"",K44-J44)</f>
        <v/>
      </c>
      <c r="M44" s="12">
        <f>IFERROR(INDEX($D$4:$I$4,MATCH(J44,$D44:$I44,0)),"")</f>
        <v/>
      </c>
    </row>
    <row r="45">
      <c r="A45" s="12">
        <f>'Item List'!A45</f>
        <v/>
      </c>
      <c r="B45" s="12">
        <f>'Item List'!B45</f>
        <v/>
      </c>
      <c r="C45" s="12">
        <f>'Item List'!C45</f>
        <v/>
      </c>
      <c r="D45" s="10">
        <f>IF(OR($A45="",D$4=""),"",IFERROR(INDEX('All Data'!$H$5:$H$2001,MATCH(1,('All Data'!$J$5:$J$2001=$A45)*('All Data'!$B$5:$B$2001=D$4)*('All Data'!$A$5:$A$2001=MAX(IF(('All Data'!$J$5:$J$2001=$A45)*('All Data'!$B$5:$B$2001=D$4),'All Data'!$A$5:$A$2001))),0)),""))</f>
        <v/>
      </c>
      <c r="E45" s="10">
        <f>IF(OR($A45="",E$4=""),"",IFERROR(INDEX('All Data'!$H$5:$H$2001,MATCH(1,('All Data'!$J$5:$J$2001=$A45)*('All Data'!$B$5:$B$2001=E$4)*('All Data'!$A$5:$A$2001=MAX(IF(('All Data'!$J$5:$J$2001=$A45)*('All Data'!$B$5:$B$2001=E$4),'All Data'!$A$5:$A$2001))),0)),""))</f>
        <v/>
      </c>
      <c r="F45" s="10">
        <f>IF(OR($A45="",F$4=""),"",IFERROR(INDEX('All Data'!$H$5:$H$2001,MATCH(1,('All Data'!$J$5:$J$2001=$A45)*('All Data'!$B$5:$B$2001=F$4)*('All Data'!$A$5:$A$2001=MAX(IF(('All Data'!$J$5:$J$2001=$A45)*('All Data'!$B$5:$B$2001=F$4),'All Data'!$A$5:$A$2001))),0)),""))</f>
        <v/>
      </c>
      <c r="G45" s="10">
        <f>IF(OR($A45="",G$4=""),"",IFERROR(INDEX('All Data'!$H$5:$H$2001,MATCH(1,('All Data'!$J$5:$J$2001=$A45)*('All Data'!$B$5:$B$2001=G$4)*('All Data'!$A$5:$A$2001=MAX(IF(('All Data'!$J$5:$J$2001=$A45)*('All Data'!$B$5:$B$2001=G$4),'All Data'!$A$5:$A$2001))),0)),""))</f>
        <v/>
      </c>
      <c r="H45" s="10">
        <f>IF(OR($A45="",H$4=""),"",IFERROR(INDEX('All Data'!$H$5:$H$2001,MATCH(1,('All Data'!$J$5:$J$2001=$A45)*('All Data'!$B$5:$B$2001=H$4)*('All Data'!$A$5:$A$2001=MAX(IF(('All Data'!$J$5:$J$2001=$A45)*('All Data'!$B$5:$B$2001=H$4),'All Data'!$A$5:$A$2001))),0)),""))</f>
        <v/>
      </c>
      <c r="I45" s="10">
        <f>IF(OR($A45="",I$4=""),"",IFERROR(INDEX('All Data'!$H$5:$H$2001,MATCH(1,('All Data'!$J$5:$J$2001=$A45)*('All Data'!$B$5:$B$2001=I$4)*('All Data'!$A$5:$A$2001=MAX(IF(('All Data'!$J$5:$J$2001=$A45)*('All Data'!$B$5:$B$2001=I$4),'All Data'!$A$5:$A$2001))),0)),""))</f>
        <v/>
      </c>
      <c r="J45" s="10">
        <f>IFERROR(MIN(D45,E45,F45,G45,H45,I45),"")</f>
        <v/>
      </c>
      <c r="K45" s="10">
        <f>IFERROR(MAX(D45,E45,F45,G45,H45,I45),"")</f>
        <v/>
      </c>
      <c r="L45" s="10">
        <f>IF(OR(J45="",K45=""),"",K45-J45)</f>
        <v/>
      </c>
      <c r="M45" s="12">
        <f>IFERROR(INDEX($D$4:$I$4,MATCH(J45,$D45:$I45,0)),"")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/>
  </sheetPr>
  <dimension ref="A1:N20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16" customWidth="1" min="3" max="3"/>
    <col width="12" customWidth="1" min="4" max="4"/>
    <col width="32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1" customWidth="1" min="13" max="13"/>
    <col width="12" customWidth="1" min="14" max="14"/>
  </cols>
  <sheetData>
    <row r="1">
      <c r="A1" s="2" t="inlineStr">
        <is>
          <t>All Data - full history with price-change analysis</t>
        </is>
      </c>
    </row>
    <row r="2">
      <c r="A2" s="3" t="inlineStr">
        <is>
          <t>Auto-generated from 'Data Entry'. Don't type here - everything is a formula. 'Flag' shows when a price went UP compared to the last time you bought that same item at that same location.</t>
        </is>
      </c>
    </row>
    <row r="4" ht="30" customHeight="1">
      <c r="A4" s="4" t="inlineStr">
        <is>
          <t>Date</t>
        </is>
      </c>
      <c r="B4" s="4" t="inlineStr">
        <is>
          <t>Location</t>
        </is>
      </c>
      <c r="C4" s="4" t="inlineStr">
        <is>
          <t>Supplier</t>
        </is>
      </c>
      <c r="D4" s="4" t="inlineStr">
        <is>
          <t>Item Code</t>
        </is>
      </c>
      <c r="E4" s="4" t="inlineStr">
        <is>
          <t>Item Name</t>
        </is>
      </c>
      <c r="F4" s="4" t="inlineStr">
        <is>
          <t>Unit</t>
        </is>
      </c>
      <c r="G4" s="4" t="inlineStr">
        <is>
          <t>Qty</t>
        </is>
      </c>
      <c r="H4" s="4" t="inlineStr">
        <is>
          <t>Unit Price ($)</t>
        </is>
      </c>
      <c r="I4" s="4" t="inlineStr">
        <is>
          <t>Amount ($)</t>
        </is>
      </c>
      <c r="J4" s="4" t="inlineStr">
        <is>
          <t>Item Key</t>
        </is>
      </c>
      <c r="K4" s="4" t="inlineStr">
        <is>
          <t>Prev Price ($)</t>
        </is>
      </c>
      <c r="L4" s="4" t="inlineStr">
        <is>
          <t>Change ($)</t>
        </is>
      </c>
      <c r="M4" s="4" t="inlineStr">
        <is>
          <t>Change (%)</t>
        </is>
      </c>
      <c r="N4" s="4" t="inlineStr">
        <is>
          <t>Flag</t>
        </is>
      </c>
    </row>
    <row r="5">
      <c r="A5" s="11">
        <f>IF('Data Entry'!A5="","",'Data Entry'!A5)</f>
        <v/>
      </c>
      <c r="B5" s="12">
        <f>IF('Data Entry'!A5="","",'Data Entry'!B5)</f>
        <v/>
      </c>
      <c r="C5" s="12">
        <f>IF('Data Entry'!A5="","",'Data Entry'!C5)</f>
        <v/>
      </c>
      <c r="D5" s="12">
        <f>IF('Data Entry'!A5="","",'Data Entry'!D5)</f>
        <v/>
      </c>
      <c r="E5" s="12">
        <f>IF('Data Entry'!A5="","",'Data Entry'!E5)</f>
        <v/>
      </c>
      <c r="F5" s="12">
        <f>IF('Data Entry'!A5="","",'Data Entry'!F5)</f>
        <v/>
      </c>
      <c r="G5" s="13">
        <f>IF('Data Entry'!A5="","",'Data Entry'!G5)</f>
        <v/>
      </c>
      <c r="H5" s="10">
        <f>IF('Data Entry'!A5="","",'Data Entry'!H5)</f>
        <v/>
      </c>
      <c r="I5" s="10">
        <f>IF('Data Entry'!A5="","",'Data Entry'!I5)</f>
        <v/>
      </c>
      <c r="J5" s="12">
        <f>IF('Data Entry'!A5="","",IF('Data Entry'!D5&lt;&gt;"",'Data Entry'!D5,'Data Entry'!E5))</f>
        <v/>
      </c>
      <c r="K5" s="10">
        <f>IF('Data Entry'!A5="","",IFERROR(SUMIFS($H$5:$H$2001,$J$5:$J$2001,$J5,$B$5:$B$2001,$B5,$A$5:$A$2001,(MAXIFS($A$5:$A$2001,$J$5:$J$2001,$J5,$B$5:$B$2001,$B5,$A$5:$A$2001,"&lt;"&amp;$A5))),""))</f>
        <v/>
      </c>
      <c r="L5" s="14">
        <f>IF(OR('Data Entry'!A5="",$K5=""),"",$H5-$K5)</f>
        <v/>
      </c>
      <c r="M5" s="15">
        <f>IF(OR('Data Entry'!A5="",$K5="",$K5=0),"",$L5/$K5)</f>
        <v/>
      </c>
      <c r="N5" s="12">
        <f>IF('Data Entry'!A5="","",IF($L5="","New item",IF($L5&gt;0,"UP",IF($L5&lt;0,"down","same"))))</f>
        <v/>
      </c>
    </row>
    <row r="6">
      <c r="A6" s="11">
        <f>IF('Data Entry'!A6="","",'Data Entry'!A6)</f>
        <v/>
      </c>
      <c r="B6" s="12">
        <f>IF('Data Entry'!A6="","",'Data Entry'!B6)</f>
        <v/>
      </c>
      <c r="C6" s="12">
        <f>IF('Data Entry'!A6="","",'Data Entry'!C6)</f>
        <v/>
      </c>
      <c r="D6" s="12">
        <f>IF('Data Entry'!A6="","",'Data Entry'!D6)</f>
        <v/>
      </c>
      <c r="E6" s="12">
        <f>IF('Data Entry'!A6="","",'Data Entry'!E6)</f>
        <v/>
      </c>
      <c r="F6" s="12">
        <f>IF('Data Entry'!A6="","",'Data Entry'!F6)</f>
        <v/>
      </c>
      <c r="G6" s="13">
        <f>IF('Data Entry'!A6="","",'Data Entry'!G6)</f>
        <v/>
      </c>
      <c r="H6" s="10">
        <f>IF('Data Entry'!A6="","",'Data Entry'!H6)</f>
        <v/>
      </c>
      <c r="I6" s="10">
        <f>IF('Data Entry'!A6="","",'Data Entry'!I6)</f>
        <v/>
      </c>
      <c r="J6" s="12">
        <f>IF('Data Entry'!A6="","",IF('Data Entry'!D6&lt;&gt;"",'Data Entry'!D6,'Data Entry'!E6))</f>
        <v/>
      </c>
      <c r="K6" s="10">
        <f>IF('Data Entry'!A6="","",IFERROR(SUMIFS($H$5:$H$2001,$J$5:$J$2001,$J6,$B$5:$B$2001,$B6,$A$5:$A$2001,(MAXIFS($A$5:$A$2001,$J$5:$J$2001,$J6,$B$5:$B$2001,$B6,$A$5:$A$2001,"&lt;"&amp;$A6))),""))</f>
        <v/>
      </c>
      <c r="L6" s="14">
        <f>IF(OR('Data Entry'!A6="",$K6=""),"",$H6-$K6)</f>
        <v/>
      </c>
      <c r="M6" s="15">
        <f>IF(OR('Data Entry'!A6="",$K6="",$K6=0),"",$L6/$K6)</f>
        <v/>
      </c>
      <c r="N6" s="12">
        <f>IF('Data Entry'!A6="","",IF($L6="","New item",IF($L6&gt;0,"UP",IF($L6&lt;0,"down","same"))))</f>
        <v/>
      </c>
    </row>
    <row r="7">
      <c r="A7" s="11">
        <f>IF('Data Entry'!A7="","",'Data Entry'!A7)</f>
        <v/>
      </c>
      <c r="B7" s="12">
        <f>IF('Data Entry'!A7="","",'Data Entry'!B7)</f>
        <v/>
      </c>
      <c r="C7" s="12">
        <f>IF('Data Entry'!A7="","",'Data Entry'!C7)</f>
        <v/>
      </c>
      <c r="D7" s="12">
        <f>IF('Data Entry'!A7="","",'Data Entry'!D7)</f>
        <v/>
      </c>
      <c r="E7" s="12">
        <f>IF('Data Entry'!A7="","",'Data Entry'!E7)</f>
        <v/>
      </c>
      <c r="F7" s="12">
        <f>IF('Data Entry'!A7="","",'Data Entry'!F7)</f>
        <v/>
      </c>
      <c r="G7" s="13">
        <f>IF('Data Entry'!A7="","",'Data Entry'!G7)</f>
        <v/>
      </c>
      <c r="H7" s="10">
        <f>IF('Data Entry'!A7="","",'Data Entry'!H7)</f>
        <v/>
      </c>
      <c r="I7" s="10">
        <f>IF('Data Entry'!A7="","",'Data Entry'!I7)</f>
        <v/>
      </c>
      <c r="J7" s="12">
        <f>IF('Data Entry'!A7="","",IF('Data Entry'!D7&lt;&gt;"",'Data Entry'!D7,'Data Entry'!E7))</f>
        <v/>
      </c>
      <c r="K7" s="10">
        <f>IF('Data Entry'!A7="","",IFERROR(SUMIFS($H$5:$H$2001,$J$5:$J$2001,$J7,$B$5:$B$2001,$B7,$A$5:$A$2001,(MAXIFS($A$5:$A$2001,$J$5:$J$2001,$J7,$B$5:$B$2001,$B7,$A$5:$A$2001,"&lt;"&amp;$A7))),""))</f>
        <v/>
      </c>
      <c r="L7" s="14">
        <f>IF(OR('Data Entry'!A7="",$K7=""),"",$H7-$K7)</f>
        <v/>
      </c>
      <c r="M7" s="15">
        <f>IF(OR('Data Entry'!A7="",$K7="",$K7=0),"",$L7/$K7)</f>
        <v/>
      </c>
      <c r="N7" s="12">
        <f>IF('Data Entry'!A7="","",IF($L7="","New item",IF($L7&gt;0,"UP",IF($L7&lt;0,"down","same"))))</f>
        <v/>
      </c>
    </row>
    <row r="8">
      <c r="A8" s="11">
        <f>IF('Data Entry'!A8="","",'Data Entry'!A8)</f>
        <v/>
      </c>
      <c r="B8" s="12">
        <f>IF('Data Entry'!A8="","",'Data Entry'!B8)</f>
        <v/>
      </c>
      <c r="C8" s="12">
        <f>IF('Data Entry'!A8="","",'Data Entry'!C8)</f>
        <v/>
      </c>
      <c r="D8" s="12">
        <f>IF('Data Entry'!A8="","",'Data Entry'!D8)</f>
        <v/>
      </c>
      <c r="E8" s="12">
        <f>IF('Data Entry'!A8="","",'Data Entry'!E8)</f>
        <v/>
      </c>
      <c r="F8" s="12">
        <f>IF('Data Entry'!A8="","",'Data Entry'!F8)</f>
        <v/>
      </c>
      <c r="G8" s="13">
        <f>IF('Data Entry'!A8="","",'Data Entry'!G8)</f>
        <v/>
      </c>
      <c r="H8" s="10">
        <f>IF('Data Entry'!A8="","",'Data Entry'!H8)</f>
        <v/>
      </c>
      <c r="I8" s="10">
        <f>IF('Data Entry'!A8="","",'Data Entry'!I8)</f>
        <v/>
      </c>
      <c r="J8" s="12">
        <f>IF('Data Entry'!A8="","",IF('Data Entry'!D8&lt;&gt;"",'Data Entry'!D8,'Data Entry'!E8))</f>
        <v/>
      </c>
      <c r="K8" s="10">
        <f>IF('Data Entry'!A8="","",IFERROR(SUMIFS($H$5:$H$2001,$J$5:$J$2001,$J8,$B$5:$B$2001,$B8,$A$5:$A$2001,(MAXIFS($A$5:$A$2001,$J$5:$J$2001,$J8,$B$5:$B$2001,$B8,$A$5:$A$2001,"&lt;"&amp;$A8))),""))</f>
        <v/>
      </c>
      <c r="L8" s="14">
        <f>IF(OR('Data Entry'!A8="",$K8=""),"",$H8-$K8)</f>
        <v/>
      </c>
      <c r="M8" s="15">
        <f>IF(OR('Data Entry'!A8="",$K8="",$K8=0),"",$L8/$K8)</f>
        <v/>
      </c>
      <c r="N8" s="12">
        <f>IF('Data Entry'!A8="","",IF($L8="","New item",IF($L8&gt;0,"UP",IF($L8&lt;0,"down","same"))))</f>
        <v/>
      </c>
    </row>
    <row r="9">
      <c r="A9" s="11">
        <f>IF('Data Entry'!A9="","",'Data Entry'!A9)</f>
        <v/>
      </c>
      <c r="B9" s="12">
        <f>IF('Data Entry'!A9="","",'Data Entry'!B9)</f>
        <v/>
      </c>
      <c r="C9" s="12">
        <f>IF('Data Entry'!A9="","",'Data Entry'!C9)</f>
        <v/>
      </c>
      <c r="D9" s="12">
        <f>IF('Data Entry'!A9="","",'Data Entry'!D9)</f>
        <v/>
      </c>
      <c r="E9" s="12">
        <f>IF('Data Entry'!A9="","",'Data Entry'!E9)</f>
        <v/>
      </c>
      <c r="F9" s="12">
        <f>IF('Data Entry'!A9="","",'Data Entry'!F9)</f>
        <v/>
      </c>
      <c r="G9" s="13">
        <f>IF('Data Entry'!A9="","",'Data Entry'!G9)</f>
        <v/>
      </c>
      <c r="H9" s="10">
        <f>IF('Data Entry'!A9="","",'Data Entry'!H9)</f>
        <v/>
      </c>
      <c r="I9" s="10">
        <f>IF('Data Entry'!A9="","",'Data Entry'!I9)</f>
        <v/>
      </c>
      <c r="J9" s="12">
        <f>IF('Data Entry'!A9="","",IF('Data Entry'!D9&lt;&gt;"",'Data Entry'!D9,'Data Entry'!E9))</f>
        <v/>
      </c>
      <c r="K9" s="10">
        <f>IF('Data Entry'!A9="","",IFERROR(SUMIFS($H$5:$H$2001,$J$5:$J$2001,$J9,$B$5:$B$2001,$B9,$A$5:$A$2001,(MAXIFS($A$5:$A$2001,$J$5:$J$2001,$J9,$B$5:$B$2001,$B9,$A$5:$A$2001,"&lt;"&amp;$A9))),""))</f>
        <v/>
      </c>
      <c r="L9" s="14">
        <f>IF(OR('Data Entry'!A9="",$K9=""),"",$H9-$K9)</f>
        <v/>
      </c>
      <c r="M9" s="15">
        <f>IF(OR('Data Entry'!A9="",$K9="",$K9=0),"",$L9/$K9)</f>
        <v/>
      </c>
      <c r="N9" s="12">
        <f>IF('Data Entry'!A9="","",IF($L9="","New item",IF($L9&gt;0,"UP",IF($L9&lt;0,"down","same"))))</f>
        <v/>
      </c>
    </row>
    <row r="10">
      <c r="A10" s="11">
        <f>IF('Data Entry'!A10="","",'Data Entry'!A10)</f>
        <v/>
      </c>
      <c r="B10" s="12">
        <f>IF('Data Entry'!A10="","",'Data Entry'!B10)</f>
        <v/>
      </c>
      <c r="C10" s="12">
        <f>IF('Data Entry'!A10="","",'Data Entry'!C10)</f>
        <v/>
      </c>
      <c r="D10" s="12">
        <f>IF('Data Entry'!A10="","",'Data Entry'!D10)</f>
        <v/>
      </c>
      <c r="E10" s="12">
        <f>IF('Data Entry'!A10="","",'Data Entry'!E10)</f>
        <v/>
      </c>
      <c r="F10" s="12">
        <f>IF('Data Entry'!A10="","",'Data Entry'!F10)</f>
        <v/>
      </c>
      <c r="G10" s="13">
        <f>IF('Data Entry'!A10="","",'Data Entry'!G10)</f>
        <v/>
      </c>
      <c r="H10" s="10">
        <f>IF('Data Entry'!A10="","",'Data Entry'!H10)</f>
        <v/>
      </c>
      <c r="I10" s="10">
        <f>IF('Data Entry'!A10="","",'Data Entry'!I10)</f>
        <v/>
      </c>
      <c r="J10" s="12">
        <f>IF('Data Entry'!A10="","",IF('Data Entry'!D10&lt;&gt;"",'Data Entry'!D10,'Data Entry'!E10))</f>
        <v/>
      </c>
      <c r="K10" s="10">
        <f>IF('Data Entry'!A10="","",IFERROR(SUMIFS($H$5:$H$2001,$J$5:$J$2001,$J10,$B$5:$B$2001,$B10,$A$5:$A$2001,(MAXIFS($A$5:$A$2001,$J$5:$J$2001,$J10,$B$5:$B$2001,$B10,$A$5:$A$2001,"&lt;"&amp;$A10))),""))</f>
        <v/>
      </c>
      <c r="L10" s="14">
        <f>IF(OR('Data Entry'!A10="",$K10=""),"",$H10-$K10)</f>
        <v/>
      </c>
      <c r="M10" s="15">
        <f>IF(OR('Data Entry'!A10="",$K10="",$K10=0),"",$L10/$K10)</f>
        <v/>
      </c>
      <c r="N10" s="12">
        <f>IF('Data Entry'!A10="","",IF($L10="","New item",IF($L10&gt;0,"UP",IF($L10&lt;0,"down","same"))))</f>
        <v/>
      </c>
    </row>
    <row r="11">
      <c r="A11" s="11">
        <f>IF('Data Entry'!A11="","",'Data Entry'!A11)</f>
        <v/>
      </c>
      <c r="B11" s="12">
        <f>IF('Data Entry'!A11="","",'Data Entry'!B11)</f>
        <v/>
      </c>
      <c r="C11" s="12">
        <f>IF('Data Entry'!A11="","",'Data Entry'!C11)</f>
        <v/>
      </c>
      <c r="D11" s="12">
        <f>IF('Data Entry'!A11="","",'Data Entry'!D11)</f>
        <v/>
      </c>
      <c r="E11" s="12">
        <f>IF('Data Entry'!A11="","",'Data Entry'!E11)</f>
        <v/>
      </c>
      <c r="F11" s="12">
        <f>IF('Data Entry'!A11="","",'Data Entry'!F11)</f>
        <v/>
      </c>
      <c r="G11" s="13">
        <f>IF('Data Entry'!A11="","",'Data Entry'!G11)</f>
        <v/>
      </c>
      <c r="H11" s="10">
        <f>IF('Data Entry'!A11="","",'Data Entry'!H11)</f>
        <v/>
      </c>
      <c r="I11" s="10">
        <f>IF('Data Entry'!A11="","",'Data Entry'!I11)</f>
        <v/>
      </c>
      <c r="J11" s="12">
        <f>IF('Data Entry'!A11="","",IF('Data Entry'!D11&lt;&gt;"",'Data Entry'!D11,'Data Entry'!E11))</f>
        <v/>
      </c>
      <c r="K11" s="10">
        <f>IF('Data Entry'!A11="","",IFERROR(SUMIFS($H$5:$H$2001,$J$5:$J$2001,$J11,$B$5:$B$2001,$B11,$A$5:$A$2001,(MAXIFS($A$5:$A$2001,$J$5:$J$2001,$J11,$B$5:$B$2001,$B11,$A$5:$A$2001,"&lt;"&amp;$A11))),""))</f>
        <v/>
      </c>
      <c r="L11" s="14">
        <f>IF(OR('Data Entry'!A11="",$K11=""),"",$H11-$K11)</f>
        <v/>
      </c>
      <c r="M11" s="15">
        <f>IF(OR('Data Entry'!A11="",$K11="",$K11=0),"",$L11/$K11)</f>
        <v/>
      </c>
      <c r="N11" s="12">
        <f>IF('Data Entry'!A11="","",IF($L11="","New item",IF($L11&gt;0,"UP",IF($L11&lt;0,"down","same"))))</f>
        <v/>
      </c>
    </row>
    <row r="12">
      <c r="A12" s="11">
        <f>IF('Data Entry'!A12="","",'Data Entry'!A12)</f>
        <v/>
      </c>
      <c r="B12" s="12">
        <f>IF('Data Entry'!A12="","",'Data Entry'!B12)</f>
        <v/>
      </c>
      <c r="C12" s="12">
        <f>IF('Data Entry'!A12="","",'Data Entry'!C12)</f>
        <v/>
      </c>
      <c r="D12" s="12">
        <f>IF('Data Entry'!A12="","",'Data Entry'!D12)</f>
        <v/>
      </c>
      <c r="E12" s="12">
        <f>IF('Data Entry'!A12="","",'Data Entry'!E12)</f>
        <v/>
      </c>
      <c r="F12" s="12">
        <f>IF('Data Entry'!A12="","",'Data Entry'!F12)</f>
        <v/>
      </c>
      <c r="G12" s="13">
        <f>IF('Data Entry'!A12="","",'Data Entry'!G12)</f>
        <v/>
      </c>
      <c r="H12" s="10">
        <f>IF('Data Entry'!A12="","",'Data Entry'!H12)</f>
        <v/>
      </c>
      <c r="I12" s="10">
        <f>IF('Data Entry'!A12="","",'Data Entry'!I12)</f>
        <v/>
      </c>
      <c r="J12" s="12">
        <f>IF('Data Entry'!A12="","",IF('Data Entry'!D12&lt;&gt;"",'Data Entry'!D12,'Data Entry'!E12))</f>
        <v/>
      </c>
      <c r="K12" s="10">
        <f>IF('Data Entry'!A12="","",IFERROR(SUMIFS($H$5:$H$2001,$J$5:$J$2001,$J12,$B$5:$B$2001,$B12,$A$5:$A$2001,(MAXIFS($A$5:$A$2001,$J$5:$J$2001,$J12,$B$5:$B$2001,$B12,$A$5:$A$2001,"&lt;"&amp;$A12))),""))</f>
        <v/>
      </c>
      <c r="L12" s="14">
        <f>IF(OR('Data Entry'!A12="",$K12=""),"",$H12-$K12)</f>
        <v/>
      </c>
      <c r="M12" s="15">
        <f>IF(OR('Data Entry'!A12="",$K12="",$K12=0),"",$L12/$K12)</f>
        <v/>
      </c>
      <c r="N12" s="12">
        <f>IF('Data Entry'!A12="","",IF($L12="","New item",IF($L12&gt;0,"UP",IF($L12&lt;0,"down","same"))))</f>
        <v/>
      </c>
    </row>
    <row r="13">
      <c r="A13" s="11">
        <f>IF('Data Entry'!A13="","",'Data Entry'!A13)</f>
        <v/>
      </c>
      <c r="B13" s="12">
        <f>IF('Data Entry'!A13="","",'Data Entry'!B13)</f>
        <v/>
      </c>
      <c r="C13" s="12">
        <f>IF('Data Entry'!A13="","",'Data Entry'!C13)</f>
        <v/>
      </c>
      <c r="D13" s="12">
        <f>IF('Data Entry'!A13="","",'Data Entry'!D13)</f>
        <v/>
      </c>
      <c r="E13" s="12">
        <f>IF('Data Entry'!A13="","",'Data Entry'!E13)</f>
        <v/>
      </c>
      <c r="F13" s="12">
        <f>IF('Data Entry'!A13="","",'Data Entry'!F13)</f>
        <v/>
      </c>
      <c r="G13" s="13">
        <f>IF('Data Entry'!A13="","",'Data Entry'!G13)</f>
        <v/>
      </c>
      <c r="H13" s="10">
        <f>IF('Data Entry'!A13="","",'Data Entry'!H13)</f>
        <v/>
      </c>
      <c r="I13" s="10">
        <f>IF('Data Entry'!A13="","",'Data Entry'!I13)</f>
        <v/>
      </c>
      <c r="J13" s="12">
        <f>IF('Data Entry'!A13="","",IF('Data Entry'!D13&lt;&gt;"",'Data Entry'!D13,'Data Entry'!E13))</f>
        <v/>
      </c>
      <c r="K13" s="10">
        <f>IF('Data Entry'!A13="","",IFERROR(SUMIFS($H$5:$H$2001,$J$5:$J$2001,$J13,$B$5:$B$2001,$B13,$A$5:$A$2001,(MAXIFS($A$5:$A$2001,$J$5:$J$2001,$J13,$B$5:$B$2001,$B13,$A$5:$A$2001,"&lt;"&amp;$A13))),""))</f>
        <v/>
      </c>
      <c r="L13" s="14">
        <f>IF(OR('Data Entry'!A13="",$K13=""),"",$H13-$K13)</f>
        <v/>
      </c>
      <c r="M13" s="15">
        <f>IF(OR('Data Entry'!A13="",$K13="",$K13=0),"",$L13/$K13)</f>
        <v/>
      </c>
      <c r="N13" s="12">
        <f>IF('Data Entry'!A13="","",IF($L13="","New item",IF($L13&gt;0,"UP",IF($L13&lt;0,"down","same"))))</f>
        <v/>
      </c>
    </row>
    <row r="14">
      <c r="A14" s="11">
        <f>IF('Data Entry'!A14="","",'Data Entry'!A14)</f>
        <v/>
      </c>
      <c r="B14" s="12">
        <f>IF('Data Entry'!A14="","",'Data Entry'!B14)</f>
        <v/>
      </c>
      <c r="C14" s="12">
        <f>IF('Data Entry'!A14="","",'Data Entry'!C14)</f>
        <v/>
      </c>
      <c r="D14" s="12">
        <f>IF('Data Entry'!A14="","",'Data Entry'!D14)</f>
        <v/>
      </c>
      <c r="E14" s="12">
        <f>IF('Data Entry'!A14="","",'Data Entry'!E14)</f>
        <v/>
      </c>
      <c r="F14" s="12">
        <f>IF('Data Entry'!A14="","",'Data Entry'!F14)</f>
        <v/>
      </c>
      <c r="G14" s="13">
        <f>IF('Data Entry'!A14="","",'Data Entry'!G14)</f>
        <v/>
      </c>
      <c r="H14" s="10">
        <f>IF('Data Entry'!A14="","",'Data Entry'!H14)</f>
        <v/>
      </c>
      <c r="I14" s="10">
        <f>IF('Data Entry'!A14="","",'Data Entry'!I14)</f>
        <v/>
      </c>
      <c r="J14" s="12">
        <f>IF('Data Entry'!A14="","",IF('Data Entry'!D14&lt;&gt;"",'Data Entry'!D14,'Data Entry'!E14))</f>
        <v/>
      </c>
      <c r="K14" s="10">
        <f>IF('Data Entry'!A14="","",IFERROR(SUMIFS($H$5:$H$2001,$J$5:$J$2001,$J14,$B$5:$B$2001,$B14,$A$5:$A$2001,(MAXIFS($A$5:$A$2001,$J$5:$J$2001,$J14,$B$5:$B$2001,$B14,$A$5:$A$2001,"&lt;"&amp;$A14))),""))</f>
        <v/>
      </c>
      <c r="L14" s="14">
        <f>IF(OR('Data Entry'!A14="",$K14=""),"",$H14-$K14)</f>
        <v/>
      </c>
      <c r="M14" s="15">
        <f>IF(OR('Data Entry'!A14="",$K14="",$K14=0),"",$L14/$K14)</f>
        <v/>
      </c>
      <c r="N14" s="12">
        <f>IF('Data Entry'!A14="","",IF($L14="","New item",IF($L14&gt;0,"UP",IF($L14&lt;0,"down","same"))))</f>
        <v/>
      </c>
    </row>
    <row r="15">
      <c r="A15" s="11">
        <f>IF('Data Entry'!A15="","",'Data Entry'!A15)</f>
        <v/>
      </c>
      <c r="B15" s="12">
        <f>IF('Data Entry'!A15="","",'Data Entry'!B15)</f>
        <v/>
      </c>
      <c r="C15" s="12">
        <f>IF('Data Entry'!A15="","",'Data Entry'!C15)</f>
        <v/>
      </c>
      <c r="D15" s="12">
        <f>IF('Data Entry'!A15="","",'Data Entry'!D15)</f>
        <v/>
      </c>
      <c r="E15" s="12">
        <f>IF('Data Entry'!A15="","",'Data Entry'!E15)</f>
        <v/>
      </c>
      <c r="F15" s="12">
        <f>IF('Data Entry'!A15="","",'Data Entry'!F15)</f>
        <v/>
      </c>
      <c r="G15" s="13">
        <f>IF('Data Entry'!A15="","",'Data Entry'!G15)</f>
        <v/>
      </c>
      <c r="H15" s="10">
        <f>IF('Data Entry'!A15="","",'Data Entry'!H15)</f>
        <v/>
      </c>
      <c r="I15" s="10">
        <f>IF('Data Entry'!A15="","",'Data Entry'!I15)</f>
        <v/>
      </c>
      <c r="J15" s="12">
        <f>IF('Data Entry'!A15="","",IF('Data Entry'!D15&lt;&gt;"",'Data Entry'!D15,'Data Entry'!E15))</f>
        <v/>
      </c>
      <c r="K15" s="10">
        <f>IF('Data Entry'!A15="","",IFERROR(SUMIFS($H$5:$H$2001,$J$5:$J$2001,$J15,$B$5:$B$2001,$B15,$A$5:$A$2001,(MAXIFS($A$5:$A$2001,$J$5:$J$2001,$J15,$B$5:$B$2001,$B15,$A$5:$A$2001,"&lt;"&amp;$A15))),""))</f>
        <v/>
      </c>
      <c r="L15" s="14">
        <f>IF(OR('Data Entry'!A15="",$K15=""),"",$H15-$K15)</f>
        <v/>
      </c>
      <c r="M15" s="15">
        <f>IF(OR('Data Entry'!A15="",$K15="",$K15=0),"",$L15/$K15)</f>
        <v/>
      </c>
      <c r="N15" s="12">
        <f>IF('Data Entry'!A15="","",IF($L15="","New item",IF($L15&gt;0,"UP",IF($L15&lt;0,"down","same"))))</f>
        <v/>
      </c>
    </row>
    <row r="16">
      <c r="A16" s="11">
        <f>IF('Data Entry'!A16="","",'Data Entry'!A16)</f>
        <v/>
      </c>
      <c r="B16" s="12">
        <f>IF('Data Entry'!A16="","",'Data Entry'!B16)</f>
        <v/>
      </c>
      <c r="C16" s="12">
        <f>IF('Data Entry'!A16="","",'Data Entry'!C16)</f>
        <v/>
      </c>
      <c r="D16" s="12">
        <f>IF('Data Entry'!A16="","",'Data Entry'!D16)</f>
        <v/>
      </c>
      <c r="E16" s="12">
        <f>IF('Data Entry'!A16="","",'Data Entry'!E16)</f>
        <v/>
      </c>
      <c r="F16" s="12">
        <f>IF('Data Entry'!A16="","",'Data Entry'!F16)</f>
        <v/>
      </c>
      <c r="G16" s="13">
        <f>IF('Data Entry'!A16="","",'Data Entry'!G16)</f>
        <v/>
      </c>
      <c r="H16" s="10">
        <f>IF('Data Entry'!A16="","",'Data Entry'!H16)</f>
        <v/>
      </c>
      <c r="I16" s="10">
        <f>IF('Data Entry'!A16="","",'Data Entry'!I16)</f>
        <v/>
      </c>
      <c r="J16" s="12">
        <f>IF('Data Entry'!A16="","",IF('Data Entry'!D16&lt;&gt;"",'Data Entry'!D16,'Data Entry'!E16))</f>
        <v/>
      </c>
      <c r="K16" s="10">
        <f>IF('Data Entry'!A16="","",IFERROR(SUMIFS($H$5:$H$2001,$J$5:$J$2001,$J16,$B$5:$B$2001,$B16,$A$5:$A$2001,(MAXIFS($A$5:$A$2001,$J$5:$J$2001,$J16,$B$5:$B$2001,$B16,$A$5:$A$2001,"&lt;"&amp;$A16))),""))</f>
        <v/>
      </c>
      <c r="L16" s="14">
        <f>IF(OR('Data Entry'!A16="",$K16=""),"",$H16-$K16)</f>
        <v/>
      </c>
      <c r="M16" s="15">
        <f>IF(OR('Data Entry'!A16="",$K16="",$K16=0),"",$L16/$K16)</f>
        <v/>
      </c>
      <c r="N16" s="12">
        <f>IF('Data Entry'!A16="","",IF($L16="","New item",IF($L16&gt;0,"UP",IF($L16&lt;0,"down","same"))))</f>
        <v/>
      </c>
    </row>
    <row r="17">
      <c r="A17" s="11">
        <f>IF('Data Entry'!A17="","",'Data Entry'!A17)</f>
        <v/>
      </c>
      <c r="B17" s="12">
        <f>IF('Data Entry'!A17="","",'Data Entry'!B17)</f>
        <v/>
      </c>
      <c r="C17" s="12">
        <f>IF('Data Entry'!A17="","",'Data Entry'!C17)</f>
        <v/>
      </c>
      <c r="D17" s="12">
        <f>IF('Data Entry'!A17="","",'Data Entry'!D17)</f>
        <v/>
      </c>
      <c r="E17" s="12">
        <f>IF('Data Entry'!A17="","",'Data Entry'!E17)</f>
        <v/>
      </c>
      <c r="F17" s="12">
        <f>IF('Data Entry'!A17="","",'Data Entry'!F17)</f>
        <v/>
      </c>
      <c r="G17" s="13">
        <f>IF('Data Entry'!A17="","",'Data Entry'!G17)</f>
        <v/>
      </c>
      <c r="H17" s="10">
        <f>IF('Data Entry'!A17="","",'Data Entry'!H17)</f>
        <v/>
      </c>
      <c r="I17" s="10">
        <f>IF('Data Entry'!A17="","",'Data Entry'!I17)</f>
        <v/>
      </c>
      <c r="J17" s="12">
        <f>IF('Data Entry'!A17="","",IF('Data Entry'!D17&lt;&gt;"",'Data Entry'!D17,'Data Entry'!E17))</f>
        <v/>
      </c>
      <c r="K17" s="10">
        <f>IF('Data Entry'!A17="","",IFERROR(SUMIFS($H$5:$H$2001,$J$5:$J$2001,$J17,$B$5:$B$2001,$B17,$A$5:$A$2001,(MAXIFS($A$5:$A$2001,$J$5:$J$2001,$J17,$B$5:$B$2001,$B17,$A$5:$A$2001,"&lt;"&amp;$A17))),""))</f>
        <v/>
      </c>
      <c r="L17" s="14">
        <f>IF(OR('Data Entry'!A17="",$K17=""),"",$H17-$K17)</f>
        <v/>
      </c>
      <c r="M17" s="15">
        <f>IF(OR('Data Entry'!A17="",$K17="",$K17=0),"",$L17/$K17)</f>
        <v/>
      </c>
      <c r="N17" s="12">
        <f>IF('Data Entry'!A17="","",IF($L17="","New item",IF($L17&gt;0,"UP",IF($L17&lt;0,"down","same"))))</f>
        <v/>
      </c>
    </row>
    <row r="18">
      <c r="A18" s="11">
        <f>IF('Data Entry'!A18="","",'Data Entry'!A18)</f>
        <v/>
      </c>
      <c r="B18" s="12">
        <f>IF('Data Entry'!A18="","",'Data Entry'!B18)</f>
        <v/>
      </c>
      <c r="C18" s="12">
        <f>IF('Data Entry'!A18="","",'Data Entry'!C18)</f>
        <v/>
      </c>
      <c r="D18" s="12">
        <f>IF('Data Entry'!A18="","",'Data Entry'!D18)</f>
        <v/>
      </c>
      <c r="E18" s="12">
        <f>IF('Data Entry'!A18="","",'Data Entry'!E18)</f>
        <v/>
      </c>
      <c r="F18" s="12">
        <f>IF('Data Entry'!A18="","",'Data Entry'!F18)</f>
        <v/>
      </c>
      <c r="G18" s="13">
        <f>IF('Data Entry'!A18="","",'Data Entry'!G18)</f>
        <v/>
      </c>
      <c r="H18" s="10">
        <f>IF('Data Entry'!A18="","",'Data Entry'!H18)</f>
        <v/>
      </c>
      <c r="I18" s="10">
        <f>IF('Data Entry'!A18="","",'Data Entry'!I18)</f>
        <v/>
      </c>
      <c r="J18" s="12">
        <f>IF('Data Entry'!A18="","",IF('Data Entry'!D18&lt;&gt;"",'Data Entry'!D18,'Data Entry'!E18))</f>
        <v/>
      </c>
      <c r="K18" s="10">
        <f>IF('Data Entry'!A18="","",IFERROR(SUMIFS($H$5:$H$2001,$J$5:$J$2001,$J18,$B$5:$B$2001,$B18,$A$5:$A$2001,(MAXIFS($A$5:$A$2001,$J$5:$J$2001,$J18,$B$5:$B$2001,$B18,$A$5:$A$2001,"&lt;"&amp;$A18))),""))</f>
        <v/>
      </c>
      <c r="L18" s="14">
        <f>IF(OR('Data Entry'!A18="",$K18=""),"",$H18-$K18)</f>
        <v/>
      </c>
      <c r="M18" s="15">
        <f>IF(OR('Data Entry'!A18="",$K18="",$K18=0),"",$L18/$K18)</f>
        <v/>
      </c>
      <c r="N18" s="12">
        <f>IF('Data Entry'!A18="","",IF($L18="","New item",IF($L18&gt;0,"UP",IF($L18&lt;0,"down","same"))))</f>
        <v/>
      </c>
    </row>
    <row r="19">
      <c r="A19" s="11">
        <f>IF('Data Entry'!A19="","",'Data Entry'!A19)</f>
        <v/>
      </c>
      <c r="B19" s="12">
        <f>IF('Data Entry'!A19="","",'Data Entry'!B19)</f>
        <v/>
      </c>
      <c r="C19" s="12">
        <f>IF('Data Entry'!A19="","",'Data Entry'!C19)</f>
        <v/>
      </c>
      <c r="D19" s="12">
        <f>IF('Data Entry'!A19="","",'Data Entry'!D19)</f>
        <v/>
      </c>
      <c r="E19" s="12">
        <f>IF('Data Entry'!A19="","",'Data Entry'!E19)</f>
        <v/>
      </c>
      <c r="F19" s="12">
        <f>IF('Data Entry'!A19="","",'Data Entry'!F19)</f>
        <v/>
      </c>
      <c r="G19" s="13">
        <f>IF('Data Entry'!A19="","",'Data Entry'!G19)</f>
        <v/>
      </c>
      <c r="H19" s="10">
        <f>IF('Data Entry'!A19="","",'Data Entry'!H19)</f>
        <v/>
      </c>
      <c r="I19" s="10">
        <f>IF('Data Entry'!A19="","",'Data Entry'!I19)</f>
        <v/>
      </c>
      <c r="J19" s="12">
        <f>IF('Data Entry'!A19="","",IF('Data Entry'!D19&lt;&gt;"",'Data Entry'!D19,'Data Entry'!E19))</f>
        <v/>
      </c>
      <c r="K19" s="10">
        <f>IF('Data Entry'!A19="","",IFERROR(SUMIFS($H$5:$H$2001,$J$5:$J$2001,$J19,$B$5:$B$2001,$B19,$A$5:$A$2001,(MAXIFS($A$5:$A$2001,$J$5:$J$2001,$J19,$B$5:$B$2001,$B19,$A$5:$A$2001,"&lt;"&amp;$A19))),""))</f>
        <v/>
      </c>
      <c r="L19" s="14">
        <f>IF(OR('Data Entry'!A19="",$K19=""),"",$H19-$K19)</f>
        <v/>
      </c>
      <c r="M19" s="15">
        <f>IF(OR('Data Entry'!A19="",$K19="",$K19=0),"",$L19/$K19)</f>
        <v/>
      </c>
      <c r="N19" s="12">
        <f>IF('Data Entry'!A19="","",IF($L19="","New item",IF($L19&gt;0,"UP",IF($L19&lt;0,"down","same"))))</f>
        <v/>
      </c>
    </row>
    <row r="20">
      <c r="A20" s="11">
        <f>IF('Data Entry'!A20="","",'Data Entry'!A20)</f>
        <v/>
      </c>
      <c r="B20" s="12">
        <f>IF('Data Entry'!A20="","",'Data Entry'!B20)</f>
        <v/>
      </c>
      <c r="C20" s="12">
        <f>IF('Data Entry'!A20="","",'Data Entry'!C20)</f>
        <v/>
      </c>
      <c r="D20" s="12">
        <f>IF('Data Entry'!A20="","",'Data Entry'!D20)</f>
        <v/>
      </c>
      <c r="E20" s="12">
        <f>IF('Data Entry'!A20="","",'Data Entry'!E20)</f>
        <v/>
      </c>
      <c r="F20" s="12">
        <f>IF('Data Entry'!A20="","",'Data Entry'!F20)</f>
        <v/>
      </c>
      <c r="G20" s="13">
        <f>IF('Data Entry'!A20="","",'Data Entry'!G20)</f>
        <v/>
      </c>
      <c r="H20" s="10">
        <f>IF('Data Entry'!A20="","",'Data Entry'!H20)</f>
        <v/>
      </c>
      <c r="I20" s="10">
        <f>IF('Data Entry'!A20="","",'Data Entry'!I20)</f>
        <v/>
      </c>
      <c r="J20" s="12">
        <f>IF('Data Entry'!A20="","",IF('Data Entry'!D20&lt;&gt;"",'Data Entry'!D20,'Data Entry'!E20))</f>
        <v/>
      </c>
      <c r="K20" s="10">
        <f>IF('Data Entry'!A20="","",IFERROR(SUMIFS($H$5:$H$2001,$J$5:$J$2001,$J20,$B$5:$B$2001,$B20,$A$5:$A$2001,(MAXIFS($A$5:$A$2001,$J$5:$J$2001,$J20,$B$5:$B$2001,$B20,$A$5:$A$2001,"&lt;"&amp;$A20))),""))</f>
        <v/>
      </c>
      <c r="L20" s="14">
        <f>IF(OR('Data Entry'!A20="",$K20=""),"",$H20-$K20)</f>
        <v/>
      </c>
      <c r="M20" s="15">
        <f>IF(OR('Data Entry'!A20="",$K20="",$K20=0),"",$L20/$K20)</f>
        <v/>
      </c>
      <c r="N20" s="12">
        <f>IF('Data Entry'!A20="","",IF($L20="","New item",IF($L20&gt;0,"UP",IF($L20&lt;0,"down","same"))))</f>
        <v/>
      </c>
    </row>
    <row r="21">
      <c r="A21" s="11">
        <f>IF('Data Entry'!A21="","",'Data Entry'!A21)</f>
        <v/>
      </c>
      <c r="B21" s="12">
        <f>IF('Data Entry'!A21="","",'Data Entry'!B21)</f>
        <v/>
      </c>
      <c r="C21" s="12">
        <f>IF('Data Entry'!A21="","",'Data Entry'!C21)</f>
        <v/>
      </c>
      <c r="D21" s="12">
        <f>IF('Data Entry'!A21="","",'Data Entry'!D21)</f>
        <v/>
      </c>
      <c r="E21" s="12">
        <f>IF('Data Entry'!A21="","",'Data Entry'!E21)</f>
        <v/>
      </c>
      <c r="F21" s="12">
        <f>IF('Data Entry'!A21="","",'Data Entry'!F21)</f>
        <v/>
      </c>
      <c r="G21" s="13">
        <f>IF('Data Entry'!A21="","",'Data Entry'!G21)</f>
        <v/>
      </c>
      <c r="H21" s="10">
        <f>IF('Data Entry'!A21="","",'Data Entry'!H21)</f>
        <v/>
      </c>
      <c r="I21" s="10">
        <f>IF('Data Entry'!A21="","",'Data Entry'!I21)</f>
        <v/>
      </c>
      <c r="J21" s="12">
        <f>IF('Data Entry'!A21="","",IF('Data Entry'!D21&lt;&gt;"",'Data Entry'!D21,'Data Entry'!E21))</f>
        <v/>
      </c>
      <c r="K21" s="10">
        <f>IF('Data Entry'!A21="","",IFERROR(SUMIFS($H$5:$H$2001,$J$5:$J$2001,$J21,$B$5:$B$2001,$B21,$A$5:$A$2001,(MAXIFS($A$5:$A$2001,$J$5:$J$2001,$J21,$B$5:$B$2001,$B21,$A$5:$A$2001,"&lt;"&amp;$A21))),""))</f>
        <v/>
      </c>
      <c r="L21" s="14">
        <f>IF(OR('Data Entry'!A21="",$K21=""),"",$H21-$K21)</f>
        <v/>
      </c>
      <c r="M21" s="15">
        <f>IF(OR('Data Entry'!A21="",$K21="",$K21=0),"",$L21/$K21)</f>
        <v/>
      </c>
      <c r="N21" s="12">
        <f>IF('Data Entry'!A21="","",IF($L21="","New item",IF($L21&gt;0,"UP",IF($L21&lt;0,"down","same"))))</f>
        <v/>
      </c>
    </row>
    <row r="22">
      <c r="A22" s="11">
        <f>IF('Data Entry'!A22="","",'Data Entry'!A22)</f>
        <v/>
      </c>
      <c r="B22" s="12">
        <f>IF('Data Entry'!A22="","",'Data Entry'!B22)</f>
        <v/>
      </c>
      <c r="C22" s="12">
        <f>IF('Data Entry'!A22="","",'Data Entry'!C22)</f>
        <v/>
      </c>
      <c r="D22" s="12">
        <f>IF('Data Entry'!A22="","",'Data Entry'!D22)</f>
        <v/>
      </c>
      <c r="E22" s="12">
        <f>IF('Data Entry'!A22="","",'Data Entry'!E22)</f>
        <v/>
      </c>
      <c r="F22" s="12">
        <f>IF('Data Entry'!A22="","",'Data Entry'!F22)</f>
        <v/>
      </c>
      <c r="G22" s="13">
        <f>IF('Data Entry'!A22="","",'Data Entry'!G22)</f>
        <v/>
      </c>
      <c r="H22" s="10">
        <f>IF('Data Entry'!A22="","",'Data Entry'!H22)</f>
        <v/>
      </c>
      <c r="I22" s="10">
        <f>IF('Data Entry'!A22="","",'Data Entry'!I22)</f>
        <v/>
      </c>
      <c r="J22" s="12">
        <f>IF('Data Entry'!A22="","",IF('Data Entry'!D22&lt;&gt;"",'Data Entry'!D22,'Data Entry'!E22))</f>
        <v/>
      </c>
      <c r="K22" s="10">
        <f>IF('Data Entry'!A22="","",IFERROR(SUMIFS($H$5:$H$2001,$J$5:$J$2001,$J22,$B$5:$B$2001,$B22,$A$5:$A$2001,(MAXIFS($A$5:$A$2001,$J$5:$J$2001,$J22,$B$5:$B$2001,$B22,$A$5:$A$2001,"&lt;"&amp;$A22))),""))</f>
        <v/>
      </c>
      <c r="L22" s="14">
        <f>IF(OR('Data Entry'!A22="",$K22=""),"",$H22-$K22)</f>
        <v/>
      </c>
      <c r="M22" s="15">
        <f>IF(OR('Data Entry'!A22="",$K22="",$K22=0),"",$L22/$K22)</f>
        <v/>
      </c>
      <c r="N22" s="12">
        <f>IF('Data Entry'!A22="","",IF($L22="","New item",IF($L22&gt;0,"UP",IF($L22&lt;0,"down","same"))))</f>
        <v/>
      </c>
    </row>
    <row r="23">
      <c r="A23" s="11">
        <f>IF('Data Entry'!A23="","",'Data Entry'!A23)</f>
        <v/>
      </c>
      <c r="B23" s="12">
        <f>IF('Data Entry'!A23="","",'Data Entry'!B23)</f>
        <v/>
      </c>
      <c r="C23" s="12">
        <f>IF('Data Entry'!A23="","",'Data Entry'!C23)</f>
        <v/>
      </c>
      <c r="D23" s="12">
        <f>IF('Data Entry'!A23="","",'Data Entry'!D23)</f>
        <v/>
      </c>
      <c r="E23" s="12">
        <f>IF('Data Entry'!A23="","",'Data Entry'!E23)</f>
        <v/>
      </c>
      <c r="F23" s="12">
        <f>IF('Data Entry'!A23="","",'Data Entry'!F23)</f>
        <v/>
      </c>
      <c r="G23" s="13">
        <f>IF('Data Entry'!A23="","",'Data Entry'!G23)</f>
        <v/>
      </c>
      <c r="H23" s="10">
        <f>IF('Data Entry'!A23="","",'Data Entry'!H23)</f>
        <v/>
      </c>
      <c r="I23" s="10">
        <f>IF('Data Entry'!A23="","",'Data Entry'!I23)</f>
        <v/>
      </c>
      <c r="J23" s="12">
        <f>IF('Data Entry'!A23="","",IF('Data Entry'!D23&lt;&gt;"",'Data Entry'!D23,'Data Entry'!E23))</f>
        <v/>
      </c>
      <c r="K23" s="10">
        <f>IF('Data Entry'!A23="","",IFERROR(SUMIFS($H$5:$H$2001,$J$5:$J$2001,$J23,$B$5:$B$2001,$B23,$A$5:$A$2001,(MAXIFS($A$5:$A$2001,$J$5:$J$2001,$J23,$B$5:$B$2001,$B23,$A$5:$A$2001,"&lt;"&amp;$A23))),""))</f>
        <v/>
      </c>
      <c r="L23" s="14">
        <f>IF(OR('Data Entry'!A23="",$K23=""),"",$H23-$K23)</f>
        <v/>
      </c>
      <c r="M23" s="15">
        <f>IF(OR('Data Entry'!A23="",$K23="",$K23=0),"",$L23/$K23)</f>
        <v/>
      </c>
      <c r="N23" s="12">
        <f>IF('Data Entry'!A23="","",IF($L23="","New item",IF($L23&gt;0,"UP",IF($L23&lt;0,"down","same"))))</f>
        <v/>
      </c>
    </row>
    <row r="24">
      <c r="A24" s="11">
        <f>IF('Data Entry'!A24="","",'Data Entry'!A24)</f>
        <v/>
      </c>
      <c r="B24" s="12">
        <f>IF('Data Entry'!A24="","",'Data Entry'!B24)</f>
        <v/>
      </c>
      <c r="C24" s="12">
        <f>IF('Data Entry'!A24="","",'Data Entry'!C24)</f>
        <v/>
      </c>
      <c r="D24" s="12">
        <f>IF('Data Entry'!A24="","",'Data Entry'!D24)</f>
        <v/>
      </c>
      <c r="E24" s="12">
        <f>IF('Data Entry'!A24="","",'Data Entry'!E24)</f>
        <v/>
      </c>
      <c r="F24" s="12">
        <f>IF('Data Entry'!A24="","",'Data Entry'!F24)</f>
        <v/>
      </c>
      <c r="G24" s="13">
        <f>IF('Data Entry'!A24="","",'Data Entry'!G24)</f>
        <v/>
      </c>
      <c r="H24" s="10">
        <f>IF('Data Entry'!A24="","",'Data Entry'!H24)</f>
        <v/>
      </c>
      <c r="I24" s="10">
        <f>IF('Data Entry'!A24="","",'Data Entry'!I24)</f>
        <v/>
      </c>
      <c r="J24" s="12">
        <f>IF('Data Entry'!A24="","",IF('Data Entry'!D24&lt;&gt;"",'Data Entry'!D24,'Data Entry'!E24))</f>
        <v/>
      </c>
      <c r="K24" s="10">
        <f>IF('Data Entry'!A24="","",IFERROR(SUMIFS($H$5:$H$2001,$J$5:$J$2001,$J24,$B$5:$B$2001,$B24,$A$5:$A$2001,(MAXIFS($A$5:$A$2001,$J$5:$J$2001,$J24,$B$5:$B$2001,$B24,$A$5:$A$2001,"&lt;"&amp;$A24))),""))</f>
        <v/>
      </c>
      <c r="L24" s="14">
        <f>IF(OR('Data Entry'!A24="",$K24=""),"",$H24-$K24)</f>
        <v/>
      </c>
      <c r="M24" s="15">
        <f>IF(OR('Data Entry'!A24="",$K24="",$K24=0),"",$L24/$K24)</f>
        <v/>
      </c>
      <c r="N24" s="12">
        <f>IF('Data Entry'!A24="","",IF($L24="","New item",IF($L24&gt;0,"UP",IF($L24&lt;0,"down","same"))))</f>
        <v/>
      </c>
    </row>
    <row r="25">
      <c r="A25" s="11">
        <f>IF('Data Entry'!A25="","",'Data Entry'!A25)</f>
        <v/>
      </c>
      <c r="B25" s="12">
        <f>IF('Data Entry'!A25="","",'Data Entry'!B25)</f>
        <v/>
      </c>
      <c r="C25" s="12">
        <f>IF('Data Entry'!A25="","",'Data Entry'!C25)</f>
        <v/>
      </c>
      <c r="D25" s="12">
        <f>IF('Data Entry'!A25="","",'Data Entry'!D25)</f>
        <v/>
      </c>
      <c r="E25" s="12">
        <f>IF('Data Entry'!A25="","",'Data Entry'!E25)</f>
        <v/>
      </c>
      <c r="F25" s="12">
        <f>IF('Data Entry'!A25="","",'Data Entry'!F25)</f>
        <v/>
      </c>
      <c r="G25" s="13">
        <f>IF('Data Entry'!A25="","",'Data Entry'!G25)</f>
        <v/>
      </c>
      <c r="H25" s="10">
        <f>IF('Data Entry'!A25="","",'Data Entry'!H25)</f>
        <v/>
      </c>
      <c r="I25" s="10">
        <f>IF('Data Entry'!A25="","",'Data Entry'!I25)</f>
        <v/>
      </c>
      <c r="J25" s="12">
        <f>IF('Data Entry'!A25="","",IF('Data Entry'!D25&lt;&gt;"",'Data Entry'!D25,'Data Entry'!E25))</f>
        <v/>
      </c>
      <c r="K25" s="10">
        <f>IF('Data Entry'!A25="","",IFERROR(SUMIFS($H$5:$H$2001,$J$5:$J$2001,$J25,$B$5:$B$2001,$B25,$A$5:$A$2001,(MAXIFS($A$5:$A$2001,$J$5:$J$2001,$J25,$B$5:$B$2001,$B25,$A$5:$A$2001,"&lt;"&amp;$A25))),""))</f>
        <v/>
      </c>
      <c r="L25" s="14">
        <f>IF(OR('Data Entry'!A25="",$K25=""),"",$H25-$K25)</f>
        <v/>
      </c>
      <c r="M25" s="15">
        <f>IF(OR('Data Entry'!A25="",$K25="",$K25=0),"",$L25/$K25)</f>
        <v/>
      </c>
      <c r="N25" s="12">
        <f>IF('Data Entry'!A25="","",IF($L25="","New item",IF($L25&gt;0,"UP",IF($L25&lt;0,"down","same"))))</f>
        <v/>
      </c>
    </row>
    <row r="26">
      <c r="A26" s="11">
        <f>IF('Data Entry'!A26="","",'Data Entry'!A26)</f>
        <v/>
      </c>
      <c r="B26" s="12">
        <f>IF('Data Entry'!A26="","",'Data Entry'!B26)</f>
        <v/>
      </c>
      <c r="C26" s="12">
        <f>IF('Data Entry'!A26="","",'Data Entry'!C26)</f>
        <v/>
      </c>
      <c r="D26" s="12">
        <f>IF('Data Entry'!A26="","",'Data Entry'!D26)</f>
        <v/>
      </c>
      <c r="E26" s="12">
        <f>IF('Data Entry'!A26="","",'Data Entry'!E26)</f>
        <v/>
      </c>
      <c r="F26" s="12">
        <f>IF('Data Entry'!A26="","",'Data Entry'!F26)</f>
        <v/>
      </c>
      <c r="G26" s="13">
        <f>IF('Data Entry'!A26="","",'Data Entry'!G26)</f>
        <v/>
      </c>
      <c r="H26" s="10">
        <f>IF('Data Entry'!A26="","",'Data Entry'!H26)</f>
        <v/>
      </c>
      <c r="I26" s="10">
        <f>IF('Data Entry'!A26="","",'Data Entry'!I26)</f>
        <v/>
      </c>
      <c r="J26" s="12">
        <f>IF('Data Entry'!A26="","",IF('Data Entry'!D26&lt;&gt;"",'Data Entry'!D26,'Data Entry'!E26))</f>
        <v/>
      </c>
      <c r="K26" s="10">
        <f>IF('Data Entry'!A26="","",IFERROR(SUMIFS($H$5:$H$2001,$J$5:$J$2001,$J26,$B$5:$B$2001,$B26,$A$5:$A$2001,(MAXIFS($A$5:$A$2001,$J$5:$J$2001,$J26,$B$5:$B$2001,$B26,$A$5:$A$2001,"&lt;"&amp;$A26))),""))</f>
        <v/>
      </c>
      <c r="L26" s="14">
        <f>IF(OR('Data Entry'!A26="",$K26=""),"",$H26-$K26)</f>
        <v/>
      </c>
      <c r="M26" s="15">
        <f>IF(OR('Data Entry'!A26="",$K26="",$K26=0),"",$L26/$K26)</f>
        <v/>
      </c>
      <c r="N26" s="12">
        <f>IF('Data Entry'!A26="","",IF($L26="","New item",IF($L26&gt;0,"UP",IF($L26&lt;0,"down","same"))))</f>
        <v/>
      </c>
    </row>
    <row r="27">
      <c r="A27" s="11">
        <f>IF('Data Entry'!A27="","",'Data Entry'!A27)</f>
        <v/>
      </c>
      <c r="B27" s="12">
        <f>IF('Data Entry'!A27="","",'Data Entry'!B27)</f>
        <v/>
      </c>
      <c r="C27" s="12">
        <f>IF('Data Entry'!A27="","",'Data Entry'!C27)</f>
        <v/>
      </c>
      <c r="D27" s="12">
        <f>IF('Data Entry'!A27="","",'Data Entry'!D27)</f>
        <v/>
      </c>
      <c r="E27" s="12">
        <f>IF('Data Entry'!A27="","",'Data Entry'!E27)</f>
        <v/>
      </c>
      <c r="F27" s="12">
        <f>IF('Data Entry'!A27="","",'Data Entry'!F27)</f>
        <v/>
      </c>
      <c r="G27" s="13">
        <f>IF('Data Entry'!A27="","",'Data Entry'!G27)</f>
        <v/>
      </c>
      <c r="H27" s="10">
        <f>IF('Data Entry'!A27="","",'Data Entry'!H27)</f>
        <v/>
      </c>
      <c r="I27" s="10">
        <f>IF('Data Entry'!A27="","",'Data Entry'!I27)</f>
        <v/>
      </c>
      <c r="J27" s="12">
        <f>IF('Data Entry'!A27="","",IF('Data Entry'!D27&lt;&gt;"",'Data Entry'!D27,'Data Entry'!E27))</f>
        <v/>
      </c>
      <c r="K27" s="10">
        <f>IF('Data Entry'!A27="","",IFERROR(SUMIFS($H$5:$H$2001,$J$5:$J$2001,$J27,$B$5:$B$2001,$B27,$A$5:$A$2001,(MAXIFS($A$5:$A$2001,$J$5:$J$2001,$J27,$B$5:$B$2001,$B27,$A$5:$A$2001,"&lt;"&amp;$A27))),""))</f>
        <v/>
      </c>
      <c r="L27" s="14">
        <f>IF(OR('Data Entry'!A27="",$K27=""),"",$H27-$K27)</f>
        <v/>
      </c>
      <c r="M27" s="15">
        <f>IF(OR('Data Entry'!A27="",$K27="",$K27=0),"",$L27/$K27)</f>
        <v/>
      </c>
      <c r="N27" s="12">
        <f>IF('Data Entry'!A27="","",IF($L27="","New item",IF($L27&gt;0,"UP",IF($L27&lt;0,"down","same"))))</f>
        <v/>
      </c>
    </row>
    <row r="28">
      <c r="A28" s="11">
        <f>IF('Data Entry'!A28="","",'Data Entry'!A28)</f>
        <v/>
      </c>
      <c r="B28" s="12">
        <f>IF('Data Entry'!A28="","",'Data Entry'!B28)</f>
        <v/>
      </c>
      <c r="C28" s="12">
        <f>IF('Data Entry'!A28="","",'Data Entry'!C28)</f>
        <v/>
      </c>
      <c r="D28" s="12">
        <f>IF('Data Entry'!A28="","",'Data Entry'!D28)</f>
        <v/>
      </c>
      <c r="E28" s="12">
        <f>IF('Data Entry'!A28="","",'Data Entry'!E28)</f>
        <v/>
      </c>
      <c r="F28" s="12">
        <f>IF('Data Entry'!A28="","",'Data Entry'!F28)</f>
        <v/>
      </c>
      <c r="G28" s="13">
        <f>IF('Data Entry'!A28="","",'Data Entry'!G28)</f>
        <v/>
      </c>
      <c r="H28" s="10">
        <f>IF('Data Entry'!A28="","",'Data Entry'!H28)</f>
        <v/>
      </c>
      <c r="I28" s="10">
        <f>IF('Data Entry'!A28="","",'Data Entry'!I28)</f>
        <v/>
      </c>
      <c r="J28" s="12">
        <f>IF('Data Entry'!A28="","",IF('Data Entry'!D28&lt;&gt;"",'Data Entry'!D28,'Data Entry'!E28))</f>
        <v/>
      </c>
      <c r="K28" s="10">
        <f>IF('Data Entry'!A28="","",IFERROR(SUMIFS($H$5:$H$2001,$J$5:$J$2001,$J28,$B$5:$B$2001,$B28,$A$5:$A$2001,(MAXIFS($A$5:$A$2001,$J$5:$J$2001,$J28,$B$5:$B$2001,$B28,$A$5:$A$2001,"&lt;"&amp;$A28))),""))</f>
        <v/>
      </c>
      <c r="L28" s="14">
        <f>IF(OR('Data Entry'!A28="",$K28=""),"",$H28-$K28)</f>
        <v/>
      </c>
      <c r="M28" s="15">
        <f>IF(OR('Data Entry'!A28="",$K28="",$K28=0),"",$L28/$K28)</f>
        <v/>
      </c>
      <c r="N28" s="12">
        <f>IF('Data Entry'!A28="","",IF($L28="","New item",IF($L28&gt;0,"UP",IF($L28&lt;0,"down","same"))))</f>
        <v/>
      </c>
    </row>
    <row r="29">
      <c r="A29" s="11">
        <f>IF('Data Entry'!A29="","",'Data Entry'!A29)</f>
        <v/>
      </c>
      <c r="B29" s="12">
        <f>IF('Data Entry'!A29="","",'Data Entry'!B29)</f>
        <v/>
      </c>
      <c r="C29" s="12">
        <f>IF('Data Entry'!A29="","",'Data Entry'!C29)</f>
        <v/>
      </c>
      <c r="D29" s="12">
        <f>IF('Data Entry'!A29="","",'Data Entry'!D29)</f>
        <v/>
      </c>
      <c r="E29" s="12">
        <f>IF('Data Entry'!A29="","",'Data Entry'!E29)</f>
        <v/>
      </c>
      <c r="F29" s="12">
        <f>IF('Data Entry'!A29="","",'Data Entry'!F29)</f>
        <v/>
      </c>
      <c r="G29" s="13">
        <f>IF('Data Entry'!A29="","",'Data Entry'!G29)</f>
        <v/>
      </c>
      <c r="H29" s="10">
        <f>IF('Data Entry'!A29="","",'Data Entry'!H29)</f>
        <v/>
      </c>
      <c r="I29" s="10">
        <f>IF('Data Entry'!A29="","",'Data Entry'!I29)</f>
        <v/>
      </c>
      <c r="J29" s="12">
        <f>IF('Data Entry'!A29="","",IF('Data Entry'!D29&lt;&gt;"",'Data Entry'!D29,'Data Entry'!E29))</f>
        <v/>
      </c>
      <c r="K29" s="10">
        <f>IF('Data Entry'!A29="","",IFERROR(SUMIFS($H$5:$H$2001,$J$5:$J$2001,$J29,$B$5:$B$2001,$B29,$A$5:$A$2001,(MAXIFS($A$5:$A$2001,$J$5:$J$2001,$J29,$B$5:$B$2001,$B29,$A$5:$A$2001,"&lt;"&amp;$A29))),""))</f>
        <v/>
      </c>
      <c r="L29" s="14">
        <f>IF(OR('Data Entry'!A29="",$K29=""),"",$H29-$K29)</f>
        <v/>
      </c>
      <c r="M29" s="15">
        <f>IF(OR('Data Entry'!A29="",$K29="",$K29=0),"",$L29/$K29)</f>
        <v/>
      </c>
      <c r="N29" s="12">
        <f>IF('Data Entry'!A29="","",IF($L29="","New item",IF($L29&gt;0,"UP",IF($L29&lt;0,"down","same"))))</f>
        <v/>
      </c>
    </row>
    <row r="30">
      <c r="A30" s="11">
        <f>IF('Data Entry'!A30="","",'Data Entry'!A30)</f>
        <v/>
      </c>
      <c r="B30" s="12">
        <f>IF('Data Entry'!A30="","",'Data Entry'!B30)</f>
        <v/>
      </c>
      <c r="C30" s="12">
        <f>IF('Data Entry'!A30="","",'Data Entry'!C30)</f>
        <v/>
      </c>
      <c r="D30" s="12">
        <f>IF('Data Entry'!A30="","",'Data Entry'!D30)</f>
        <v/>
      </c>
      <c r="E30" s="12">
        <f>IF('Data Entry'!A30="","",'Data Entry'!E30)</f>
        <v/>
      </c>
      <c r="F30" s="12">
        <f>IF('Data Entry'!A30="","",'Data Entry'!F30)</f>
        <v/>
      </c>
      <c r="G30" s="13">
        <f>IF('Data Entry'!A30="","",'Data Entry'!G30)</f>
        <v/>
      </c>
      <c r="H30" s="10">
        <f>IF('Data Entry'!A30="","",'Data Entry'!H30)</f>
        <v/>
      </c>
      <c r="I30" s="10">
        <f>IF('Data Entry'!A30="","",'Data Entry'!I30)</f>
        <v/>
      </c>
      <c r="J30" s="12">
        <f>IF('Data Entry'!A30="","",IF('Data Entry'!D30&lt;&gt;"",'Data Entry'!D30,'Data Entry'!E30))</f>
        <v/>
      </c>
      <c r="K30" s="10">
        <f>IF('Data Entry'!A30="","",IFERROR(SUMIFS($H$5:$H$2001,$J$5:$J$2001,$J30,$B$5:$B$2001,$B30,$A$5:$A$2001,(MAXIFS($A$5:$A$2001,$J$5:$J$2001,$J30,$B$5:$B$2001,$B30,$A$5:$A$2001,"&lt;"&amp;$A30))),""))</f>
        <v/>
      </c>
      <c r="L30" s="14">
        <f>IF(OR('Data Entry'!A30="",$K30=""),"",$H30-$K30)</f>
        <v/>
      </c>
      <c r="M30" s="15">
        <f>IF(OR('Data Entry'!A30="",$K30="",$K30=0),"",$L30/$K30)</f>
        <v/>
      </c>
      <c r="N30" s="12">
        <f>IF('Data Entry'!A30="","",IF($L30="","New item",IF($L30&gt;0,"UP",IF($L30&lt;0,"down","same"))))</f>
        <v/>
      </c>
    </row>
    <row r="31">
      <c r="A31" s="11">
        <f>IF('Data Entry'!A31="","",'Data Entry'!A31)</f>
        <v/>
      </c>
      <c r="B31" s="12">
        <f>IF('Data Entry'!A31="","",'Data Entry'!B31)</f>
        <v/>
      </c>
      <c r="C31" s="12">
        <f>IF('Data Entry'!A31="","",'Data Entry'!C31)</f>
        <v/>
      </c>
      <c r="D31" s="12">
        <f>IF('Data Entry'!A31="","",'Data Entry'!D31)</f>
        <v/>
      </c>
      <c r="E31" s="12">
        <f>IF('Data Entry'!A31="","",'Data Entry'!E31)</f>
        <v/>
      </c>
      <c r="F31" s="12">
        <f>IF('Data Entry'!A31="","",'Data Entry'!F31)</f>
        <v/>
      </c>
      <c r="G31" s="13">
        <f>IF('Data Entry'!A31="","",'Data Entry'!G31)</f>
        <v/>
      </c>
      <c r="H31" s="10">
        <f>IF('Data Entry'!A31="","",'Data Entry'!H31)</f>
        <v/>
      </c>
      <c r="I31" s="10">
        <f>IF('Data Entry'!A31="","",'Data Entry'!I31)</f>
        <v/>
      </c>
      <c r="J31" s="12">
        <f>IF('Data Entry'!A31="","",IF('Data Entry'!D31&lt;&gt;"",'Data Entry'!D31,'Data Entry'!E31))</f>
        <v/>
      </c>
      <c r="K31" s="10">
        <f>IF('Data Entry'!A31="","",IFERROR(SUMIFS($H$5:$H$2001,$J$5:$J$2001,$J31,$B$5:$B$2001,$B31,$A$5:$A$2001,(MAXIFS($A$5:$A$2001,$J$5:$J$2001,$J31,$B$5:$B$2001,$B31,$A$5:$A$2001,"&lt;"&amp;$A31))),""))</f>
        <v/>
      </c>
      <c r="L31" s="14">
        <f>IF(OR('Data Entry'!A31="",$K31=""),"",$H31-$K31)</f>
        <v/>
      </c>
      <c r="M31" s="15">
        <f>IF(OR('Data Entry'!A31="",$K31="",$K31=0),"",$L31/$K31)</f>
        <v/>
      </c>
      <c r="N31" s="12">
        <f>IF('Data Entry'!A31="","",IF($L31="","New item",IF($L31&gt;0,"UP",IF($L31&lt;0,"down","same"))))</f>
        <v/>
      </c>
    </row>
    <row r="32">
      <c r="A32" s="11">
        <f>IF('Data Entry'!A32="","",'Data Entry'!A32)</f>
        <v/>
      </c>
      <c r="B32" s="12">
        <f>IF('Data Entry'!A32="","",'Data Entry'!B32)</f>
        <v/>
      </c>
      <c r="C32" s="12">
        <f>IF('Data Entry'!A32="","",'Data Entry'!C32)</f>
        <v/>
      </c>
      <c r="D32" s="12">
        <f>IF('Data Entry'!A32="","",'Data Entry'!D32)</f>
        <v/>
      </c>
      <c r="E32" s="12">
        <f>IF('Data Entry'!A32="","",'Data Entry'!E32)</f>
        <v/>
      </c>
      <c r="F32" s="12">
        <f>IF('Data Entry'!A32="","",'Data Entry'!F32)</f>
        <v/>
      </c>
      <c r="G32" s="13">
        <f>IF('Data Entry'!A32="","",'Data Entry'!G32)</f>
        <v/>
      </c>
      <c r="H32" s="10">
        <f>IF('Data Entry'!A32="","",'Data Entry'!H32)</f>
        <v/>
      </c>
      <c r="I32" s="10">
        <f>IF('Data Entry'!A32="","",'Data Entry'!I32)</f>
        <v/>
      </c>
      <c r="J32" s="12">
        <f>IF('Data Entry'!A32="","",IF('Data Entry'!D32&lt;&gt;"",'Data Entry'!D32,'Data Entry'!E32))</f>
        <v/>
      </c>
      <c r="K32" s="10">
        <f>IF('Data Entry'!A32="","",IFERROR(SUMIFS($H$5:$H$2001,$J$5:$J$2001,$J32,$B$5:$B$2001,$B32,$A$5:$A$2001,(MAXIFS($A$5:$A$2001,$J$5:$J$2001,$J32,$B$5:$B$2001,$B32,$A$5:$A$2001,"&lt;"&amp;$A32))),""))</f>
        <v/>
      </c>
      <c r="L32" s="14">
        <f>IF(OR('Data Entry'!A32="",$K32=""),"",$H32-$K32)</f>
        <v/>
      </c>
      <c r="M32" s="15">
        <f>IF(OR('Data Entry'!A32="",$K32="",$K32=0),"",$L32/$K32)</f>
        <v/>
      </c>
      <c r="N32" s="12">
        <f>IF('Data Entry'!A32="","",IF($L32="","New item",IF($L32&gt;0,"UP",IF($L32&lt;0,"down","same"))))</f>
        <v/>
      </c>
    </row>
    <row r="33">
      <c r="A33" s="11">
        <f>IF('Data Entry'!A33="","",'Data Entry'!A33)</f>
        <v/>
      </c>
      <c r="B33" s="12">
        <f>IF('Data Entry'!A33="","",'Data Entry'!B33)</f>
        <v/>
      </c>
      <c r="C33" s="12">
        <f>IF('Data Entry'!A33="","",'Data Entry'!C33)</f>
        <v/>
      </c>
      <c r="D33" s="12">
        <f>IF('Data Entry'!A33="","",'Data Entry'!D33)</f>
        <v/>
      </c>
      <c r="E33" s="12">
        <f>IF('Data Entry'!A33="","",'Data Entry'!E33)</f>
        <v/>
      </c>
      <c r="F33" s="12">
        <f>IF('Data Entry'!A33="","",'Data Entry'!F33)</f>
        <v/>
      </c>
      <c r="G33" s="13">
        <f>IF('Data Entry'!A33="","",'Data Entry'!G33)</f>
        <v/>
      </c>
      <c r="H33" s="10">
        <f>IF('Data Entry'!A33="","",'Data Entry'!H33)</f>
        <v/>
      </c>
      <c r="I33" s="10">
        <f>IF('Data Entry'!A33="","",'Data Entry'!I33)</f>
        <v/>
      </c>
      <c r="J33" s="12">
        <f>IF('Data Entry'!A33="","",IF('Data Entry'!D33&lt;&gt;"",'Data Entry'!D33,'Data Entry'!E33))</f>
        <v/>
      </c>
      <c r="K33" s="10">
        <f>IF('Data Entry'!A33="","",IFERROR(SUMIFS($H$5:$H$2001,$J$5:$J$2001,$J33,$B$5:$B$2001,$B33,$A$5:$A$2001,(MAXIFS($A$5:$A$2001,$J$5:$J$2001,$J33,$B$5:$B$2001,$B33,$A$5:$A$2001,"&lt;"&amp;$A33))),""))</f>
        <v/>
      </c>
      <c r="L33" s="14">
        <f>IF(OR('Data Entry'!A33="",$K33=""),"",$H33-$K33)</f>
        <v/>
      </c>
      <c r="M33" s="15">
        <f>IF(OR('Data Entry'!A33="",$K33="",$K33=0),"",$L33/$K33)</f>
        <v/>
      </c>
      <c r="N33" s="12">
        <f>IF('Data Entry'!A33="","",IF($L33="","New item",IF($L33&gt;0,"UP",IF($L33&lt;0,"down","same"))))</f>
        <v/>
      </c>
    </row>
    <row r="34">
      <c r="A34" s="11">
        <f>IF('Data Entry'!A34="","",'Data Entry'!A34)</f>
        <v/>
      </c>
      <c r="B34" s="12">
        <f>IF('Data Entry'!A34="","",'Data Entry'!B34)</f>
        <v/>
      </c>
      <c r="C34" s="12">
        <f>IF('Data Entry'!A34="","",'Data Entry'!C34)</f>
        <v/>
      </c>
      <c r="D34" s="12">
        <f>IF('Data Entry'!A34="","",'Data Entry'!D34)</f>
        <v/>
      </c>
      <c r="E34" s="12">
        <f>IF('Data Entry'!A34="","",'Data Entry'!E34)</f>
        <v/>
      </c>
      <c r="F34" s="12">
        <f>IF('Data Entry'!A34="","",'Data Entry'!F34)</f>
        <v/>
      </c>
      <c r="G34" s="13">
        <f>IF('Data Entry'!A34="","",'Data Entry'!G34)</f>
        <v/>
      </c>
      <c r="H34" s="10">
        <f>IF('Data Entry'!A34="","",'Data Entry'!H34)</f>
        <v/>
      </c>
      <c r="I34" s="10">
        <f>IF('Data Entry'!A34="","",'Data Entry'!I34)</f>
        <v/>
      </c>
      <c r="J34" s="12">
        <f>IF('Data Entry'!A34="","",IF('Data Entry'!D34&lt;&gt;"",'Data Entry'!D34,'Data Entry'!E34))</f>
        <v/>
      </c>
      <c r="K34" s="10">
        <f>IF('Data Entry'!A34="","",IFERROR(SUMIFS($H$5:$H$2001,$J$5:$J$2001,$J34,$B$5:$B$2001,$B34,$A$5:$A$2001,(MAXIFS($A$5:$A$2001,$J$5:$J$2001,$J34,$B$5:$B$2001,$B34,$A$5:$A$2001,"&lt;"&amp;$A34))),""))</f>
        <v/>
      </c>
      <c r="L34" s="14">
        <f>IF(OR('Data Entry'!A34="",$K34=""),"",$H34-$K34)</f>
        <v/>
      </c>
      <c r="M34" s="15">
        <f>IF(OR('Data Entry'!A34="",$K34="",$K34=0),"",$L34/$K34)</f>
        <v/>
      </c>
      <c r="N34" s="12">
        <f>IF('Data Entry'!A34="","",IF($L34="","New item",IF($L34&gt;0,"UP",IF($L34&lt;0,"down","same"))))</f>
        <v/>
      </c>
    </row>
    <row r="35">
      <c r="A35" s="11">
        <f>IF('Data Entry'!A35="","",'Data Entry'!A35)</f>
        <v/>
      </c>
      <c r="B35" s="12">
        <f>IF('Data Entry'!A35="","",'Data Entry'!B35)</f>
        <v/>
      </c>
      <c r="C35" s="12">
        <f>IF('Data Entry'!A35="","",'Data Entry'!C35)</f>
        <v/>
      </c>
      <c r="D35" s="12">
        <f>IF('Data Entry'!A35="","",'Data Entry'!D35)</f>
        <v/>
      </c>
      <c r="E35" s="12">
        <f>IF('Data Entry'!A35="","",'Data Entry'!E35)</f>
        <v/>
      </c>
      <c r="F35" s="12">
        <f>IF('Data Entry'!A35="","",'Data Entry'!F35)</f>
        <v/>
      </c>
      <c r="G35" s="13">
        <f>IF('Data Entry'!A35="","",'Data Entry'!G35)</f>
        <v/>
      </c>
      <c r="H35" s="10">
        <f>IF('Data Entry'!A35="","",'Data Entry'!H35)</f>
        <v/>
      </c>
      <c r="I35" s="10">
        <f>IF('Data Entry'!A35="","",'Data Entry'!I35)</f>
        <v/>
      </c>
      <c r="J35" s="12">
        <f>IF('Data Entry'!A35="","",IF('Data Entry'!D35&lt;&gt;"",'Data Entry'!D35,'Data Entry'!E35))</f>
        <v/>
      </c>
      <c r="K35" s="10">
        <f>IF('Data Entry'!A35="","",IFERROR(SUMIFS($H$5:$H$2001,$J$5:$J$2001,$J35,$B$5:$B$2001,$B35,$A$5:$A$2001,(MAXIFS($A$5:$A$2001,$J$5:$J$2001,$J35,$B$5:$B$2001,$B35,$A$5:$A$2001,"&lt;"&amp;$A35))),""))</f>
        <v/>
      </c>
      <c r="L35" s="14">
        <f>IF(OR('Data Entry'!A35="",$K35=""),"",$H35-$K35)</f>
        <v/>
      </c>
      <c r="M35" s="15">
        <f>IF(OR('Data Entry'!A35="",$K35="",$K35=0),"",$L35/$K35)</f>
        <v/>
      </c>
      <c r="N35" s="12">
        <f>IF('Data Entry'!A35="","",IF($L35="","New item",IF($L35&gt;0,"UP",IF($L35&lt;0,"down","same"))))</f>
        <v/>
      </c>
    </row>
    <row r="36">
      <c r="A36" s="11">
        <f>IF('Data Entry'!A36="","",'Data Entry'!A36)</f>
        <v/>
      </c>
      <c r="B36" s="12">
        <f>IF('Data Entry'!A36="","",'Data Entry'!B36)</f>
        <v/>
      </c>
      <c r="C36" s="12">
        <f>IF('Data Entry'!A36="","",'Data Entry'!C36)</f>
        <v/>
      </c>
      <c r="D36" s="12">
        <f>IF('Data Entry'!A36="","",'Data Entry'!D36)</f>
        <v/>
      </c>
      <c r="E36" s="12">
        <f>IF('Data Entry'!A36="","",'Data Entry'!E36)</f>
        <v/>
      </c>
      <c r="F36" s="12">
        <f>IF('Data Entry'!A36="","",'Data Entry'!F36)</f>
        <v/>
      </c>
      <c r="G36" s="13">
        <f>IF('Data Entry'!A36="","",'Data Entry'!G36)</f>
        <v/>
      </c>
      <c r="H36" s="10">
        <f>IF('Data Entry'!A36="","",'Data Entry'!H36)</f>
        <v/>
      </c>
      <c r="I36" s="10">
        <f>IF('Data Entry'!A36="","",'Data Entry'!I36)</f>
        <v/>
      </c>
      <c r="J36" s="12">
        <f>IF('Data Entry'!A36="","",IF('Data Entry'!D36&lt;&gt;"",'Data Entry'!D36,'Data Entry'!E36))</f>
        <v/>
      </c>
      <c r="K36" s="10">
        <f>IF('Data Entry'!A36="","",IFERROR(SUMIFS($H$5:$H$2001,$J$5:$J$2001,$J36,$B$5:$B$2001,$B36,$A$5:$A$2001,(MAXIFS($A$5:$A$2001,$J$5:$J$2001,$J36,$B$5:$B$2001,$B36,$A$5:$A$2001,"&lt;"&amp;$A36))),""))</f>
        <v/>
      </c>
      <c r="L36" s="14">
        <f>IF(OR('Data Entry'!A36="",$K36=""),"",$H36-$K36)</f>
        <v/>
      </c>
      <c r="M36" s="15">
        <f>IF(OR('Data Entry'!A36="",$K36="",$K36=0),"",$L36/$K36)</f>
        <v/>
      </c>
      <c r="N36" s="12">
        <f>IF('Data Entry'!A36="","",IF($L36="","New item",IF($L36&gt;0,"UP",IF($L36&lt;0,"down","same"))))</f>
        <v/>
      </c>
    </row>
    <row r="37">
      <c r="A37" s="11">
        <f>IF('Data Entry'!A37="","",'Data Entry'!A37)</f>
        <v/>
      </c>
      <c r="B37" s="12">
        <f>IF('Data Entry'!A37="","",'Data Entry'!B37)</f>
        <v/>
      </c>
      <c r="C37" s="12">
        <f>IF('Data Entry'!A37="","",'Data Entry'!C37)</f>
        <v/>
      </c>
      <c r="D37" s="12">
        <f>IF('Data Entry'!A37="","",'Data Entry'!D37)</f>
        <v/>
      </c>
      <c r="E37" s="12">
        <f>IF('Data Entry'!A37="","",'Data Entry'!E37)</f>
        <v/>
      </c>
      <c r="F37" s="12">
        <f>IF('Data Entry'!A37="","",'Data Entry'!F37)</f>
        <v/>
      </c>
      <c r="G37" s="13">
        <f>IF('Data Entry'!A37="","",'Data Entry'!G37)</f>
        <v/>
      </c>
      <c r="H37" s="10">
        <f>IF('Data Entry'!A37="","",'Data Entry'!H37)</f>
        <v/>
      </c>
      <c r="I37" s="10">
        <f>IF('Data Entry'!A37="","",'Data Entry'!I37)</f>
        <v/>
      </c>
      <c r="J37" s="12">
        <f>IF('Data Entry'!A37="","",IF('Data Entry'!D37&lt;&gt;"",'Data Entry'!D37,'Data Entry'!E37))</f>
        <v/>
      </c>
      <c r="K37" s="10">
        <f>IF('Data Entry'!A37="","",IFERROR(SUMIFS($H$5:$H$2001,$J$5:$J$2001,$J37,$B$5:$B$2001,$B37,$A$5:$A$2001,(MAXIFS($A$5:$A$2001,$J$5:$J$2001,$J37,$B$5:$B$2001,$B37,$A$5:$A$2001,"&lt;"&amp;$A37))),""))</f>
        <v/>
      </c>
      <c r="L37" s="14">
        <f>IF(OR('Data Entry'!A37="",$K37=""),"",$H37-$K37)</f>
        <v/>
      </c>
      <c r="M37" s="15">
        <f>IF(OR('Data Entry'!A37="",$K37="",$K37=0),"",$L37/$K37)</f>
        <v/>
      </c>
      <c r="N37" s="12">
        <f>IF('Data Entry'!A37="","",IF($L37="","New item",IF($L37&gt;0,"UP",IF($L37&lt;0,"down","same"))))</f>
        <v/>
      </c>
    </row>
    <row r="38">
      <c r="A38" s="11">
        <f>IF('Data Entry'!A38="","",'Data Entry'!A38)</f>
        <v/>
      </c>
      <c r="B38" s="12">
        <f>IF('Data Entry'!A38="","",'Data Entry'!B38)</f>
        <v/>
      </c>
      <c r="C38" s="12">
        <f>IF('Data Entry'!A38="","",'Data Entry'!C38)</f>
        <v/>
      </c>
      <c r="D38" s="12">
        <f>IF('Data Entry'!A38="","",'Data Entry'!D38)</f>
        <v/>
      </c>
      <c r="E38" s="12">
        <f>IF('Data Entry'!A38="","",'Data Entry'!E38)</f>
        <v/>
      </c>
      <c r="F38" s="12">
        <f>IF('Data Entry'!A38="","",'Data Entry'!F38)</f>
        <v/>
      </c>
      <c r="G38" s="13">
        <f>IF('Data Entry'!A38="","",'Data Entry'!G38)</f>
        <v/>
      </c>
      <c r="H38" s="10">
        <f>IF('Data Entry'!A38="","",'Data Entry'!H38)</f>
        <v/>
      </c>
      <c r="I38" s="10">
        <f>IF('Data Entry'!A38="","",'Data Entry'!I38)</f>
        <v/>
      </c>
      <c r="J38" s="12">
        <f>IF('Data Entry'!A38="","",IF('Data Entry'!D38&lt;&gt;"",'Data Entry'!D38,'Data Entry'!E38))</f>
        <v/>
      </c>
      <c r="K38" s="10">
        <f>IF('Data Entry'!A38="","",IFERROR(SUMIFS($H$5:$H$2001,$J$5:$J$2001,$J38,$B$5:$B$2001,$B38,$A$5:$A$2001,(MAXIFS($A$5:$A$2001,$J$5:$J$2001,$J38,$B$5:$B$2001,$B38,$A$5:$A$2001,"&lt;"&amp;$A38))),""))</f>
        <v/>
      </c>
      <c r="L38" s="14">
        <f>IF(OR('Data Entry'!A38="",$K38=""),"",$H38-$K38)</f>
        <v/>
      </c>
      <c r="M38" s="15">
        <f>IF(OR('Data Entry'!A38="",$K38="",$K38=0),"",$L38/$K38)</f>
        <v/>
      </c>
      <c r="N38" s="12">
        <f>IF('Data Entry'!A38="","",IF($L38="","New item",IF($L38&gt;0,"UP",IF($L38&lt;0,"down","same"))))</f>
        <v/>
      </c>
    </row>
    <row r="39">
      <c r="A39" s="11">
        <f>IF('Data Entry'!A39="","",'Data Entry'!A39)</f>
        <v/>
      </c>
      <c r="B39" s="12">
        <f>IF('Data Entry'!A39="","",'Data Entry'!B39)</f>
        <v/>
      </c>
      <c r="C39" s="12">
        <f>IF('Data Entry'!A39="","",'Data Entry'!C39)</f>
        <v/>
      </c>
      <c r="D39" s="12">
        <f>IF('Data Entry'!A39="","",'Data Entry'!D39)</f>
        <v/>
      </c>
      <c r="E39" s="12">
        <f>IF('Data Entry'!A39="","",'Data Entry'!E39)</f>
        <v/>
      </c>
      <c r="F39" s="12">
        <f>IF('Data Entry'!A39="","",'Data Entry'!F39)</f>
        <v/>
      </c>
      <c r="G39" s="13">
        <f>IF('Data Entry'!A39="","",'Data Entry'!G39)</f>
        <v/>
      </c>
      <c r="H39" s="10">
        <f>IF('Data Entry'!A39="","",'Data Entry'!H39)</f>
        <v/>
      </c>
      <c r="I39" s="10">
        <f>IF('Data Entry'!A39="","",'Data Entry'!I39)</f>
        <v/>
      </c>
      <c r="J39" s="12">
        <f>IF('Data Entry'!A39="","",IF('Data Entry'!D39&lt;&gt;"",'Data Entry'!D39,'Data Entry'!E39))</f>
        <v/>
      </c>
      <c r="K39" s="10">
        <f>IF('Data Entry'!A39="","",IFERROR(SUMIFS($H$5:$H$2001,$J$5:$J$2001,$J39,$B$5:$B$2001,$B39,$A$5:$A$2001,(MAXIFS($A$5:$A$2001,$J$5:$J$2001,$J39,$B$5:$B$2001,$B39,$A$5:$A$2001,"&lt;"&amp;$A39))),""))</f>
        <v/>
      </c>
      <c r="L39" s="14">
        <f>IF(OR('Data Entry'!A39="",$K39=""),"",$H39-$K39)</f>
        <v/>
      </c>
      <c r="M39" s="15">
        <f>IF(OR('Data Entry'!A39="",$K39="",$K39=0),"",$L39/$K39)</f>
        <v/>
      </c>
      <c r="N39" s="12">
        <f>IF('Data Entry'!A39="","",IF($L39="","New item",IF($L39&gt;0,"UP",IF($L39&lt;0,"down","same"))))</f>
        <v/>
      </c>
    </row>
    <row r="40">
      <c r="A40" s="11">
        <f>IF('Data Entry'!A40="","",'Data Entry'!A40)</f>
        <v/>
      </c>
      <c r="B40" s="12">
        <f>IF('Data Entry'!A40="","",'Data Entry'!B40)</f>
        <v/>
      </c>
      <c r="C40" s="12">
        <f>IF('Data Entry'!A40="","",'Data Entry'!C40)</f>
        <v/>
      </c>
      <c r="D40" s="12">
        <f>IF('Data Entry'!A40="","",'Data Entry'!D40)</f>
        <v/>
      </c>
      <c r="E40" s="12">
        <f>IF('Data Entry'!A40="","",'Data Entry'!E40)</f>
        <v/>
      </c>
      <c r="F40" s="12">
        <f>IF('Data Entry'!A40="","",'Data Entry'!F40)</f>
        <v/>
      </c>
      <c r="G40" s="13">
        <f>IF('Data Entry'!A40="","",'Data Entry'!G40)</f>
        <v/>
      </c>
      <c r="H40" s="10">
        <f>IF('Data Entry'!A40="","",'Data Entry'!H40)</f>
        <v/>
      </c>
      <c r="I40" s="10">
        <f>IF('Data Entry'!A40="","",'Data Entry'!I40)</f>
        <v/>
      </c>
      <c r="J40" s="12">
        <f>IF('Data Entry'!A40="","",IF('Data Entry'!D40&lt;&gt;"",'Data Entry'!D40,'Data Entry'!E40))</f>
        <v/>
      </c>
      <c r="K40" s="10">
        <f>IF('Data Entry'!A40="","",IFERROR(SUMIFS($H$5:$H$2001,$J$5:$J$2001,$J40,$B$5:$B$2001,$B40,$A$5:$A$2001,(MAXIFS($A$5:$A$2001,$J$5:$J$2001,$J40,$B$5:$B$2001,$B40,$A$5:$A$2001,"&lt;"&amp;$A40))),""))</f>
        <v/>
      </c>
      <c r="L40" s="14">
        <f>IF(OR('Data Entry'!A40="",$K40=""),"",$H40-$K40)</f>
        <v/>
      </c>
      <c r="M40" s="15">
        <f>IF(OR('Data Entry'!A40="",$K40="",$K40=0),"",$L40/$K40)</f>
        <v/>
      </c>
      <c r="N40" s="12">
        <f>IF('Data Entry'!A40="","",IF($L40="","New item",IF($L40&gt;0,"UP",IF($L40&lt;0,"down","same"))))</f>
        <v/>
      </c>
    </row>
    <row r="41">
      <c r="A41" s="11">
        <f>IF('Data Entry'!A41="","",'Data Entry'!A41)</f>
        <v/>
      </c>
      <c r="B41" s="12">
        <f>IF('Data Entry'!A41="","",'Data Entry'!B41)</f>
        <v/>
      </c>
      <c r="C41" s="12">
        <f>IF('Data Entry'!A41="","",'Data Entry'!C41)</f>
        <v/>
      </c>
      <c r="D41" s="12">
        <f>IF('Data Entry'!A41="","",'Data Entry'!D41)</f>
        <v/>
      </c>
      <c r="E41" s="12">
        <f>IF('Data Entry'!A41="","",'Data Entry'!E41)</f>
        <v/>
      </c>
      <c r="F41" s="12">
        <f>IF('Data Entry'!A41="","",'Data Entry'!F41)</f>
        <v/>
      </c>
      <c r="G41" s="13">
        <f>IF('Data Entry'!A41="","",'Data Entry'!G41)</f>
        <v/>
      </c>
      <c r="H41" s="10">
        <f>IF('Data Entry'!A41="","",'Data Entry'!H41)</f>
        <v/>
      </c>
      <c r="I41" s="10">
        <f>IF('Data Entry'!A41="","",'Data Entry'!I41)</f>
        <v/>
      </c>
      <c r="J41" s="12">
        <f>IF('Data Entry'!A41="","",IF('Data Entry'!D41&lt;&gt;"",'Data Entry'!D41,'Data Entry'!E41))</f>
        <v/>
      </c>
      <c r="K41" s="10">
        <f>IF('Data Entry'!A41="","",IFERROR(SUMIFS($H$5:$H$2001,$J$5:$J$2001,$J41,$B$5:$B$2001,$B41,$A$5:$A$2001,(MAXIFS($A$5:$A$2001,$J$5:$J$2001,$J41,$B$5:$B$2001,$B41,$A$5:$A$2001,"&lt;"&amp;$A41))),""))</f>
        <v/>
      </c>
      <c r="L41" s="14">
        <f>IF(OR('Data Entry'!A41="",$K41=""),"",$H41-$K41)</f>
        <v/>
      </c>
      <c r="M41" s="15">
        <f>IF(OR('Data Entry'!A41="",$K41="",$K41=0),"",$L41/$K41)</f>
        <v/>
      </c>
      <c r="N41" s="12">
        <f>IF('Data Entry'!A41="","",IF($L41="","New item",IF($L41&gt;0,"UP",IF($L41&lt;0,"down","same"))))</f>
        <v/>
      </c>
    </row>
    <row r="42">
      <c r="A42" s="11">
        <f>IF('Data Entry'!A42="","",'Data Entry'!A42)</f>
        <v/>
      </c>
      <c r="B42" s="12">
        <f>IF('Data Entry'!A42="","",'Data Entry'!B42)</f>
        <v/>
      </c>
      <c r="C42" s="12">
        <f>IF('Data Entry'!A42="","",'Data Entry'!C42)</f>
        <v/>
      </c>
      <c r="D42" s="12">
        <f>IF('Data Entry'!A42="","",'Data Entry'!D42)</f>
        <v/>
      </c>
      <c r="E42" s="12">
        <f>IF('Data Entry'!A42="","",'Data Entry'!E42)</f>
        <v/>
      </c>
      <c r="F42" s="12">
        <f>IF('Data Entry'!A42="","",'Data Entry'!F42)</f>
        <v/>
      </c>
      <c r="G42" s="13">
        <f>IF('Data Entry'!A42="","",'Data Entry'!G42)</f>
        <v/>
      </c>
      <c r="H42" s="10">
        <f>IF('Data Entry'!A42="","",'Data Entry'!H42)</f>
        <v/>
      </c>
      <c r="I42" s="10">
        <f>IF('Data Entry'!A42="","",'Data Entry'!I42)</f>
        <v/>
      </c>
      <c r="J42" s="12">
        <f>IF('Data Entry'!A42="","",IF('Data Entry'!D42&lt;&gt;"",'Data Entry'!D42,'Data Entry'!E42))</f>
        <v/>
      </c>
      <c r="K42" s="10">
        <f>IF('Data Entry'!A42="","",IFERROR(SUMIFS($H$5:$H$2001,$J$5:$J$2001,$J42,$B$5:$B$2001,$B42,$A$5:$A$2001,(MAXIFS($A$5:$A$2001,$J$5:$J$2001,$J42,$B$5:$B$2001,$B42,$A$5:$A$2001,"&lt;"&amp;$A42))),""))</f>
        <v/>
      </c>
      <c r="L42" s="14">
        <f>IF(OR('Data Entry'!A42="",$K42=""),"",$H42-$K42)</f>
        <v/>
      </c>
      <c r="M42" s="15">
        <f>IF(OR('Data Entry'!A42="",$K42="",$K42=0),"",$L42/$K42)</f>
        <v/>
      </c>
      <c r="N42" s="12">
        <f>IF('Data Entry'!A42="","",IF($L42="","New item",IF($L42&gt;0,"UP",IF($L42&lt;0,"down","same"))))</f>
        <v/>
      </c>
    </row>
    <row r="43">
      <c r="A43" s="11">
        <f>IF('Data Entry'!A43="","",'Data Entry'!A43)</f>
        <v/>
      </c>
      <c r="B43" s="12">
        <f>IF('Data Entry'!A43="","",'Data Entry'!B43)</f>
        <v/>
      </c>
      <c r="C43" s="12">
        <f>IF('Data Entry'!A43="","",'Data Entry'!C43)</f>
        <v/>
      </c>
      <c r="D43" s="12">
        <f>IF('Data Entry'!A43="","",'Data Entry'!D43)</f>
        <v/>
      </c>
      <c r="E43" s="12">
        <f>IF('Data Entry'!A43="","",'Data Entry'!E43)</f>
        <v/>
      </c>
      <c r="F43" s="12">
        <f>IF('Data Entry'!A43="","",'Data Entry'!F43)</f>
        <v/>
      </c>
      <c r="G43" s="13">
        <f>IF('Data Entry'!A43="","",'Data Entry'!G43)</f>
        <v/>
      </c>
      <c r="H43" s="10">
        <f>IF('Data Entry'!A43="","",'Data Entry'!H43)</f>
        <v/>
      </c>
      <c r="I43" s="10">
        <f>IF('Data Entry'!A43="","",'Data Entry'!I43)</f>
        <v/>
      </c>
      <c r="J43" s="12">
        <f>IF('Data Entry'!A43="","",IF('Data Entry'!D43&lt;&gt;"",'Data Entry'!D43,'Data Entry'!E43))</f>
        <v/>
      </c>
      <c r="K43" s="10">
        <f>IF('Data Entry'!A43="","",IFERROR(SUMIFS($H$5:$H$2001,$J$5:$J$2001,$J43,$B$5:$B$2001,$B43,$A$5:$A$2001,(MAXIFS($A$5:$A$2001,$J$5:$J$2001,$J43,$B$5:$B$2001,$B43,$A$5:$A$2001,"&lt;"&amp;$A43))),""))</f>
        <v/>
      </c>
      <c r="L43" s="14">
        <f>IF(OR('Data Entry'!A43="",$K43=""),"",$H43-$K43)</f>
        <v/>
      </c>
      <c r="M43" s="15">
        <f>IF(OR('Data Entry'!A43="",$K43="",$K43=0),"",$L43/$K43)</f>
        <v/>
      </c>
      <c r="N43" s="12">
        <f>IF('Data Entry'!A43="","",IF($L43="","New item",IF($L43&gt;0,"UP",IF($L43&lt;0,"down","same"))))</f>
        <v/>
      </c>
    </row>
    <row r="44">
      <c r="A44" s="11">
        <f>IF('Data Entry'!A44="","",'Data Entry'!A44)</f>
        <v/>
      </c>
      <c r="B44" s="12">
        <f>IF('Data Entry'!A44="","",'Data Entry'!B44)</f>
        <v/>
      </c>
      <c r="C44" s="12">
        <f>IF('Data Entry'!A44="","",'Data Entry'!C44)</f>
        <v/>
      </c>
      <c r="D44" s="12">
        <f>IF('Data Entry'!A44="","",'Data Entry'!D44)</f>
        <v/>
      </c>
      <c r="E44" s="12">
        <f>IF('Data Entry'!A44="","",'Data Entry'!E44)</f>
        <v/>
      </c>
      <c r="F44" s="12">
        <f>IF('Data Entry'!A44="","",'Data Entry'!F44)</f>
        <v/>
      </c>
      <c r="G44" s="13">
        <f>IF('Data Entry'!A44="","",'Data Entry'!G44)</f>
        <v/>
      </c>
      <c r="H44" s="10">
        <f>IF('Data Entry'!A44="","",'Data Entry'!H44)</f>
        <v/>
      </c>
      <c r="I44" s="10">
        <f>IF('Data Entry'!A44="","",'Data Entry'!I44)</f>
        <v/>
      </c>
      <c r="J44" s="12">
        <f>IF('Data Entry'!A44="","",IF('Data Entry'!D44&lt;&gt;"",'Data Entry'!D44,'Data Entry'!E44))</f>
        <v/>
      </c>
      <c r="K44" s="10">
        <f>IF('Data Entry'!A44="","",IFERROR(SUMIFS($H$5:$H$2001,$J$5:$J$2001,$J44,$B$5:$B$2001,$B44,$A$5:$A$2001,(MAXIFS($A$5:$A$2001,$J$5:$J$2001,$J44,$B$5:$B$2001,$B44,$A$5:$A$2001,"&lt;"&amp;$A44))),""))</f>
        <v/>
      </c>
      <c r="L44" s="14">
        <f>IF(OR('Data Entry'!A44="",$K44=""),"",$H44-$K44)</f>
        <v/>
      </c>
      <c r="M44" s="15">
        <f>IF(OR('Data Entry'!A44="",$K44="",$K44=0),"",$L44/$K44)</f>
        <v/>
      </c>
      <c r="N44" s="12">
        <f>IF('Data Entry'!A44="","",IF($L44="","New item",IF($L44&gt;0,"UP",IF($L44&lt;0,"down","same"))))</f>
        <v/>
      </c>
    </row>
    <row r="45">
      <c r="A45" s="11">
        <f>IF('Data Entry'!A45="","",'Data Entry'!A45)</f>
        <v/>
      </c>
      <c r="B45" s="12">
        <f>IF('Data Entry'!A45="","",'Data Entry'!B45)</f>
        <v/>
      </c>
      <c r="C45" s="12">
        <f>IF('Data Entry'!A45="","",'Data Entry'!C45)</f>
        <v/>
      </c>
      <c r="D45" s="12">
        <f>IF('Data Entry'!A45="","",'Data Entry'!D45)</f>
        <v/>
      </c>
      <c r="E45" s="12">
        <f>IF('Data Entry'!A45="","",'Data Entry'!E45)</f>
        <v/>
      </c>
      <c r="F45" s="12">
        <f>IF('Data Entry'!A45="","",'Data Entry'!F45)</f>
        <v/>
      </c>
      <c r="G45" s="13">
        <f>IF('Data Entry'!A45="","",'Data Entry'!G45)</f>
        <v/>
      </c>
      <c r="H45" s="10">
        <f>IF('Data Entry'!A45="","",'Data Entry'!H45)</f>
        <v/>
      </c>
      <c r="I45" s="10">
        <f>IF('Data Entry'!A45="","",'Data Entry'!I45)</f>
        <v/>
      </c>
      <c r="J45" s="12">
        <f>IF('Data Entry'!A45="","",IF('Data Entry'!D45&lt;&gt;"",'Data Entry'!D45,'Data Entry'!E45))</f>
        <v/>
      </c>
      <c r="K45" s="10">
        <f>IF('Data Entry'!A45="","",IFERROR(SUMIFS($H$5:$H$2001,$J$5:$J$2001,$J45,$B$5:$B$2001,$B45,$A$5:$A$2001,(MAXIFS($A$5:$A$2001,$J$5:$J$2001,$J45,$B$5:$B$2001,$B45,$A$5:$A$2001,"&lt;"&amp;$A45))),""))</f>
        <v/>
      </c>
      <c r="L45" s="14">
        <f>IF(OR('Data Entry'!A45="",$K45=""),"",$H45-$K45)</f>
        <v/>
      </c>
      <c r="M45" s="15">
        <f>IF(OR('Data Entry'!A45="",$K45="",$K45=0),"",$L45/$K45)</f>
        <v/>
      </c>
      <c r="N45" s="12">
        <f>IF('Data Entry'!A45="","",IF($L45="","New item",IF($L45&gt;0,"UP",IF($L45&lt;0,"down","same"))))</f>
        <v/>
      </c>
    </row>
    <row r="46">
      <c r="A46" s="11">
        <f>IF('Data Entry'!A46="","",'Data Entry'!A46)</f>
        <v/>
      </c>
      <c r="B46" s="12">
        <f>IF('Data Entry'!A46="","",'Data Entry'!B46)</f>
        <v/>
      </c>
      <c r="C46" s="12">
        <f>IF('Data Entry'!A46="","",'Data Entry'!C46)</f>
        <v/>
      </c>
      <c r="D46" s="12">
        <f>IF('Data Entry'!A46="","",'Data Entry'!D46)</f>
        <v/>
      </c>
      <c r="E46" s="12">
        <f>IF('Data Entry'!A46="","",'Data Entry'!E46)</f>
        <v/>
      </c>
      <c r="F46" s="12">
        <f>IF('Data Entry'!A46="","",'Data Entry'!F46)</f>
        <v/>
      </c>
      <c r="G46" s="13">
        <f>IF('Data Entry'!A46="","",'Data Entry'!G46)</f>
        <v/>
      </c>
      <c r="H46" s="10">
        <f>IF('Data Entry'!A46="","",'Data Entry'!H46)</f>
        <v/>
      </c>
      <c r="I46" s="10">
        <f>IF('Data Entry'!A46="","",'Data Entry'!I46)</f>
        <v/>
      </c>
      <c r="J46" s="12">
        <f>IF('Data Entry'!A46="","",IF('Data Entry'!D46&lt;&gt;"",'Data Entry'!D46,'Data Entry'!E46))</f>
        <v/>
      </c>
      <c r="K46" s="10">
        <f>IF('Data Entry'!A46="","",IFERROR(SUMIFS($H$5:$H$2001,$J$5:$J$2001,$J46,$B$5:$B$2001,$B46,$A$5:$A$2001,(MAXIFS($A$5:$A$2001,$J$5:$J$2001,$J46,$B$5:$B$2001,$B46,$A$5:$A$2001,"&lt;"&amp;$A46))),""))</f>
        <v/>
      </c>
      <c r="L46" s="14">
        <f>IF(OR('Data Entry'!A46="",$K46=""),"",$H46-$K46)</f>
        <v/>
      </c>
      <c r="M46" s="15">
        <f>IF(OR('Data Entry'!A46="",$K46="",$K46=0),"",$L46/$K46)</f>
        <v/>
      </c>
      <c r="N46" s="12">
        <f>IF('Data Entry'!A46="","",IF($L46="","New item",IF($L46&gt;0,"UP",IF($L46&lt;0,"down","same"))))</f>
        <v/>
      </c>
    </row>
    <row r="47">
      <c r="A47" s="11">
        <f>IF('Data Entry'!A47="","",'Data Entry'!A47)</f>
        <v/>
      </c>
      <c r="B47" s="12">
        <f>IF('Data Entry'!A47="","",'Data Entry'!B47)</f>
        <v/>
      </c>
      <c r="C47" s="12">
        <f>IF('Data Entry'!A47="","",'Data Entry'!C47)</f>
        <v/>
      </c>
      <c r="D47" s="12">
        <f>IF('Data Entry'!A47="","",'Data Entry'!D47)</f>
        <v/>
      </c>
      <c r="E47" s="12">
        <f>IF('Data Entry'!A47="","",'Data Entry'!E47)</f>
        <v/>
      </c>
      <c r="F47" s="12">
        <f>IF('Data Entry'!A47="","",'Data Entry'!F47)</f>
        <v/>
      </c>
      <c r="G47" s="13">
        <f>IF('Data Entry'!A47="","",'Data Entry'!G47)</f>
        <v/>
      </c>
      <c r="H47" s="10">
        <f>IF('Data Entry'!A47="","",'Data Entry'!H47)</f>
        <v/>
      </c>
      <c r="I47" s="10">
        <f>IF('Data Entry'!A47="","",'Data Entry'!I47)</f>
        <v/>
      </c>
      <c r="J47" s="12">
        <f>IF('Data Entry'!A47="","",IF('Data Entry'!D47&lt;&gt;"",'Data Entry'!D47,'Data Entry'!E47))</f>
        <v/>
      </c>
      <c r="K47" s="10">
        <f>IF('Data Entry'!A47="","",IFERROR(SUMIFS($H$5:$H$2001,$J$5:$J$2001,$J47,$B$5:$B$2001,$B47,$A$5:$A$2001,(MAXIFS($A$5:$A$2001,$J$5:$J$2001,$J47,$B$5:$B$2001,$B47,$A$5:$A$2001,"&lt;"&amp;$A47))),""))</f>
        <v/>
      </c>
      <c r="L47" s="14">
        <f>IF(OR('Data Entry'!A47="",$K47=""),"",$H47-$K47)</f>
        <v/>
      </c>
      <c r="M47" s="15">
        <f>IF(OR('Data Entry'!A47="",$K47="",$K47=0),"",$L47/$K47)</f>
        <v/>
      </c>
      <c r="N47" s="12">
        <f>IF('Data Entry'!A47="","",IF($L47="","New item",IF($L47&gt;0,"UP",IF($L47&lt;0,"down","same"))))</f>
        <v/>
      </c>
    </row>
    <row r="48">
      <c r="A48" s="11">
        <f>IF('Data Entry'!A48="","",'Data Entry'!A48)</f>
        <v/>
      </c>
      <c r="B48" s="12">
        <f>IF('Data Entry'!A48="","",'Data Entry'!B48)</f>
        <v/>
      </c>
      <c r="C48" s="12">
        <f>IF('Data Entry'!A48="","",'Data Entry'!C48)</f>
        <v/>
      </c>
      <c r="D48" s="12">
        <f>IF('Data Entry'!A48="","",'Data Entry'!D48)</f>
        <v/>
      </c>
      <c r="E48" s="12">
        <f>IF('Data Entry'!A48="","",'Data Entry'!E48)</f>
        <v/>
      </c>
      <c r="F48" s="12">
        <f>IF('Data Entry'!A48="","",'Data Entry'!F48)</f>
        <v/>
      </c>
      <c r="G48" s="13">
        <f>IF('Data Entry'!A48="","",'Data Entry'!G48)</f>
        <v/>
      </c>
      <c r="H48" s="10">
        <f>IF('Data Entry'!A48="","",'Data Entry'!H48)</f>
        <v/>
      </c>
      <c r="I48" s="10">
        <f>IF('Data Entry'!A48="","",'Data Entry'!I48)</f>
        <v/>
      </c>
      <c r="J48" s="12">
        <f>IF('Data Entry'!A48="","",IF('Data Entry'!D48&lt;&gt;"",'Data Entry'!D48,'Data Entry'!E48))</f>
        <v/>
      </c>
      <c r="K48" s="10">
        <f>IF('Data Entry'!A48="","",IFERROR(SUMIFS($H$5:$H$2001,$J$5:$J$2001,$J48,$B$5:$B$2001,$B48,$A$5:$A$2001,(MAXIFS($A$5:$A$2001,$J$5:$J$2001,$J48,$B$5:$B$2001,$B48,$A$5:$A$2001,"&lt;"&amp;$A48))),""))</f>
        <v/>
      </c>
      <c r="L48" s="14">
        <f>IF(OR('Data Entry'!A48="",$K48=""),"",$H48-$K48)</f>
        <v/>
      </c>
      <c r="M48" s="15">
        <f>IF(OR('Data Entry'!A48="",$K48="",$K48=0),"",$L48/$K48)</f>
        <v/>
      </c>
      <c r="N48" s="12">
        <f>IF('Data Entry'!A48="","",IF($L48="","New item",IF($L48&gt;0,"UP",IF($L48&lt;0,"down","same"))))</f>
        <v/>
      </c>
    </row>
    <row r="49">
      <c r="A49" s="11">
        <f>IF('Data Entry'!A49="","",'Data Entry'!A49)</f>
        <v/>
      </c>
      <c r="B49" s="12">
        <f>IF('Data Entry'!A49="","",'Data Entry'!B49)</f>
        <v/>
      </c>
      <c r="C49" s="12">
        <f>IF('Data Entry'!A49="","",'Data Entry'!C49)</f>
        <v/>
      </c>
      <c r="D49" s="12">
        <f>IF('Data Entry'!A49="","",'Data Entry'!D49)</f>
        <v/>
      </c>
      <c r="E49" s="12">
        <f>IF('Data Entry'!A49="","",'Data Entry'!E49)</f>
        <v/>
      </c>
      <c r="F49" s="12">
        <f>IF('Data Entry'!A49="","",'Data Entry'!F49)</f>
        <v/>
      </c>
      <c r="G49" s="13">
        <f>IF('Data Entry'!A49="","",'Data Entry'!G49)</f>
        <v/>
      </c>
      <c r="H49" s="10">
        <f>IF('Data Entry'!A49="","",'Data Entry'!H49)</f>
        <v/>
      </c>
      <c r="I49" s="10">
        <f>IF('Data Entry'!A49="","",'Data Entry'!I49)</f>
        <v/>
      </c>
      <c r="J49" s="12">
        <f>IF('Data Entry'!A49="","",IF('Data Entry'!D49&lt;&gt;"",'Data Entry'!D49,'Data Entry'!E49))</f>
        <v/>
      </c>
      <c r="K49" s="10">
        <f>IF('Data Entry'!A49="","",IFERROR(SUMIFS($H$5:$H$2001,$J$5:$J$2001,$J49,$B$5:$B$2001,$B49,$A$5:$A$2001,(MAXIFS($A$5:$A$2001,$J$5:$J$2001,$J49,$B$5:$B$2001,$B49,$A$5:$A$2001,"&lt;"&amp;$A49))),""))</f>
        <v/>
      </c>
      <c r="L49" s="14">
        <f>IF(OR('Data Entry'!A49="",$K49=""),"",$H49-$K49)</f>
        <v/>
      </c>
      <c r="M49" s="15">
        <f>IF(OR('Data Entry'!A49="",$K49="",$K49=0),"",$L49/$K49)</f>
        <v/>
      </c>
      <c r="N49" s="12">
        <f>IF('Data Entry'!A49="","",IF($L49="","New item",IF($L49&gt;0,"UP",IF($L49&lt;0,"down","same"))))</f>
        <v/>
      </c>
    </row>
    <row r="50">
      <c r="A50" s="11">
        <f>IF('Data Entry'!A50="","",'Data Entry'!A50)</f>
        <v/>
      </c>
      <c r="B50" s="12">
        <f>IF('Data Entry'!A50="","",'Data Entry'!B50)</f>
        <v/>
      </c>
      <c r="C50" s="12">
        <f>IF('Data Entry'!A50="","",'Data Entry'!C50)</f>
        <v/>
      </c>
      <c r="D50" s="12">
        <f>IF('Data Entry'!A50="","",'Data Entry'!D50)</f>
        <v/>
      </c>
      <c r="E50" s="12">
        <f>IF('Data Entry'!A50="","",'Data Entry'!E50)</f>
        <v/>
      </c>
      <c r="F50" s="12">
        <f>IF('Data Entry'!A50="","",'Data Entry'!F50)</f>
        <v/>
      </c>
      <c r="G50" s="13">
        <f>IF('Data Entry'!A50="","",'Data Entry'!G50)</f>
        <v/>
      </c>
      <c r="H50" s="10">
        <f>IF('Data Entry'!A50="","",'Data Entry'!H50)</f>
        <v/>
      </c>
      <c r="I50" s="10">
        <f>IF('Data Entry'!A50="","",'Data Entry'!I50)</f>
        <v/>
      </c>
      <c r="J50" s="12">
        <f>IF('Data Entry'!A50="","",IF('Data Entry'!D50&lt;&gt;"",'Data Entry'!D50,'Data Entry'!E50))</f>
        <v/>
      </c>
      <c r="K50" s="10">
        <f>IF('Data Entry'!A50="","",IFERROR(SUMIFS($H$5:$H$2001,$J$5:$J$2001,$J50,$B$5:$B$2001,$B50,$A$5:$A$2001,(MAXIFS($A$5:$A$2001,$J$5:$J$2001,$J50,$B$5:$B$2001,$B50,$A$5:$A$2001,"&lt;"&amp;$A50))),""))</f>
        <v/>
      </c>
      <c r="L50" s="14">
        <f>IF(OR('Data Entry'!A50="",$K50=""),"",$H50-$K50)</f>
        <v/>
      </c>
      <c r="M50" s="15">
        <f>IF(OR('Data Entry'!A50="",$K50="",$K50=0),"",$L50/$K50)</f>
        <v/>
      </c>
      <c r="N50" s="12">
        <f>IF('Data Entry'!A50="","",IF($L50="","New item",IF($L50&gt;0,"UP",IF($L50&lt;0,"down","same"))))</f>
        <v/>
      </c>
    </row>
    <row r="51">
      <c r="A51" s="11">
        <f>IF('Data Entry'!A51="","",'Data Entry'!A51)</f>
        <v/>
      </c>
      <c r="B51" s="12">
        <f>IF('Data Entry'!A51="","",'Data Entry'!B51)</f>
        <v/>
      </c>
      <c r="C51" s="12">
        <f>IF('Data Entry'!A51="","",'Data Entry'!C51)</f>
        <v/>
      </c>
      <c r="D51" s="12">
        <f>IF('Data Entry'!A51="","",'Data Entry'!D51)</f>
        <v/>
      </c>
      <c r="E51" s="12">
        <f>IF('Data Entry'!A51="","",'Data Entry'!E51)</f>
        <v/>
      </c>
      <c r="F51" s="12">
        <f>IF('Data Entry'!A51="","",'Data Entry'!F51)</f>
        <v/>
      </c>
      <c r="G51" s="13">
        <f>IF('Data Entry'!A51="","",'Data Entry'!G51)</f>
        <v/>
      </c>
      <c r="H51" s="10">
        <f>IF('Data Entry'!A51="","",'Data Entry'!H51)</f>
        <v/>
      </c>
      <c r="I51" s="10">
        <f>IF('Data Entry'!A51="","",'Data Entry'!I51)</f>
        <v/>
      </c>
      <c r="J51" s="12">
        <f>IF('Data Entry'!A51="","",IF('Data Entry'!D51&lt;&gt;"",'Data Entry'!D51,'Data Entry'!E51))</f>
        <v/>
      </c>
      <c r="K51" s="10">
        <f>IF('Data Entry'!A51="","",IFERROR(SUMIFS($H$5:$H$2001,$J$5:$J$2001,$J51,$B$5:$B$2001,$B51,$A$5:$A$2001,(MAXIFS($A$5:$A$2001,$J$5:$J$2001,$J51,$B$5:$B$2001,$B51,$A$5:$A$2001,"&lt;"&amp;$A51))),""))</f>
        <v/>
      </c>
      <c r="L51" s="14">
        <f>IF(OR('Data Entry'!A51="",$K51=""),"",$H51-$K51)</f>
        <v/>
      </c>
      <c r="M51" s="15">
        <f>IF(OR('Data Entry'!A51="",$K51="",$K51=0),"",$L51/$K51)</f>
        <v/>
      </c>
      <c r="N51" s="12">
        <f>IF('Data Entry'!A51="","",IF($L51="","New item",IF($L51&gt;0,"UP",IF($L51&lt;0,"down","same"))))</f>
        <v/>
      </c>
    </row>
    <row r="52">
      <c r="A52" s="11">
        <f>IF('Data Entry'!A52="","",'Data Entry'!A52)</f>
        <v/>
      </c>
      <c r="B52" s="12">
        <f>IF('Data Entry'!A52="","",'Data Entry'!B52)</f>
        <v/>
      </c>
      <c r="C52" s="12">
        <f>IF('Data Entry'!A52="","",'Data Entry'!C52)</f>
        <v/>
      </c>
      <c r="D52" s="12">
        <f>IF('Data Entry'!A52="","",'Data Entry'!D52)</f>
        <v/>
      </c>
      <c r="E52" s="12">
        <f>IF('Data Entry'!A52="","",'Data Entry'!E52)</f>
        <v/>
      </c>
      <c r="F52" s="12">
        <f>IF('Data Entry'!A52="","",'Data Entry'!F52)</f>
        <v/>
      </c>
      <c r="G52" s="13">
        <f>IF('Data Entry'!A52="","",'Data Entry'!G52)</f>
        <v/>
      </c>
      <c r="H52" s="10">
        <f>IF('Data Entry'!A52="","",'Data Entry'!H52)</f>
        <v/>
      </c>
      <c r="I52" s="10">
        <f>IF('Data Entry'!A52="","",'Data Entry'!I52)</f>
        <v/>
      </c>
      <c r="J52" s="12">
        <f>IF('Data Entry'!A52="","",IF('Data Entry'!D52&lt;&gt;"",'Data Entry'!D52,'Data Entry'!E52))</f>
        <v/>
      </c>
      <c r="K52" s="10">
        <f>IF('Data Entry'!A52="","",IFERROR(SUMIFS($H$5:$H$2001,$J$5:$J$2001,$J52,$B$5:$B$2001,$B52,$A$5:$A$2001,(MAXIFS($A$5:$A$2001,$J$5:$J$2001,$J52,$B$5:$B$2001,$B52,$A$5:$A$2001,"&lt;"&amp;$A52))),""))</f>
        <v/>
      </c>
      <c r="L52" s="14">
        <f>IF(OR('Data Entry'!A52="",$K52=""),"",$H52-$K52)</f>
        <v/>
      </c>
      <c r="M52" s="15">
        <f>IF(OR('Data Entry'!A52="",$K52="",$K52=0),"",$L52/$K52)</f>
        <v/>
      </c>
      <c r="N52" s="12">
        <f>IF('Data Entry'!A52="","",IF($L52="","New item",IF($L52&gt;0,"UP",IF($L52&lt;0,"down","same"))))</f>
        <v/>
      </c>
    </row>
    <row r="53">
      <c r="A53" s="11">
        <f>IF('Data Entry'!A53="","",'Data Entry'!A53)</f>
        <v/>
      </c>
      <c r="B53" s="12">
        <f>IF('Data Entry'!A53="","",'Data Entry'!B53)</f>
        <v/>
      </c>
      <c r="C53" s="12">
        <f>IF('Data Entry'!A53="","",'Data Entry'!C53)</f>
        <v/>
      </c>
      <c r="D53" s="12">
        <f>IF('Data Entry'!A53="","",'Data Entry'!D53)</f>
        <v/>
      </c>
      <c r="E53" s="12">
        <f>IF('Data Entry'!A53="","",'Data Entry'!E53)</f>
        <v/>
      </c>
      <c r="F53" s="12">
        <f>IF('Data Entry'!A53="","",'Data Entry'!F53)</f>
        <v/>
      </c>
      <c r="G53" s="13">
        <f>IF('Data Entry'!A53="","",'Data Entry'!G53)</f>
        <v/>
      </c>
      <c r="H53" s="10">
        <f>IF('Data Entry'!A53="","",'Data Entry'!H53)</f>
        <v/>
      </c>
      <c r="I53" s="10">
        <f>IF('Data Entry'!A53="","",'Data Entry'!I53)</f>
        <v/>
      </c>
      <c r="J53" s="12">
        <f>IF('Data Entry'!A53="","",IF('Data Entry'!D53&lt;&gt;"",'Data Entry'!D53,'Data Entry'!E53))</f>
        <v/>
      </c>
      <c r="K53" s="10">
        <f>IF('Data Entry'!A53="","",IFERROR(SUMIFS($H$5:$H$2001,$J$5:$J$2001,$J53,$B$5:$B$2001,$B53,$A$5:$A$2001,(MAXIFS($A$5:$A$2001,$J$5:$J$2001,$J53,$B$5:$B$2001,$B53,$A$5:$A$2001,"&lt;"&amp;$A53))),""))</f>
        <v/>
      </c>
      <c r="L53" s="14">
        <f>IF(OR('Data Entry'!A53="",$K53=""),"",$H53-$K53)</f>
        <v/>
      </c>
      <c r="M53" s="15">
        <f>IF(OR('Data Entry'!A53="",$K53="",$K53=0),"",$L53/$K53)</f>
        <v/>
      </c>
      <c r="N53" s="12">
        <f>IF('Data Entry'!A53="","",IF($L53="","New item",IF($L53&gt;0,"UP",IF($L53&lt;0,"down","same"))))</f>
        <v/>
      </c>
    </row>
    <row r="54">
      <c r="A54" s="11">
        <f>IF('Data Entry'!A54="","",'Data Entry'!A54)</f>
        <v/>
      </c>
      <c r="B54" s="12">
        <f>IF('Data Entry'!A54="","",'Data Entry'!B54)</f>
        <v/>
      </c>
      <c r="C54" s="12">
        <f>IF('Data Entry'!A54="","",'Data Entry'!C54)</f>
        <v/>
      </c>
      <c r="D54" s="12">
        <f>IF('Data Entry'!A54="","",'Data Entry'!D54)</f>
        <v/>
      </c>
      <c r="E54" s="12">
        <f>IF('Data Entry'!A54="","",'Data Entry'!E54)</f>
        <v/>
      </c>
      <c r="F54" s="12">
        <f>IF('Data Entry'!A54="","",'Data Entry'!F54)</f>
        <v/>
      </c>
      <c r="G54" s="13">
        <f>IF('Data Entry'!A54="","",'Data Entry'!G54)</f>
        <v/>
      </c>
      <c r="H54" s="10">
        <f>IF('Data Entry'!A54="","",'Data Entry'!H54)</f>
        <v/>
      </c>
      <c r="I54" s="10">
        <f>IF('Data Entry'!A54="","",'Data Entry'!I54)</f>
        <v/>
      </c>
      <c r="J54" s="12">
        <f>IF('Data Entry'!A54="","",IF('Data Entry'!D54&lt;&gt;"",'Data Entry'!D54,'Data Entry'!E54))</f>
        <v/>
      </c>
      <c r="K54" s="10">
        <f>IF('Data Entry'!A54="","",IFERROR(SUMIFS($H$5:$H$2001,$J$5:$J$2001,$J54,$B$5:$B$2001,$B54,$A$5:$A$2001,(MAXIFS($A$5:$A$2001,$J$5:$J$2001,$J54,$B$5:$B$2001,$B54,$A$5:$A$2001,"&lt;"&amp;$A54))),""))</f>
        <v/>
      </c>
      <c r="L54" s="14">
        <f>IF(OR('Data Entry'!A54="",$K54=""),"",$H54-$K54)</f>
        <v/>
      </c>
      <c r="M54" s="15">
        <f>IF(OR('Data Entry'!A54="",$K54="",$K54=0),"",$L54/$K54)</f>
        <v/>
      </c>
      <c r="N54" s="12">
        <f>IF('Data Entry'!A54="","",IF($L54="","New item",IF($L54&gt;0,"UP",IF($L54&lt;0,"down","same"))))</f>
        <v/>
      </c>
    </row>
    <row r="55">
      <c r="A55" s="11">
        <f>IF('Data Entry'!A55="","",'Data Entry'!A55)</f>
        <v/>
      </c>
      <c r="B55" s="12">
        <f>IF('Data Entry'!A55="","",'Data Entry'!B55)</f>
        <v/>
      </c>
      <c r="C55" s="12">
        <f>IF('Data Entry'!A55="","",'Data Entry'!C55)</f>
        <v/>
      </c>
      <c r="D55" s="12">
        <f>IF('Data Entry'!A55="","",'Data Entry'!D55)</f>
        <v/>
      </c>
      <c r="E55" s="12">
        <f>IF('Data Entry'!A55="","",'Data Entry'!E55)</f>
        <v/>
      </c>
      <c r="F55" s="12">
        <f>IF('Data Entry'!A55="","",'Data Entry'!F55)</f>
        <v/>
      </c>
      <c r="G55" s="13">
        <f>IF('Data Entry'!A55="","",'Data Entry'!G55)</f>
        <v/>
      </c>
      <c r="H55" s="10">
        <f>IF('Data Entry'!A55="","",'Data Entry'!H55)</f>
        <v/>
      </c>
      <c r="I55" s="10">
        <f>IF('Data Entry'!A55="","",'Data Entry'!I55)</f>
        <v/>
      </c>
      <c r="J55" s="12">
        <f>IF('Data Entry'!A55="","",IF('Data Entry'!D55&lt;&gt;"",'Data Entry'!D55,'Data Entry'!E55))</f>
        <v/>
      </c>
      <c r="K55" s="10">
        <f>IF('Data Entry'!A55="","",IFERROR(SUMIFS($H$5:$H$2001,$J$5:$J$2001,$J55,$B$5:$B$2001,$B55,$A$5:$A$2001,(MAXIFS($A$5:$A$2001,$J$5:$J$2001,$J55,$B$5:$B$2001,$B55,$A$5:$A$2001,"&lt;"&amp;$A55))),""))</f>
        <v/>
      </c>
      <c r="L55" s="14">
        <f>IF(OR('Data Entry'!A55="",$K55=""),"",$H55-$K55)</f>
        <v/>
      </c>
      <c r="M55" s="15">
        <f>IF(OR('Data Entry'!A55="",$K55="",$K55=0),"",$L55/$K55)</f>
        <v/>
      </c>
      <c r="N55" s="12">
        <f>IF('Data Entry'!A55="","",IF($L55="","New item",IF($L55&gt;0,"UP",IF($L55&lt;0,"down","same"))))</f>
        <v/>
      </c>
    </row>
    <row r="56">
      <c r="A56" s="11">
        <f>IF('Data Entry'!A56="","",'Data Entry'!A56)</f>
        <v/>
      </c>
      <c r="B56" s="12">
        <f>IF('Data Entry'!A56="","",'Data Entry'!B56)</f>
        <v/>
      </c>
      <c r="C56" s="12">
        <f>IF('Data Entry'!A56="","",'Data Entry'!C56)</f>
        <v/>
      </c>
      <c r="D56" s="12">
        <f>IF('Data Entry'!A56="","",'Data Entry'!D56)</f>
        <v/>
      </c>
      <c r="E56" s="12">
        <f>IF('Data Entry'!A56="","",'Data Entry'!E56)</f>
        <v/>
      </c>
      <c r="F56" s="12">
        <f>IF('Data Entry'!A56="","",'Data Entry'!F56)</f>
        <v/>
      </c>
      <c r="G56" s="13">
        <f>IF('Data Entry'!A56="","",'Data Entry'!G56)</f>
        <v/>
      </c>
      <c r="H56" s="10">
        <f>IF('Data Entry'!A56="","",'Data Entry'!H56)</f>
        <v/>
      </c>
      <c r="I56" s="10">
        <f>IF('Data Entry'!A56="","",'Data Entry'!I56)</f>
        <v/>
      </c>
      <c r="J56" s="12">
        <f>IF('Data Entry'!A56="","",IF('Data Entry'!D56&lt;&gt;"",'Data Entry'!D56,'Data Entry'!E56))</f>
        <v/>
      </c>
      <c r="K56" s="10">
        <f>IF('Data Entry'!A56="","",IFERROR(SUMIFS($H$5:$H$2001,$J$5:$J$2001,$J56,$B$5:$B$2001,$B56,$A$5:$A$2001,(MAXIFS($A$5:$A$2001,$J$5:$J$2001,$J56,$B$5:$B$2001,$B56,$A$5:$A$2001,"&lt;"&amp;$A56))),""))</f>
        <v/>
      </c>
      <c r="L56" s="14">
        <f>IF(OR('Data Entry'!A56="",$K56=""),"",$H56-$K56)</f>
        <v/>
      </c>
      <c r="M56" s="15">
        <f>IF(OR('Data Entry'!A56="",$K56="",$K56=0),"",$L56/$K56)</f>
        <v/>
      </c>
      <c r="N56" s="12">
        <f>IF('Data Entry'!A56="","",IF($L56="","New item",IF($L56&gt;0,"UP",IF($L56&lt;0,"down","same"))))</f>
        <v/>
      </c>
    </row>
    <row r="57">
      <c r="A57" s="11">
        <f>IF('Data Entry'!A57="","",'Data Entry'!A57)</f>
        <v/>
      </c>
      <c r="B57" s="12">
        <f>IF('Data Entry'!A57="","",'Data Entry'!B57)</f>
        <v/>
      </c>
      <c r="C57" s="12">
        <f>IF('Data Entry'!A57="","",'Data Entry'!C57)</f>
        <v/>
      </c>
      <c r="D57" s="12">
        <f>IF('Data Entry'!A57="","",'Data Entry'!D57)</f>
        <v/>
      </c>
      <c r="E57" s="12">
        <f>IF('Data Entry'!A57="","",'Data Entry'!E57)</f>
        <v/>
      </c>
      <c r="F57" s="12">
        <f>IF('Data Entry'!A57="","",'Data Entry'!F57)</f>
        <v/>
      </c>
      <c r="G57" s="13">
        <f>IF('Data Entry'!A57="","",'Data Entry'!G57)</f>
        <v/>
      </c>
      <c r="H57" s="10">
        <f>IF('Data Entry'!A57="","",'Data Entry'!H57)</f>
        <v/>
      </c>
      <c r="I57" s="10">
        <f>IF('Data Entry'!A57="","",'Data Entry'!I57)</f>
        <v/>
      </c>
      <c r="J57" s="12">
        <f>IF('Data Entry'!A57="","",IF('Data Entry'!D57&lt;&gt;"",'Data Entry'!D57,'Data Entry'!E57))</f>
        <v/>
      </c>
      <c r="K57" s="10">
        <f>IF('Data Entry'!A57="","",IFERROR(SUMIFS($H$5:$H$2001,$J$5:$J$2001,$J57,$B$5:$B$2001,$B57,$A$5:$A$2001,(MAXIFS($A$5:$A$2001,$J$5:$J$2001,$J57,$B$5:$B$2001,$B57,$A$5:$A$2001,"&lt;"&amp;$A57))),""))</f>
        <v/>
      </c>
      <c r="L57" s="14">
        <f>IF(OR('Data Entry'!A57="",$K57=""),"",$H57-$K57)</f>
        <v/>
      </c>
      <c r="M57" s="15">
        <f>IF(OR('Data Entry'!A57="",$K57="",$K57=0),"",$L57/$K57)</f>
        <v/>
      </c>
      <c r="N57" s="12">
        <f>IF('Data Entry'!A57="","",IF($L57="","New item",IF($L57&gt;0,"UP",IF($L57&lt;0,"down","same"))))</f>
        <v/>
      </c>
    </row>
    <row r="58">
      <c r="A58" s="11">
        <f>IF('Data Entry'!A58="","",'Data Entry'!A58)</f>
        <v/>
      </c>
      <c r="B58" s="12">
        <f>IF('Data Entry'!A58="","",'Data Entry'!B58)</f>
        <v/>
      </c>
      <c r="C58" s="12">
        <f>IF('Data Entry'!A58="","",'Data Entry'!C58)</f>
        <v/>
      </c>
      <c r="D58" s="12">
        <f>IF('Data Entry'!A58="","",'Data Entry'!D58)</f>
        <v/>
      </c>
      <c r="E58" s="12">
        <f>IF('Data Entry'!A58="","",'Data Entry'!E58)</f>
        <v/>
      </c>
      <c r="F58" s="12">
        <f>IF('Data Entry'!A58="","",'Data Entry'!F58)</f>
        <v/>
      </c>
      <c r="G58" s="13">
        <f>IF('Data Entry'!A58="","",'Data Entry'!G58)</f>
        <v/>
      </c>
      <c r="H58" s="10">
        <f>IF('Data Entry'!A58="","",'Data Entry'!H58)</f>
        <v/>
      </c>
      <c r="I58" s="10">
        <f>IF('Data Entry'!A58="","",'Data Entry'!I58)</f>
        <v/>
      </c>
      <c r="J58" s="12">
        <f>IF('Data Entry'!A58="","",IF('Data Entry'!D58&lt;&gt;"",'Data Entry'!D58,'Data Entry'!E58))</f>
        <v/>
      </c>
      <c r="K58" s="10">
        <f>IF('Data Entry'!A58="","",IFERROR(SUMIFS($H$5:$H$2001,$J$5:$J$2001,$J58,$B$5:$B$2001,$B58,$A$5:$A$2001,(MAXIFS($A$5:$A$2001,$J$5:$J$2001,$J58,$B$5:$B$2001,$B58,$A$5:$A$2001,"&lt;"&amp;$A58))),""))</f>
        <v/>
      </c>
      <c r="L58" s="14">
        <f>IF(OR('Data Entry'!A58="",$K58=""),"",$H58-$K58)</f>
        <v/>
      </c>
      <c r="M58" s="15">
        <f>IF(OR('Data Entry'!A58="",$K58="",$K58=0),"",$L58/$K58)</f>
        <v/>
      </c>
      <c r="N58" s="12">
        <f>IF('Data Entry'!A58="","",IF($L58="","New item",IF($L58&gt;0,"UP",IF($L58&lt;0,"down","same"))))</f>
        <v/>
      </c>
    </row>
    <row r="59">
      <c r="A59" s="11">
        <f>IF('Data Entry'!A59="","",'Data Entry'!A59)</f>
        <v/>
      </c>
      <c r="B59" s="12">
        <f>IF('Data Entry'!A59="","",'Data Entry'!B59)</f>
        <v/>
      </c>
      <c r="C59" s="12">
        <f>IF('Data Entry'!A59="","",'Data Entry'!C59)</f>
        <v/>
      </c>
      <c r="D59" s="12">
        <f>IF('Data Entry'!A59="","",'Data Entry'!D59)</f>
        <v/>
      </c>
      <c r="E59" s="12">
        <f>IF('Data Entry'!A59="","",'Data Entry'!E59)</f>
        <v/>
      </c>
      <c r="F59" s="12">
        <f>IF('Data Entry'!A59="","",'Data Entry'!F59)</f>
        <v/>
      </c>
      <c r="G59" s="13">
        <f>IF('Data Entry'!A59="","",'Data Entry'!G59)</f>
        <v/>
      </c>
      <c r="H59" s="10">
        <f>IF('Data Entry'!A59="","",'Data Entry'!H59)</f>
        <v/>
      </c>
      <c r="I59" s="10">
        <f>IF('Data Entry'!A59="","",'Data Entry'!I59)</f>
        <v/>
      </c>
      <c r="J59" s="12">
        <f>IF('Data Entry'!A59="","",IF('Data Entry'!D59&lt;&gt;"",'Data Entry'!D59,'Data Entry'!E59))</f>
        <v/>
      </c>
      <c r="K59" s="10">
        <f>IF('Data Entry'!A59="","",IFERROR(SUMIFS($H$5:$H$2001,$J$5:$J$2001,$J59,$B$5:$B$2001,$B59,$A$5:$A$2001,(MAXIFS($A$5:$A$2001,$J$5:$J$2001,$J59,$B$5:$B$2001,$B59,$A$5:$A$2001,"&lt;"&amp;$A59))),""))</f>
        <v/>
      </c>
      <c r="L59" s="14">
        <f>IF(OR('Data Entry'!A59="",$K59=""),"",$H59-$K59)</f>
        <v/>
      </c>
      <c r="M59" s="15">
        <f>IF(OR('Data Entry'!A59="",$K59="",$K59=0),"",$L59/$K59)</f>
        <v/>
      </c>
      <c r="N59" s="12">
        <f>IF('Data Entry'!A59="","",IF($L59="","New item",IF($L59&gt;0,"UP",IF($L59&lt;0,"down","same"))))</f>
        <v/>
      </c>
    </row>
    <row r="60">
      <c r="A60" s="11">
        <f>IF('Data Entry'!A60="","",'Data Entry'!A60)</f>
        <v/>
      </c>
      <c r="B60" s="12">
        <f>IF('Data Entry'!A60="","",'Data Entry'!B60)</f>
        <v/>
      </c>
      <c r="C60" s="12">
        <f>IF('Data Entry'!A60="","",'Data Entry'!C60)</f>
        <v/>
      </c>
      <c r="D60" s="12">
        <f>IF('Data Entry'!A60="","",'Data Entry'!D60)</f>
        <v/>
      </c>
      <c r="E60" s="12">
        <f>IF('Data Entry'!A60="","",'Data Entry'!E60)</f>
        <v/>
      </c>
      <c r="F60" s="12">
        <f>IF('Data Entry'!A60="","",'Data Entry'!F60)</f>
        <v/>
      </c>
      <c r="G60" s="13">
        <f>IF('Data Entry'!A60="","",'Data Entry'!G60)</f>
        <v/>
      </c>
      <c r="H60" s="10">
        <f>IF('Data Entry'!A60="","",'Data Entry'!H60)</f>
        <v/>
      </c>
      <c r="I60" s="10">
        <f>IF('Data Entry'!A60="","",'Data Entry'!I60)</f>
        <v/>
      </c>
      <c r="J60" s="12">
        <f>IF('Data Entry'!A60="","",IF('Data Entry'!D60&lt;&gt;"",'Data Entry'!D60,'Data Entry'!E60))</f>
        <v/>
      </c>
      <c r="K60" s="10">
        <f>IF('Data Entry'!A60="","",IFERROR(SUMIFS($H$5:$H$2001,$J$5:$J$2001,$J60,$B$5:$B$2001,$B60,$A$5:$A$2001,(MAXIFS($A$5:$A$2001,$J$5:$J$2001,$J60,$B$5:$B$2001,$B60,$A$5:$A$2001,"&lt;"&amp;$A60))),""))</f>
        <v/>
      </c>
      <c r="L60" s="14">
        <f>IF(OR('Data Entry'!A60="",$K60=""),"",$H60-$K60)</f>
        <v/>
      </c>
      <c r="M60" s="15">
        <f>IF(OR('Data Entry'!A60="",$K60="",$K60=0),"",$L60/$K60)</f>
        <v/>
      </c>
      <c r="N60" s="12">
        <f>IF('Data Entry'!A60="","",IF($L60="","New item",IF($L60&gt;0,"UP",IF($L60&lt;0,"down","same"))))</f>
        <v/>
      </c>
    </row>
    <row r="61">
      <c r="A61" s="11">
        <f>IF('Data Entry'!A61="","",'Data Entry'!A61)</f>
        <v/>
      </c>
      <c r="B61" s="12">
        <f>IF('Data Entry'!A61="","",'Data Entry'!B61)</f>
        <v/>
      </c>
      <c r="C61" s="12">
        <f>IF('Data Entry'!A61="","",'Data Entry'!C61)</f>
        <v/>
      </c>
      <c r="D61" s="12">
        <f>IF('Data Entry'!A61="","",'Data Entry'!D61)</f>
        <v/>
      </c>
      <c r="E61" s="12">
        <f>IF('Data Entry'!A61="","",'Data Entry'!E61)</f>
        <v/>
      </c>
      <c r="F61" s="12">
        <f>IF('Data Entry'!A61="","",'Data Entry'!F61)</f>
        <v/>
      </c>
      <c r="G61" s="13">
        <f>IF('Data Entry'!A61="","",'Data Entry'!G61)</f>
        <v/>
      </c>
      <c r="H61" s="10">
        <f>IF('Data Entry'!A61="","",'Data Entry'!H61)</f>
        <v/>
      </c>
      <c r="I61" s="10">
        <f>IF('Data Entry'!A61="","",'Data Entry'!I61)</f>
        <v/>
      </c>
      <c r="J61" s="12">
        <f>IF('Data Entry'!A61="","",IF('Data Entry'!D61&lt;&gt;"",'Data Entry'!D61,'Data Entry'!E61))</f>
        <v/>
      </c>
      <c r="K61" s="10">
        <f>IF('Data Entry'!A61="","",IFERROR(SUMIFS($H$5:$H$2001,$J$5:$J$2001,$J61,$B$5:$B$2001,$B61,$A$5:$A$2001,(MAXIFS($A$5:$A$2001,$J$5:$J$2001,$J61,$B$5:$B$2001,$B61,$A$5:$A$2001,"&lt;"&amp;$A61))),""))</f>
        <v/>
      </c>
      <c r="L61" s="14">
        <f>IF(OR('Data Entry'!A61="",$K61=""),"",$H61-$K61)</f>
        <v/>
      </c>
      <c r="M61" s="15">
        <f>IF(OR('Data Entry'!A61="",$K61="",$K61=0),"",$L61/$K61)</f>
        <v/>
      </c>
      <c r="N61" s="12">
        <f>IF('Data Entry'!A61="","",IF($L61="","New item",IF($L61&gt;0,"UP",IF($L61&lt;0,"down","same"))))</f>
        <v/>
      </c>
    </row>
    <row r="62">
      <c r="A62" s="11">
        <f>IF('Data Entry'!A62="","",'Data Entry'!A62)</f>
        <v/>
      </c>
      <c r="B62" s="12">
        <f>IF('Data Entry'!A62="","",'Data Entry'!B62)</f>
        <v/>
      </c>
      <c r="C62" s="12">
        <f>IF('Data Entry'!A62="","",'Data Entry'!C62)</f>
        <v/>
      </c>
      <c r="D62" s="12">
        <f>IF('Data Entry'!A62="","",'Data Entry'!D62)</f>
        <v/>
      </c>
      <c r="E62" s="12">
        <f>IF('Data Entry'!A62="","",'Data Entry'!E62)</f>
        <v/>
      </c>
      <c r="F62" s="12">
        <f>IF('Data Entry'!A62="","",'Data Entry'!F62)</f>
        <v/>
      </c>
      <c r="G62" s="13">
        <f>IF('Data Entry'!A62="","",'Data Entry'!G62)</f>
        <v/>
      </c>
      <c r="H62" s="10">
        <f>IF('Data Entry'!A62="","",'Data Entry'!H62)</f>
        <v/>
      </c>
      <c r="I62" s="10">
        <f>IF('Data Entry'!A62="","",'Data Entry'!I62)</f>
        <v/>
      </c>
      <c r="J62" s="12">
        <f>IF('Data Entry'!A62="","",IF('Data Entry'!D62&lt;&gt;"",'Data Entry'!D62,'Data Entry'!E62))</f>
        <v/>
      </c>
      <c r="K62" s="10">
        <f>IF('Data Entry'!A62="","",IFERROR(SUMIFS($H$5:$H$2001,$J$5:$J$2001,$J62,$B$5:$B$2001,$B62,$A$5:$A$2001,(MAXIFS($A$5:$A$2001,$J$5:$J$2001,$J62,$B$5:$B$2001,$B62,$A$5:$A$2001,"&lt;"&amp;$A62))),""))</f>
        <v/>
      </c>
      <c r="L62" s="14">
        <f>IF(OR('Data Entry'!A62="",$K62=""),"",$H62-$K62)</f>
        <v/>
      </c>
      <c r="M62" s="15">
        <f>IF(OR('Data Entry'!A62="",$K62="",$K62=0),"",$L62/$K62)</f>
        <v/>
      </c>
      <c r="N62" s="12">
        <f>IF('Data Entry'!A62="","",IF($L62="","New item",IF($L62&gt;0,"UP",IF($L62&lt;0,"down","same"))))</f>
        <v/>
      </c>
    </row>
    <row r="63">
      <c r="A63" s="11">
        <f>IF('Data Entry'!A63="","",'Data Entry'!A63)</f>
        <v/>
      </c>
      <c r="B63" s="12">
        <f>IF('Data Entry'!A63="","",'Data Entry'!B63)</f>
        <v/>
      </c>
      <c r="C63" s="12">
        <f>IF('Data Entry'!A63="","",'Data Entry'!C63)</f>
        <v/>
      </c>
      <c r="D63" s="12">
        <f>IF('Data Entry'!A63="","",'Data Entry'!D63)</f>
        <v/>
      </c>
      <c r="E63" s="12">
        <f>IF('Data Entry'!A63="","",'Data Entry'!E63)</f>
        <v/>
      </c>
      <c r="F63" s="12">
        <f>IF('Data Entry'!A63="","",'Data Entry'!F63)</f>
        <v/>
      </c>
      <c r="G63" s="13">
        <f>IF('Data Entry'!A63="","",'Data Entry'!G63)</f>
        <v/>
      </c>
      <c r="H63" s="10">
        <f>IF('Data Entry'!A63="","",'Data Entry'!H63)</f>
        <v/>
      </c>
      <c r="I63" s="10">
        <f>IF('Data Entry'!A63="","",'Data Entry'!I63)</f>
        <v/>
      </c>
      <c r="J63" s="12">
        <f>IF('Data Entry'!A63="","",IF('Data Entry'!D63&lt;&gt;"",'Data Entry'!D63,'Data Entry'!E63))</f>
        <v/>
      </c>
      <c r="K63" s="10">
        <f>IF('Data Entry'!A63="","",IFERROR(SUMIFS($H$5:$H$2001,$J$5:$J$2001,$J63,$B$5:$B$2001,$B63,$A$5:$A$2001,(MAXIFS($A$5:$A$2001,$J$5:$J$2001,$J63,$B$5:$B$2001,$B63,$A$5:$A$2001,"&lt;"&amp;$A63))),""))</f>
        <v/>
      </c>
      <c r="L63" s="14">
        <f>IF(OR('Data Entry'!A63="",$K63=""),"",$H63-$K63)</f>
        <v/>
      </c>
      <c r="M63" s="15">
        <f>IF(OR('Data Entry'!A63="",$K63="",$K63=0),"",$L63/$K63)</f>
        <v/>
      </c>
      <c r="N63" s="12">
        <f>IF('Data Entry'!A63="","",IF($L63="","New item",IF($L63&gt;0,"UP",IF($L63&lt;0,"down","same"))))</f>
        <v/>
      </c>
    </row>
    <row r="64">
      <c r="A64" s="11">
        <f>IF('Data Entry'!A64="","",'Data Entry'!A64)</f>
        <v/>
      </c>
      <c r="B64" s="12">
        <f>IF('Data Entry'!A64="","",'Data Entry'!B64)</f>
        <v/>
      </c>
      <c r="C64" s="12">
        <f>IF('Data Entry'!A64="","",'Data Entry'!C64)</f>
        <v/>
      </c>
      <c r="D64" s="12">
        <f>IF('Data Entry'!A64="","",'Data Entry'!D64)</f>
        <v/>
      </c>
      <c r="E64" s="12">
        <f>IF('Data Entry'!A64="","",'Data Entry'!E64)</f>
        <v/>
      </c>
      <c r="F64" s="12">
        <f>IF('Data Entry'!A64="","",'Data Entry'!F64)</f>
        <v/>
      </c>
      <c r="G64" s="13">
        <f>IF('Data Entry'!A64="","",'Data Entry'!G64)</f>
        <v/>
      </c>
      <c r="H64" s="10">
        <f>IF('Data Entry'!A64="","",'Data Entry'!H64)</f>
        <v/>
      </c>
      <c r="I64" s="10">
        <f>IF('Data Entry'!A64="","",'Data Entry'!I64)</f>
        <v/>
      </c>
      <c r="J64" s="12">
        <f>IF('Data Entry'!A64="","",IF('Data Entry'!D64&lt;&gt;"",'Data Entry'!D64,'Data Entry'!E64))</f>
        <v/>
      </c>
      <c r="K64" s="10">
        <f>IF('Data Entry'!A64="","",IFERROR(SUMIFS($H$5:$H$2001,$J$5:$J$2001,$J64,$B$5:$B$2001,$B64,$A$5:$A$2001,(MAXIFS($A$5:$A$2001,$J$5:$J$2001,$J64,$B$5:$B$2001,$B64,$A$5:$A$2001,"&lt;"&amp;$A64))),""))</f>
        <v/>
      </c>
      <c r="L64" s="14">
        <f>IF(OR('Data Entry'!A64="",$K64=""),"",$H64-$K64)</f>
        <v/>
      </c>
      <c r="M64" s="15">
        <f>IF(OR('Data Entry'!A64="",$K64="",$K64=0),"",$L64/$K64)</f>
        <v/>
      </c>
      <c r="N64" s="12">
        <f>IF('Data Entry'!A64="","",IF($L64="","New item",IF($L64&gt;0,"UP",IF($L64&lt;0,"down","same"))))</f>
        <v/>
      </c>
    </row>
    <row r="65">
      <c r="A65" s="11">
        <f>IF('Data Entry'!A65="","",'Data Entry'!A65)</f>
        <v/>
      </c>
      <c r="B65" s="12">
        <f>IF('Data Entry'!A65="","",'Data Entry'!B65)</f>
        <v/>
      </c>
      <c r="C65" s="12">
        <f>IF('Data Entry'!A65="","",'Data Entry'!C65)</f>
        <v/>
      </c>
      <c r="D65" s="12">
        <f>IF('Data Entry'!A65="","",'Data Entry'!D65)</f>
        <v/>
      </c>
      <c r="E65" s="12">
        <f>IF('Data Entry'!A65="","",'Data Entry'!E65)</f>
        <v/>
      </c>
      <c r="F65" s="12">
        <f>IF('Data Entry'!A65="","",'Data Entry'!F65)</f>
        <v/>
      </c>
      <c r="G65" s="13">
        <f>IF('Data Entry'!A65="","",'Data Entry'!G65)</f>
        <v/>
      </c>
      <c r="H65" s="10">
        <f>IF('Data Entry'!A65="","",'Data Entry'!H65)</f>
        <v/>
      </c>
      <c r="I65" s="10">
        <f>IF('Data Entry'!A65="","",'Data Entry'!I65)</f>
        <v/>
      </c>
      <c r="J65" s="12">
        <f>IF('Data Entry'!A65="","",IF('Data Entry'!D65&lt;&gt;"",'Data Entry'!D65,'Data Entry'!E65))</f>
        <v/>
      </c>
      <c r="K65" s="10">
        <f>IF('Data Entry'!A65="","",IFERROR(SUMIFS($H$5:$H$2001,$J$5:$J$2001,$J65,$B$5:$B$2001,$B65,$A$5:$A$2001,(MAXIFS($A$5:$A$2001,$J$5:$J$2001,$J65,$B$5:$B$2001,$B65,$A$5:$A$2001,"&lt;"&amp;$A65))),""))</f>
        <v/>
      </c>
      <c r="L65" s="14">
        <f>IF(OR('Data Entry'!A65="",$K65=""),"",$H65-$K65)</f>
        <v/>
      </c>
      <c r="M65" s="15">
        <f>IF(OR('Data Entry'!A65="",$K65="",$K65=0),"",$L65/$K65)</f>
        <v/>
      </c>
      <c r="N65" s="12">
        <f>IF('Data Entry'!A65="","",IF($L65="","New item",IF($L65&gt;0,"UP",IF($L65&lt;0,"down","same"))))</f>
        <v/>
      </c>
    </row>
    <row r="66">
      <c r="A66" s="11">
        <f>IF('Data Entry'!A66="","",'Data Entry'!A66)</f>
        <v/>
      </c>
      <c r="B66" s="12">
        <f>IF('Data Entry'!A66="","",'Data Entry'!B66)</f>
        <v/>
      </c>
      <c r="C66" s="12">
        <f>IF('Data Entry'!A66="","",'Data Entry'!C66)</f>
        <v/>
      </c>
      <c r="D66" s="12">
        <f>IF('Data Entry'!A66="","",'Data Entry'!D66)</f>
        <v/>
      </c>
      <c r="E66" s="12">
        <f>IF('Data Entry'!A66="","",'Data Entry'!E66)</f>
        <v/>
      </c>
      <c r="F66" s="12">
        <f>IF('Data Entry'!A66="","",'Data Entry'!F66)</f>
        <v/>
      </c>
      <c r="G66" s="13">
        <f>IF('Data Entry'!A66="","",'Data Entry'!G66)</f>
        <v/>
      </c>
      <c r="H66" s="10">
        <f>IF('Data Entry'!A66="","",'Data Entry'!H66)</f>
        <v/>
      </c>
      <c r="I66" s="10">
        <f>IF('Data Entry'!A66="","",'Data Entry'!I66)</f>
        <v/>
      </c>
      <c r="J66" s="12">
        <f>IF('Data Entry'!A66="","",IF('Data Entry'!D66&lt;&gt;"",'Data Entry'!D66,'Data Entry'!E66))</f>
        <v/>
      </c>
      <c r="K66" s="10">
        <f>IF('Data Entry'!A66="","",IFERROR(SUMIFS($H$5:$H$2001,$J$5:$J$2001,$J66,$B$5:$B$2001,$B66,$A$5:$A$2001,(MAXIFS($A$5:$A$2001,$J$5:$J$2001,$J66,$B$5:$B$2001,$B66,$A$5:$A$2001,"&lt;"&amp;$A66))),""))</f>
        <v/>
      </c>
      <c r="L66" s="14">
        <f>IF(OR('Data Entry'!A66="",$K66=""),"",$H66-$K66)</f>
        <v/>
      </c>
      <c r="M66" s="15">
        <f>IF(OR('Data Entry'!A66="",$K66="",$K66=0),"",$L66/$K66)</f>
        <v/>
      </c>
      <c r="N66" s="12">
        <f>IF('Data Entry'!A66="","",IF($L66="","New item",IF($L66&gt;0,"UP",IF($L66&lt;0,"down","same"))))</f>
        <v/>
      </c>
    </row>
    <row r="67">
      <c r="A67" s="11">
        <f>IF('Data Entry'!A67="","",'Data Entry'!A67)</f>
        <v/>
      </c>
      <c r="B67" s="12">
        <f>IF('Data Entry'!A67="","",'Data Entry'!B67)</f>
        <v/>
      </c>
      <c r="C67" s="12">
        <f>IF('Data Entry'!A67="","",'Data Entry'!C67)</f>
        <v/>
      </c>
      <c r="D67" s="12">
        <f>IF('Data Entry'!A67="","",'Data Entry'!D67)</f>
        <v/>
      </c>
      <c r="E67" s="12">
        <f>IF('Data Entry'!A67="","",'Data Entry'!E67)</f>
        <v/>
      </c>
      <c r="F67" s="12">
        <f>IF('Data Entry'!A67="","",'Data Entry'!F67)</f>
        <v/>
      </c>
      <c r="G67" s="13">
        <f>IF('Data Entry'!A67="","",'Data Entry'!G67)</f>
        <v/>
      </c>
      <c r="H67" s="10">
        <f>IF('Data Entry'!A67="","",'Data Entry'!H67)</f>
        <v/>
      </c>
      <c r="I67" s="10">
        <f>IF('Data Entry'!A67="","",'Data Entry'!I67)</f>
        <v/>
      </c>
      <c r="J67" s="12">
        <f>IF('Data Entry'!A67="","",IF('Data Entry'!D67&lt;&gt;"",'Data Entry'!D67,'Data Entry'!E67))</f>
        <v/>
      </c>
      <c r="K67" s="10">
        <f>IF('Data Entry'!A67="","",IFERROR(SUMIFS($H$5:$H$2001,$J$5:$J$2001,$J67,$B$5:$B$2001,$B67,$A$5:$A$2001,(MAXIFS($A$5:$A$2001,$J$5:$J$2001,$J67,$B$5:$B$2001,$B67,$A$5:$A$2001,"&lt;"&amp;$A67))),""))</f>
        <v/>
      </c>
      <c r="L67" s="14">
        <f>IF(OR('Data Entry'!A67="",$K67=""),"",$H67-$K67)</f>
        <v/>
      </c>
      <c r="M67" s="15">
        <f>IF(OR('Data Entry'!A67="",$K67="",$K67=0),"",$L67/$K67)</f>
        <v/>
      </c>
      <c r="N67" s="12">
        <f>IF('Data Entry'!A67="","",IF($L67="","New item",IF($L67&gt;0,"UP",IF($L67&lt;0,"down","same"))))</f>
        <v/>
      </c>
    </row>
    <row r="68">
      <c r="A68" s="11">
        <f>IF('Data Entry'!A68="","",'Data Entry'!A68)</f>
        <v/>
      </c>
      <c r="B68" s="12">
        <f>IF('Data Entry'!A68="","",'Data Entry'!B68)</f>
        <v/>
      </c>
      <c r="C68" s="12">
        <f>IF('Data Entry'!A68="","",'Data Entry'!C68)</f>
        <v/>
      </c>
      <c r="D68" s="12">
        <f>IF('Data Entry'!A68="","",'Data Entry'!D68)</f>
        <v/>
      </c>
      <c r="E68" s="12">
        <f>IF('Data Entry'!A68="","",'Data Entry'!E68)</f>
        <v/>
      </c>
      <c r="F68" s="12">
        <f>IF('Data Entry'!A68="","",'Data Entry'!F68)</f>
        <v/>
      </c>
      <c r="G68" s="13">
        <f>IF('Data Entry'!A68="","",'Data Entry'!G68)</f>
        <v/>
      </c>
      <c r="H68" s="10">
        <f>IF('Data Entry'!A68="","",'Data Entry'!H68)</f>
        <v/>
      </c>
      <c r="I68" s="10">
        <f>IF('Data Entry'!A68="","",'Data Entry'!I68)</f>
        <v/>
      </c>
      <c r="J68" s="12">
        <f>IF('Data Entry'!A68="","",IF('Data Entry'!D68&lt;&gt;"",'Data Entry'!D68,'Data Entry'!E68))</f>
        <v/>
      </c>
      <c r="K68" s="10">
        <f>IF('Data Entry'!A68="","",IFERROR(SUMIFS($H$5:$H$2001,$J$5:$J$2001,$J68,$B$5:$B$2001,$B68,$A$5:$A$2001,(MAXIFS($A$5:$A$2001,$J$5:$J$2001,$J68,$B$5:$B$2001,$B68,$A$5:$A$2001,"&lt;"&amp;$A68))),""))</f>
        <v/>
      </c>
      <c r="L68" s="14">
        <f>IF(OR('Data Entry'!A68="",$K68=""),"",$H68-$K68)</f>
        <v/>
      </c>
      <c r="M68" s="15">
        <f>IF(OR('Data Entry'!A68="",$K68="",$K68=0),"",$L68/$K68)</f>
        <v/>
      </c>
      <c r="N68" s="12">
        <f>IF('Data Entry'!A68="","",IF($L68="","New item",IF($L68&gt;0,"UP",IF($L68&lt;0,"down","same"))))</f>
        <v/>
      </c>
    </row>
    <row r="69">
      <c r="A69" s="11">
        <f>IF('Data Entry'!A69="","",'Data Entry'!A69)</f>
        <v/>
      </c>
      <c r="B69" s="12">
        <f>IF('Data Entry'!A69="","",'Data Entry'!B69)</f>
        <v/>
      </c>
      <c r="C69" s="12">
        <f>IF('Data Entry'!A69="","",'Data Entry'!C69)</f>
        <v/>
      </c>
      <c r="D69" s="12">
        <f>IF('Data Entry'!A69="","",'Data Entry'!D69)</f>
        <v/>
      </c>
      <c r="E69" s="12">
        <f>IF('Data Entry'!A69="","",'Data Entry'!E69)</f>
        <v/>
      </c>
      <c r="F69" s="12">
        <f>IF('Data Entry'!A69="","",'Data Entry'!F69)</f>
        <v/>
      </c>
      <c r="G69" s="13">
        <f>IF('Data Entry'!A69="","",'Data Entry'!G69)</f>
        <v/>
      </c>
      <c r="H69" s="10">
        <f>IF('Data Entry'!A69="","",'Data Entry'!H69)</f>
        <v/>
      </c>
      <c r="I69" s="10">
        <f>IF('Data Entry'!A69="","",'Data Entry'!I69)</f>
        <v/>
      </c>
      <c r="J69" s="12">
        <f>IF('Data Entry'!A69="","",IF('Data Entry'!D69&lt;&gt;"",'Data Entry'!D69,'Data Entry'!E69))</f>
        <v/>
      </c>
      <c r="K69" s="10">
        <f>IF('Data Entry'!A69="","",IFERROR(SUMIFS($H$5:$H$2001,$J$5:$J$2001,$J69,$B$5:$B$2001,$B69,$A$5:$A$2001,(MAXIFS($A$5:$A$2001,$J$5:$J$2001,$J69,$B$5:$B$2001,$B69,$A$5:$A$2001,"&lt;"&amp;$A69))),""))</f>
        <v/>
      </c>
      <c r="L69" s="14">
        <f>IF(OR('Data Entry'!A69="",$K69=""),"",$H69-$K69)</f>
        <v/>
      </c>
      <c r="M69" s="15">
        <f>IF(OR('Data Entry'!A69="",$K69="",$K69=0),"",$L69/$K69)</f>
        <v/>
      </c>
      <c r="N69" s="12">
        <f>IF('Data Entry'!A69="","",IF($L69="","New item",IF($L69&gt;0,"UP",IF($L69&lt;0,"down","same"))))</f>
        <v/>
      </c>
    </row>
    <row r="70">
      <c r="A70" s="11">
        <f>IF('Data Entry'!A70="","",'Data Entry'!A70)</f>
        <v/>
      </c>
      <c r="B70" s="12">
        <f>IF('Data Entry'!A70="","",'Data Entry'!B70)</f>
        <v/>
      </c>
      <c r="C70" s="12">
        <f>IF('Data Entry'!A70="","",'Data Entry'!C70)</f>
        <v/>
      </c>
      <c r="D70" s="12">
        <f>IF('Data Entry'!A70="","",'Data Entry'!D70)</f>
        <v/>
      </c>
      <c r="E70" s="12">
        <f>IF('Data Entry'!A70="","",'Data Entry'!E70)</f>
        <v/>
      </c>
      <c r="F70" s="12">
        <f>IF('Data Entry'!A70="","",'Data Entry'!F70)</f>
        <v/>
      </c>
      <c r="G70" s="13">
        <f>IF('Data Entry'!A70="","",'Data Entry'!G70)</f>
        <v/>
      </c>
      <c r="H70" s="10">
        <f>IF('Data Entry'!A70="","",'Data Entry'!H70)</f>
        <v/>
      </c>
      <c r="I70" s="10">
        <f>IF('Data Entry'!A70="","",'Data Entry'!I70)</f>
        <v/>
      </c>
      <c r="J70" s="12">
        <f>IF('Data Entry'!A70="","",IF('Data Entry'!D70&lt;&gt;"",'Data Entry'!D70,'Data Entry'!E70))</f>
        <v/>
      </c>
      <c r="K70" s="10">
        <f>IF('Data Entry'!A70="","",IFERROR(SUMIFS($H$5:$H$2001,$J$5:$J$2001,$J70,$B$5:$B$2001,$B70,$A$5:$A$2001,(MAXIFS($A$5:$A$2001,$J$5:$J$2001,$J70,$B$5:$B$2001,$B70,$A$5:$A$2001,"&lt;"&amp;$A70))),""))</f>
        <v/>
      </c>
      <c r="L70" s="14">
        <f>IF(OR('Data Entry'!A70="",$K70=""),"",$H70-$K70)</f>
        <v/>
      </c>
      <c r="M70" s="15">
        <f>IF(OR('Data Entry'!A70="",$K70="",$K70=0),"",$L70/$K70)</f>
        <v/>
      </c>
      <c r="N70" s="12">
        <f>IF('Data Entry'!A70="","",IF($L70="","New item",IF($L70&gt;0,"UP",IF($L70&lt;0,"down","same"))))</f>
        <v/>
      </c>
    </row>
    <row r="71">
      <c r="A71" s="11">
        <f>IF('Data Entry'!A71="","",'Data Entry'!A71)</f>
        <v/>
      </c>
      <c r="B71" s="12">
        <f>IF('Data Entry'!A71="","",'Data Entry'!B71)</f>
        <v/>
      </c>
      <c r="C71" s="12">
        <f>IF('Data Entry'!A71="","",'Data Entry'!C71)</f>
        <v/>
      </c>
      <c r="D71" s="12">
        <f>IF('Data Entry'!A71="","",'Data Entry'!D71)</f>
        <v/>
      </c>
      <c r="E71" s="12">
        <f>IF('Data Entry'!A71="","",'Data Entry'!E71)</f>
        <v/>
      </c>
      <c r="F71" s="12">
        <f>IF('Data Entry'!A71="","",'Data Entry'!F71)</f>
        <v/>
      </c>
      <c r="G71" s="13">
        <f>IF('Data Entry'!A71="","",'Data Entry'!G71)</f>
        <v/>
      </c>
      <c r="H71" s="10">
        <f>IF('Data Entry'!A71="","",'Data Entry'!H71)</f>
        <v/>
      </c>
      <c r="I71" s="10">
        <f>IF('Data Entry'!A71="","",'Data Entry'!I71)</f>
        <v/>
      </c>
      <c r="J71" s="12">
        <f>IF('Data Entry'!A71="","",IF('Data Entry'!D71&lt;&gt;"",'Data Entry'!D71,'Data Entry'!E71))</f>
        <v/>
      </c>
      <c r="K71" s="10">
        <f>IF('Data Entry'!A71="","",IFERROR(SUMIFS($H$5:$H$2001,$J$5:$J$2001,$J71,$B$5:$B$2001,$B71,$A$5:$A$2001,(MAXIFS($A$5:$A$2001,$J$5:$J$2001,$J71,$B$5:$B$2001,$B71,$A$5:$A$2001,"&lt;"&amp;$A71))),""))</f>
        <v/>
      </c>
      <c r="L71" s="14">
        <f>IF(OR('Data Entry'!A71="",$K71=""),"",$H71-$K71)</f>
        <v/>
      </c>
      <c r="M71" s="15">
        <f>IF(OR('Data Entry'!A71="",$K71="",$K71=0),"",$L71/$K71)</f>
        <v/>
      </c>
      <c r="N71" s="12">
        <f>IF('Data Entry'!A71="","",IF($L71="","New item",IF($L71&gt;0,"UP",IF($L71&lt;0,"down","same"))))</f>
        <v/>
      </c>
    </row>
    <row r="72">
      <c r="A72" s="11">
        <f>IF('Data Entry'!A72="","",'Data Entry'!A72)</f>
        <v/>
      </c>
      <c r="B72" s="12">
        <f>IF('Data Entry'!A72="","",'Data Entry'!B72)</f>
        <v/>
      </c>
      <c r="C72" s="12">
        <f>IF('Data Entry'!A72="","",'Data Entry'!C72)</f>
        <v/>
      </c>
      <c r="D72" s="12">
        <f>IF('Data Entry'!A72="","",'Data Entry'!D72)</f>
        <v/>
      </c>
      <c r="E72" s="12">
        <f>IF('Data Entry'!A72="","",'Data Entry'!E72)</f>
        <v/>
      </c>
      <c r="F72" s="12">
        <f>IF('Data Entry'!A72="","",'Data Entry'!F72)</f>
        <v/>
      </c>
      <c r="G72" s="13">
        <f>IF('Data Entry'!A72="","",'Data Entry'!G72)</f>
        <v/>
      </c>
      <c r="H72" s="10">
        <f>IF('Data Entry'!A72="","",'Data Entry'!H72)</f>
        <v/>
      </c>
      <c r="I72" s="10">
        <f>IF('Data Entry'!A72="","",'Data Entry'!I72)</f>
        <v/>
      </c>
      <c r="J72" s="12">
        <f>IF('Data Entry'!A72="","",IF('Data Entry'!D72&lt;&gt;"",'Data Entry'!D72,'Data Entry'!E72))</f>
        <v/>
      </c>
      <c r="K72" s="10">
        <f>IF('Data Entry'!A72="","",IFERROR(SUMIFS($H$5:$H$2001,$J$5:$J$2001,$J72,$B$5:$B$2001,$B72,$A$5:$A$2001,(MAXIFS($A$5:$A$2001,$J$5:$J$2001,$J72,$B$5:$B$2001,$B72,$A$5:$A$2001,"&lt;"&amp;$A72))),""))</f>
        <v/>
      </c>
      <c r="L72" s="14">
        <f>IF(OR('Data Entry'!A72="",$K72=""),"",$H72-$K72)</f>
        <v/>
      </c>
      <c r="M72" s="15">
        <f>IF(OR('Data Entry'!A72="",$K72="",$K72=0),"",$L72/$K72)</f>
        <v/>
      </c>
      <c r="N72" s="12">
        <f>IF('Data Entry'!A72="","",IF($L72="","New item",IF($L72&gt;0,"UP",IF($L72&lt;0,"down","same"))))</f>
        <v/>
      </c>
    </row>
    <row r="73">
      <c r="A73" s="11">
        <f>IF('Data Entry'!A73="","",'Data Entry'!A73)</f>
        <v/>
      </c>
      <c r="B73" s="12">
        <f>IF('Data Entry'!A73="","",'Data Entry'!B73)</f>
        <v/>
      </c>
      <c r="C73" s="12">
        <f>IF('Data Entry'!A73="","",'Data Entry'!C73)</f>
        <v/>
      </c>
      <c r="D73" s="12">
        <f>IF('Data Entry'!A73="","",'Data Entry'!D73)</f>
        <v/>
      </c>
      <c r="E73" s="12">
        <f>IF('Data Entry'!A73="","",'Data Entry'!E73)</f>
        <v/>
      </c>
      <c r="F73" s="12">
        <f>IF('Data Entry'!A73="","",'Data Entry'!F73)</f>
        <v/>
      </c>
      <c r="G73" s="13">
        <f>IF('Data Entry'!A73="","",'Data Entry'!G73)</f>
        <v/>
      </c>
      <c r="H73" s="10">
        <f>IF('Data Entry'!A73="","",'Data Entry'!H73)</f>
        <v/>
      </c>
      <c r="I73" s="10">
        <f>IF('Data Entry'!A73="","",'Data Entry'!I73)</f>
        <v/>
      </c>
      <c r="J73" s="12">
        <f>IF('Data Entry'!A73="","",IF('Data Entry'!D73&lt;&gt;"",'Data Entry'!D73,'Data Entry'!E73))</f>
        <v/>
      </c>
      <c r="K73" s="10">
        <f>IF('Data Entry'!A73="","",IFERROR(SUMIFS($H$5:$H$2001,$J$5:$J$2001,$J73,$B$5:$B$2001,$B73,$A$5:$A$2001,(MAXIFS($A$5:$A$2001,$J$5:$J$2001,$J73,$B$5:$B$2001,$B73,$A$5:$A$2001,"&lt;"&amp;$A73))),""))</f>
        <v/>
      </c>
      <c r="L73" s="14">
        <f>IF(OR('Data Entry'!A73="",$K73=""),"",$H73-$K73)</f>
        <v/>
      </c>
      <c r="M73" s="15">
        <f>IF(OR('Data Entry'!A73="",$K73="",$K73=0),"",$L73/$K73)</f>
        <v/>
      </c>
      <c r="N73" s="12">
        <f>IF('Data Entry'!A73="","",IF($L73="","New item",IF($L73&gt;0,"UP",IF($L73&lt;0,"down","same"))))</f>
        <v/>
      </c>
    </row>
    <row r="74">
      <c r="A74" s="11">
        <f>IF('Data Entry'!A74="","",'Data Entry'!A74)</f>
        <v/>
      </c>
      <c r="B74" s="12">
        <f>IF('Data Entry'!A74="","",'Data Entry'!B74)</f>
        <v/>
      </c>
      <c r="C74" s="12">
        <f>IF('Data Entry'!A74="","",'Data Entry'!C74)</f>
        <v/>
      </c>
      <c r="D74" s="12">
        <f>IF('Data Entry'!A74="","",'Data Entry'!D74)</f>
        <v/>
      </c>
      <c r="E74" s="12">
        <f>IF('Data Entry'!A74="","",'Data Entry'!E74)</f>
        <v/>
      </c>
      <c r="F74" s="12">
        <f>IF('Data Entry'!A74="","",'Data Entry'!F74)</f>
        <v/>
      </c>
      <c r="G74" s="13">
        <f>IF('Data Entry'!A74="","",'Data Entry'!G74)</f>
        <v/>
      </c>
      <c r="H74" s="10">
        <f>IF('Data Entry'!A74="","",'Data Entry'!H74)</f>
        <v/>
      </c>
      <c r="I74" s="10">
        <f>IF('Data Entry'!A74="","",'Data Entry'!I74)</f>
        <v/>
      </c>
      <c r="J74" s="12">
        <f>IF('Data Entry'!A74="","",IF('Data Entry'!D74&lt;&gt;"",'Data Entry'!D74,'Data Entry'!E74))</f>
        <v/>
      </c>
      <c r="K74" s="10">
        <f>IF('Data Entry'!A74="","",IFERROR(SUMIFS($H$5:$H$2001,$J$5:$J$2001,$J74,$B$5:$B$2001,$B74,$A$5:$A$2001,(MAXIFS($A$5:$A$2001,$J$5:$J$2001,$J74,$B$5:$B$2001,$B74,$A$5:$A$2001,"&lt;"&amp;$A74))),""))</f>
        <v/>
      </c>
      <c r="L74" s="14">
        <f>IF(OR('Data Entry'!A74="",$K74=""),"",$H74-$K74)</f>
        <v/>
      </c>
      <c r="M74" s="15">
        <f>IF(OR('Data Entry'!A74="",$K74="",$K74=0),"",$L74/$K74)</f>
        <v/>
      </c>
      <c r="N74" s="12">
        <f>IF('Data Entry'!A74="","",IF($L74="","New item",IF($L74&gt;0,"UP",IF($L74&lt;0,"down","same"))))</f>
        <v/>
      </c>
    </row>
    <row r="75">
      <c r="A75" s="11">
        <f>IF('Data Entry'!A75="","",'Data Entry'!A75)</f>
        <v/>
      </c>
      <c r="B75" s="12">
        <f>IF('Data Entry'!A75="","",'Data Entry'!B75)</f>
        <v/>
      </c>
      <c r="C75" s="12">
        <f>IF('Data Entry'!A75="","",'Data Entry'!C75)</f>
        <v/>
      </c>
      <c r="D75" s="12">
        <f>IF('Data Entry'!A75="","",'Data Entry'!D75)</f>
        <v/>
      </c>
      <c r="E75" s="12">
        <f>IF('Data Entry'!A75="","",'Data Entry'!E75)</f>
        <v/>
      </c>
      <c r="F75" s="12">
        <f>IF('Data Entry'!A75="","",'Data Entry'!F75)</f>
        <v/>
      </c>
      <c r="G75" s="13">
        <f>IF('Data Entry'!A75="","",'Data Entry'!G75)</f>
        <v/>
      </c>
      <c r="H75" s="10">
        <f>IF('Data Entry'!A75="","",'Data Entry'!H75)</f>
        <v/>
      </c>
      <c r="I75" s="10">
        <f>IF('Data Entry'!A75="","",'Data Entry'!I75)</f>
        <v/>
      </c>
      <c r="J75" s="12">
        <f>IF('Data Entry'!A75="","",IF('Data Entry'!D75&lt;&gt;"",'Data Entry'!D75,'Data Entry'!E75))</f>
        <v/>
      </c>
      <c r="K75" s="10">
        <f>IF('Data Entry'!A75="","",IFERROR(SUMIFS($H$5:$H$2001,$J$5:$J$2001,$J75,$B$5:$B$2001,$B75,$A$5:$A$2001,(MAXIFS($A$5:$A$2001,$J$5:$J$2001,$J75,$B$5:$B$2001,$B75,$A$5:$A$2001,"&lt;"&amp;$A75))),""))</f>
        <v/>
      </c>
      <c r="L75" s="14">
        <f>IF(OR('Data Entry'!A75="",$K75=""),"",$H75-$K75)</f>
        <v/>
      </c>
      <c r="M75" s="15">
        <f>IF(OR('Data Entry'!A75="",$K75="",$K75=0),"",$L75/$K75)</f>
        <v/>
      </c>
      <c r="N75" s="12">
        <f>IF('Data Entry'!A75="","",IF($L75="","New item",IF($L75&gt;0,"UP",IF($L75&lt;0,"down","same"))))</f>
        <v/>
      </c>
    </row>
    <row r="76">
      <c r="A76" s="11">
        <f>IF('Data Entry'!A76="","",'Data Entry'!A76)</f>
        <v/>
      </c>
      <c r="B76" s="12">
        <f>IF('Data Entry'!A76="","",'Data Entry'!B76)</f>
        <v/>
      </c>
      <c r="C76" s="12">
        <f>IF('Data Entry'!A76="","",'Data Entry'!C76)</f>
        <v/>
      </c>
      <c r="D76" s="12">
        <f>IF('Data Entry'!A76="","",'Data Entry'!D76)</f>
        <v/>
      </c>
      <c r="E76" s="12">
        <f>IF('Data Entry'!A76="","",'Data Entry'!E76)</f>
        <v/>
      </c>
      <c r="F76" s="12">
        <f>IF('Data Entry'!A76="","",'Data Entry'!F76)</f>
        <v/>
      </c>
      <c r="G76" s="13">
        <f>IF('Data Entry'!A76="","",'Data Entry'!G76)</f>
        <v/>
      </c>
      <c r="H76" s="10">
        <f>IF('Data Entry'!A76="","",'Data Entry'!H76)</f>
        <v/>
      </c>
      <c r="I76" s="10">
        <f>IF('Data Entry'!A76="","",'Data Entry'!I76)</f>
        <v/>
      </c>
      <c r="J76" s="12">
        <f>IF('Data Entry'!A76="","",IF('Data Entry'!D76&lt;&gt;"",'Data Entry'!D76,'Data Entry'!E76))</f>
        <v/>
      </c>
      <c r="K76" s="10">
        <f>IF('Data Entry'!A76="","",IFERROR(SUMIFS($H$5:$H$2001,$J$5:$J$2001,$J76,$B$5:$B$2001,$B76,$A$5:$A$2001,(MAXIFS($A$5:$A$2001,$J$5:$J$2001,$J76,$B$5:$B$2001,$B76,$A$5:$A$2001,"&lt;"&amp;$A76))),""))</f>
        <v/>
      </c>
      <c r="L76" s="14">
        <f>IF(OR('Data Entry'!A76="",$K76=""),"",$H76-$K76)</f>
        <v/>
      </c>
      <c r="M76" s="15">
        <f>IF(OR('Data Entry'!A76="",$K76="",$K76=0),"",$L76/$K76)</f>
        <v/>
      </c>
      <c r="N76" s="12">
        <f>IF('Data Entry'!A76="","",IF($L76="","New item",IF($L76&gt;0,"UP",IF($L76&lt;0,"down","same"))))</f>
        <v/>
      </c>
    </row>
    <row r="77">
      <c r="A77" s="11">
        <f>IF('Data Entry'!A77="","",'Data Entry'!A77)</f>
        <v/>
      </c>
      <c r="B77" s="12">
        <f>IF('Data Entry'!A77="","",'Data Entry'!B77)</f>
        <v/>
      </c>
      <c r="C77" s="12">
        <f>IF('Data Entry'!A77="","",'Data Entry'!C77)</f>
        <v/>
      </c>
      <c r="D77" s="12">
        <f>IF('Data Entry'!A77="","",'Data Entry'!D77)</f>
        <v/>
      </c>
      <c r="E77" s="12">
        <f>IF('Data Entry'!A77="","",'Data Entry'!E77)</f>
        <v/>
      </c>
      <c r="F77" s="12">
        <f>IF('Data Entry'!A77="","",'Data Entry'!F77)</f>
        <v/>
      </c>
      <c r="G77" s="13">
        <f>IF('Data Entry'!A77="","",'Data Entry'!G77)</f>
        <v/>
      </c>
      <c r="H77" s="10">
        <f>IF('Data Entry'!A77="","",'Data Entry'!H77)</f>
        <v/>
      </c>
      <c r="I77" s="10">
        <f>IF('Data Entry'!A77="","",'Data Entry'!I77)</f>
        <v/>
      </c>
      <c r="J77" s="12">
        <f>IF('Data Entry'!A77="","",IF('Data Entry'!D77&lt;&gt;"",'Data Entry'!D77,'Data Entry'!E77))</f>
        <v/>
      </c>
      <c r="K77" s="10">
        <f>IF('Data Entry'!A77="","",IFERROR(SUMIFS($H$5:$H$2001,$J$5:$J$2001,$J77,$B$5:$B$2001,$B77,$A$5:$A$2001,(MAXIFS($A$5:$A$2001,$J$5:$J$2001,$J77,$B$5:$B$2001,$B77,$A$5:$A$2001,"&lt;"&amp;$A77))),""))</f>
        <v/>
      </c>
      <c r="L77" s="14">
        <f>IF(OR('Data Entry'!A77="",$K77=""),"",$H77-$K77)</f>
        <v/>
      </c>
      <c r="M77" s="15">
        <f>IF(OR('Data Entry'!A77="",$K77="",$K77=0),"",$L77/$K77)</f>
        <v/>
      </c>
      <c r="N77" s="12">
        <f>IF('Data Entry'!A77="","",IF($L77="","New item",IF($L77&gt;0,"UP",IF($L77&lt;0,"down","same"))))</f>
        <v/>
      </c>
    </row>
    <row r="78">
      <c r="A78" s="11">
        <f>IF('Data Entry'!A78="","",'Data Entry'!A78)</f>
        <v/>
      </c>
      <c r="B78" s="12">
        <f>IF('Data Entry'!A78="","",'Data Entry'!B78)</f>
        <v/>
      </c>
      <c r="C78" s="12">
        <f>IF('Data Entry'!A78="","",'Data Entry'!C78)</f>
        <v/>
      </c>
      <c r="D78" s="12">
        <f>IF('Data Entry'!A78="","",'Data Entry'!D78)</f>
        <v/>
      </c>
      <c r="E78" s="12">
        <f>IF('Data Entry'!A78="","",'Data Entry'!E78)</f>
        <v/>
      </c>
      <c r="F78" s="12">
        <f>IF('Data Entry'!A78="","",'Data Entry'!F78)</f>
        <v/>
      </c>
      <c r="G78" s="13">
        <f>IF('Data Entry'!A78="","",'Data Entry'!G78)</f>
        <v/>
      </c>
      <c r="H78" s="10">
        <f>IF('Data Entry'!A78="","",'Data Entry'!H78)</f>
        <v/>
      </c>
      <c r="I78" s="10">
        <f>IF('Data Entry'!A78="","",'Data Entry'!I78)</f>
        <v/>
      </c>
      <c r="J78" s="12">
        <f>IF('Data Entry'!A78="","",IF('Data Entry'!D78&lt;&gt;"",'Data Entry'!D78,'Data Entry'!E78))</f>
        <v/>
      </c>
      <c r="K78" s="10">
        <f>IF('Data Entry'!A78="","",IFERROR(SUMIFS($H$5:$H$2001,$J$5:$J$2001,$J78,$B$5:$B$2001,$B78,$A$5:$A$2001,(MAXIFS($A$5:$A$2001,$J$5:$J$2001,$J78,$B$5:$B$2001,$B78,$A$5:$A$2001,"&lt;"&amp;$A78))),""))</f>
        <v/>
      </c>
      <c r="L78" s="14">
        <f>IF(OR('Data Entry'!A78="",$K78=""),"",$H78-$K78)</f>
        <v/>
      </c>
      <c r="M78" s="15">
        <f>IF(OR('Data Entry'!A78="",$K78="",$K78=0),"",$L78/$K78)</f>
        <v/>
      </c>
      <c r="N78" s="12">
        <f>IF('Data Entry'!A78="","",IF($L78="","New item",IF($L78&gt;0,"UP",IF($L78&lt;0,"down","same"))))</f>
        <v/>
      </c>
    </row>
    <row r="79">
      <c r="A79" s="11">
        <f>IF('Data Entry'!A79="","",'Data Entry'!A79)</f>
        <v/>
      </c>
      <c r="B79" s="12">
        <f>IF('Data Entry'!A79="","",'Data Entry'!B79)</f>
        <v/>
      </c>
      <c r="C79" s="12">
        <f>IF('Data Entry'!A79="","",'Data Entry'!C79)</f>
        <v/>
      </c>
      <c r="D79" s="12">
        <f>IF('Data Entry'!A79="","",'Data Entry'!D79)</f>
        <v/>
      </c>
      <c r="E79" s="12">
        <f>IF('Data Entry'!A79="","",'Data Entry'!E79)</f>
        <v/>
      </c>
      <c r="F79" s="12">
        <f>IF('Data Entry'!A79="","",'Data Entry'!F79)</f>
        <v/>
      </c>
      <c r="G79" s="13">
        <f>IF('Data Entry'!A79="","",'Data Entry'!G79)</f>
        <v/>
      </c>
      <c r="H79" s="10">
        <f>IF('Data Entry'!A79="","",'Data Entry'!H79)</f>
        <v/>
      </c>
      <c r="I79" s="10">
        <f>IF('Data Entry'!A79="","",'Data Entry'!I79)</f>
        <v/>
      </c>
      <c r="J79" s="12">
        <f>IF('Data Entry'!A79="","",IF('Data Entry'!D79&lt;&gt;"",'Data Entry'!D79,'Data Entry'!E79))</f>
        <v/>
      </c>
      <c r="K79" s="10">
        <f>IF('Data Entry'!A79="","",IFERROR(SUMIFS($H$5:$H$2001,$J$5:$J$2001,$J79,$B$5:$B$2001,$B79,$A$5:$A$2001,(MAXIFS($A$5:$A$2001,$J$5:$J$2001,$J79,$B$5:$B$2001,$B79,$A$5:$A$2001,"&lt;"&amp;$A79))),""))</f>
        <v/>
      </c>
      <c r="L79" s="14">
        <f>IF(OR('Data Entry'!A79="",$K79=""),"",$H79-$K79)</f>
        <v/>
      </c>
      <c r="M79" s="15">
        <f>IF(OR('Data Entry'!A79="",$K79="",$K79=0),"",$L79/$K79)</f>
        <v/>
      </c>
      <c r="N79" s="12">
        <f>IF('Data Entry'!A79="","",IF($L79="","New item",IF($L79&gt;0,"UP",IF($L79&lt;0,"down","same"))))</f>
        <v/>
      </c>
    </row>
    <row r="80">
      <c r="A80" s="11">
        <f>IF('Data Entry'!A80="","",'Data Entry'!A80)</f>
        <v/>
      </c>
      <c r="B80" s="12">
        <f>IF('Data Entry'!A80="","",'Data Entry'!B80)</f>
        <v/>
      </c>
      <c r="C80" s="12">
        <f>IF('Data Entry'!A80="","",'Data Entry'!C80)</f>
        <v/>
      </c>
      <c r="D80" s="12">
        <f>IF('Data Entry'!A80="","",'Data Entry'!D80)</f>
        <v/>
      </c>
      <c r="E80" s="12">
        <f>IF('Data Entry'!A80="","",'Data Entry'!E80)</f>
        <v/>
      </c>
      <c r="F80" s="12">
        <f>IF('Data Entry'!A80="","",'Data Entry'!F80)</f>
        <v/>
      </c>
      <c r="G80" s="13">
        <f>IF('Data Entry'!A80="","",'Data Entry'!G80)</f>
        <v/>
      </c>
      <c r="H80" s="10">
        <f>IF('Data Entry'!A80="","",'Data Entry'!H80)</f>
        <v/>
      </c>
      <c r="I80" s="10">
        <f>IF('Data Entry'!A80="","",'Data Entry'!I80)</f>
        <v/>
      </c>
      <c r="J80" s="12">
        <f>IF('Data Entry'!A80="","",IF('Data Entry'!D80&lt;&gt;"",'Data Entry'!D80,'Data Entry'!E80))</f>
        <v/>
      </c>
      <c r="K80" s="10">
        <f>IF('Data Entry'!A80="","",IFERROR(SUMIFS($H$5:$H$2001,$J$5:$J$2001,$J80,$B$5:$B$2001,$B80,$A$5:$A$2001,(MAXIFS($A$5:$A$2001,$J$5:$J$2001,$J80,$B$5:$B$2001,$B80,$A$5:$A$2001,"&lt;"&amp;$A80))),""))</f>
        <v/>
      </c>
      <c r="L80" s="14">
        <f>IF(OR('Data Entry'!A80="",$K80=""),"",$H80-$K80)</f>
        <v/>
      </c>
      <c r="M80" s="15">
        <f>IF(OR('Data Entry'!A80="",$K80="",$K80=0),"",$L80/$K80)</f>
        <v/>
      </c>
      <c r="N80" s="12">
        <f>IF('Data Entry'!A80="","",IF($L80="","New item",IF($L80&gt;0,"UP",IF($L80&lt;0,"down","same"))))</f>
        <v/>
      </c>
    </row>
    <row r="81">
      <c r="A81" s="11">
        <f>IF('Data Entry'!A81="","",'Data Entry'!A81)</f>
        <v/>
      </c>
      <c r="B81" s="12">
        <f>IF('Data Entry'!A81="","",'Data Entry'!B81)</f>
        <v/>
      </c>
      <c r="C81" s="12">
        <f>IF('Data Entry'!A81="","",'Data Entry'!C81)</f>
        <v/>
      </c>
      <c r="D81" s="12">
        <f>IF('Data Entry'!A81="","",'Data Entry'!D81)</f>
        <v/>
      </c>
      <c r="E81" s="12">
        <f>IF('Data Entry'!A81="","",'Data Entry'!E81)</f>
        <v/>
      </c>
      <c r="F81" s="12">
        <f>IF('Data Entry'!A81="","",'Data Entry'!F81)</f>
        <v/>
      </c>
      <c r="G81" s="13">
        <f>IF('Data Entry'!A81="","",'Data Entry'!G81)</f>
        <v/>
      </c>
      <c r="H81" s="10">
        <f>IF('Data Entry'!A81="","",'Data Entry'!H81)</f>
        <v/>
      </c>
      <c r="I81" s="10">
        <f>IF('Data Entry'!A81="","",'Data Entry'!I81)</f>
        <v/>
      </c>
      <c r="J81" s="12">
        <f>IF('Data Entry'!A81="","",IF('Data Entry'!D81&lt;&gt;"",'Data Entry'!D81,'Data Entry'!E81))</f>
        <v/>
      </c>
      <c r="K81" s="10">
        <f>IF('Data Entry'!A81="","",IFERROR(SUMIFS($H$5:$H$2001,$J$5:$J$2001,$J81,$B$5:$B$2001,$B81,$A$5:$A$2001,(MAXIFS($A$5:$A$2001,$J$5:$J$2001,$J81,$B$5:$B$2001,$B81,$A$5:$A$2001,"&lt;"&amp;$A81))),""))</f>
        <v/>
      </c>
      <c r="L81" s="14">
        <f>IF(OR('Data Entry'!A81="",$K81=""),"",$H81-$K81)</f>
        <v/>
      </c>
      <c r="M81" s="15">
        <f>IF(OR('Data Entry'!A81="",$K81="",$K81=0),"",$L81/$K81)</f>
        <v/>
      </c>
      <c r="N81" s="12">
        <f>IF('Data Entry'!A81="","",IF($L81="","New item",IF($L81&gt;0,"UP",IF($L81&lt;0,"down","same"))))</f>
        <v/>
      </c>
    </row>
    <row r="82">
      <c r="A82" s="11">
        <f>IF('Data Entry'!A82="","",'Data Entry'!A82)</f>
        <v/>
      </c>
      <c r="B82" s="12">
        <f>IF('Data Entry'!A82="","",'Data Entry'!B82)</f>
        <v/>
      </c>
      <c r="C82" s="12">
        <f>IF('Data Entry'!A82="","",'Data Entry'!C82)</f>
        <v/>
      </c>
      <c r="D82" s="12">
        <f>IF('Data Entry'!A82="","",'Data Entry'!D82)</f>
        <v/>
      </c>
      <c r="E82" s="12">
        <f>IF('Data Entry'!A82="","",'Data Entry'!E82)</f>
        <v/>
      </c>
      <c r="F82" s="12">
        <f>IF('Data Entry'!A82="","",'Data Entry'!F82)</f>
        <v/>
      </c>
      <c r="G82" s="13">
        <f>IF('Data Entry'!A82="","",'Data Entry'!G82)</f>
        <v/>
      </c>
      <c r="H82" s="10">
        <f>IF('Data Entry'!A82="","",'Data Entry'!H82)</f>
        <v/>
      </c>
      <c r="I82" s="10">
        <f>IF('Data Entry'!A82="","",'Data Entry'!I82)</f>
        <v/>
      </c>
      <c r="J82" s="12">
        <f>IF('Data Entry'!A82="","",IF('Data Entry'!D82&lt;&gt;"",'Data Entry'!D82,'Data Entry'!E82))</f>
        <v/>
      </c>
      <c r="K82" s="10">
        <f>IF('Data Entry'!A82="","",IFERROR(SUMIFS($H$5:$H$2001,$J$5:$J$2001,$J82,$B$5:$B$2001,$B82,$A$5:$A$2001,(MAXIFS($A$5:$A$2001,$J$5:$J$2001,$J82,$B$5:$B$2001,$B82,$A$5:$A$2001,"&lt;"&amp;$A82))),""))</f>
        <v/>
      </c>
      <c r="L82" s="14">
        <f>IF(OR('Data Entry'!A82="",$K82=""),"",$H82-$K82)</f>
        <v/>
      </c>
      <c r="M82" s="15">
        <f>IF(OR('Data Entry'!A82="",$K82="",$K82=0),"",$L82/$K82)</f>
        <v/>
      </c>
      <c r="N82" s="12">
        <f>IF('Data Entry'!A82="","",IF($L82="","New item",IF($L82&gt;0,"UP",IF($L82&lt;0,"down","same"))))</f>
        <v/>
      </c>
    </row>
    <row r="83">
      <c r="A83" s="11">
        <f>IF('Data Entry'!A83="","",'Data Entry'!A83)</f>
        <v/>
      </c>
      <c r="B83" s="12">
        <f>IF('Data Entry'!A83="","",'Data Entry'!B83)</f>
        <v/>
      </c>
      <c r="C83" s="12">
        <f>IF('Data Entry'!A83="","",'Data Entry'!C83)</f>
        <v/>
      </c>
      <c r="D83" s="12">
        <f>IF('Data Entry'!A83="","",'Data Entry'!D83)</f>
        <v/>
      </c>
      <c r="E83" s="12">
        <f>IF('Data Entry'!A83="","",'Data Entry'!E83)</f>
        <v/>
      </c>
      <c r="F83" s="12">
        <f>IF('Data Entry'!A83="","",'Data Entry'!F83)</f>
        <v/>
      </c>
      <c r="G83" s="13">
        <f>IF('Data Entry'!A83="","",'Data Entry'!G83)</f>
        <v/>
      </c>
      <c r="H83" s="10">
        <f>IF('Data Entry'!A83="","",'Data Entry'!H83)</f>
        <v/>
      </c>
      <c r="I83" s="10">
        <f>IF('Data Entry'!A83="","",'Data Entry'!I83)</f>
        <v/>
      </c>
      <c r="J83" s="12">
        <f>IF('Data Entry'!A83="","",IF('Data Entry'!D83&lt;&gt;"",'Data Entry'!D83,'Data Entry'!E83))</f>
        <v/>
      </c>
      <c r="K83" s="10">
        <f>IF('Data Entry'!A83="","",IFERROR(SUMIFS($H$5:$H$2001,$J$5:$J$2001,$J83,$B$5:$B$2001,$B83,$A$5:$A$2001,(MAXIFS($A$5:$A$2001,$J$5:$J$2001,$J83,$B$5:$B$2001,$B83,$A$5:$A$2001,"&lt;"&amp;$A83))),""))</f>
        <v/>
      </c>
      <c r="L83" s="14">
        <f>IF(OR('Data Entry'!A83="",$K83=""),"",$H83-$K83)</f>
        <v/>
      </c>
      <c r="M83" s="15">
        <f>IF(OR('Data Entry'!A83="",$K83="",$K83=0),"",$L83/$K83)</f>
        <v/>
      </c>
      <c r="N83" s="12">
        <f>IF('Data Entry'!A83="","",IF($L83="","New item",IF($L83&gt;0,"UP",IF($L83&lt;0,"down","same"))))</f>
        <v/>
      </c>
    </row>
    <row r="84">
      <c r="A84" s="11">
        <f>IF('Data Entry'!A84="","",'Data Entry'!A84)</f>
        <v/>
      </c>
      <c r="B84" s="12">
        <f>IF('Data Entry'!A84="","",'Data Entry'!B84)</f>
        <v/>
      </c>
      <c r="C84" s="12">
        <f>IF('Data Entry'!A84="","",'Data Entry'!C84)</f>
        <v/>
      </c>
      <c r="D84" s="12">
        <f>IF('Data Entry'!A84="","",'Data Entry'!D84)</f>
        <v/>
      </c>
      <c r="E84" s="12">
        <f>IF('Data Entry'!A84="","",'Data Entry'!E84)</f>
        <v/>
      </c>
      <c r="F84" s="12">
        <f>IF('Data Entry'!A84="","",'Data Entry'!F84)</f>
        <v/>
      </c>
      <c r="G84" s="13">
        <f>IF('Data Entry'!A84="","",'Data Entry'!G84)</f>
        <v/>
      </c>
      <c r="H84" s="10">
        <f>IF('Data Entry'!A84="","",'Data Entry'!H84)</f>
        <v/>
      </c>
      <c r="I84" s="10">
        <f>IF('Data Entry'!A84="","",'Data Entry'!I84)</f>
        <v/>
      </c>
      <c r="J84" s="12">
        <f>IF('Data Entry'!A84="","",IF('Data Entry'!D84&lt;&gt;"",'Data Entry'!D84,'Data Entry'!E84))</f>
        <v/>
      </c>
      <c r="K84" s="10">
        <f>IF('Data Entry'!A84="","",IFERROR(SUMIFS($H$5:$H$2001,$J$5:$J$2001,$J84,$B$5:$B$2001,$B84,$A$5:$A$2001,(MAXIFS($A$5:$A$2001,$J$5:$J$2001,$J84,$B$5:$B$2001,$B84,$A$5:$A$2001,"&lt;"&amp;$A84))),""))</f>
        <v/>
      </c>
      <c r="L84" s="14">
        <f>IF(OR('Data Entry'!A84="",$K84=""),"",$H84-$K84)</f>
        <v/>
      </c>
      <c r="M84" s="15">
        <f>IF(OR('Data Entry'!A84="",$K84="",$K84=0),"",$L84/$K84)</f>
        <v/>
      </c>
      <c r="N84" s="12">
        <f>IF('Data Entry'!A84="","",IF($L84="","New item",IF($L84&gt;0,"UP",IF($L84&lt;0,"down","same"))))</f>
        <v/>
      </c>
    </row>
    <row r="85">
      <c r="A85" s="11">
        <f>IF('Data Entry'!A85="","",'Data Entry'!A85)</f>
        <v/>
      </c>
      <c r="B85" s="12">
        <f>IF('Data Entry'!A85="","",'Data Entry'!B85)</f>
        <v/>
      </c>
      <c r="C85" s="12">
        <f>IF('Data Entry'!A85="","",'Data Entry'!C85)</f>
        <v/>
      </c>
      <c r="D85" s="12">
        <f>IF('Data Entry'!A85="","",'Data Entry'!D85)</f>
        <v/>
      </c>
      <c r="E85" s="12">
        <f>IF('Data Entry'!A85="","",'Data Entry'!E85)</f>
        <v/>
      </c>
      <c r="F85" s="12">
        <f>IF('Data Entry'!A85="","",'Data Entry'!F85)</f>
        <v/>
      </c>
      <c r="G85" s="13">
        <f>IF('Data Entry'!A85="","",'Data Entry'!G85)</f>
        <v/>
      </c>
      <c r="H85" s="10">
        <f>IF('Data Entry'!A85="","",'Data Entry'!H85)</f>
        <v/>
      </c>
      <c r="I85" s="10">
        <f>IF('Data Entry'!A85="","",'Data Entry'!I85)</f>
        <v/>
      </c>
      <c r="J85" s="12">
        <f>IF('Data Entry'!A85="","",IF('Data Entry'!D85&lt;&gt;"",'Data Entry'!D85,'Data Entry'!E85))</f>
        <v/>
      </c>
      <c r="K85" s="10">
        <f>IF('Data Entry'!A85="","",IFERROR(SUMIFS($H$5:$H$2001,$J$5:$J$2001,$J85,$B$5:$B$2001,$B85,$A$5:$A$2001,(MAXIFS($A$5:$A$2001,$J$5:$J$2001,$J85,$B$5:$B$2001,$B85,$A$5:$A$2001,"&lt;"&amp;$A85))),""))</f>
        <v/>
      </c>
      <c r="L85" s="14">
        <f>IF(OR('Data Entry'!A85="",$K85=""),"",$H85-$K85)</f>
        <v/>
      </c>
      <c r="M85" s="15">
        <f>IF(OR('Data Entry'!A85="",$K85="",$K85=0),"",$L85/$K85)</f>
        <v/>
      </c>
      <c r="N85" s="12">
        <f>IF('Data Entry'!A85="","",IF($L85="","New item",IF($L85&gt;0,"UP",IF($L85&lt;0,"down","same"))))</f>
        <v/>
      </c>
    </row>
    <row r="86">
      <c r="A86" s="11">
        <f>IF('Data Entry'!A86="","",'Data Entry'!A86)</f>
        <v/>
      </c>
      <c r="B86" s="12">
        <f>IF('Data Entry'!A86="","",'Data Entry'!B86)</f>
        <v/>
      </c>
      <c r="C86" s="12">
        <f>IF('Data Entry'!A86="","",'Data Entry'!C86)</f>
        <v/>
      </c>
      <c r="D86" s="12">
        <f>IF('Data Entry'!A86="","",'Data Entry'!D86)</f>
        <v/>
      </c>
      <c r="E86" s="12">
        <f>IF('Data Entry'!A86="","",'Data Entry'!E86)</f>
        <v/>
      </c>
      <c r="F86" s="12">
        <f>IF('Data Entry'!A86="","",'Data Entry'!F86)</f>
        <v/>
      </c>
      <c r="G86" s="13">
        <f>IF('Data Entry'!A86="","",'Data Entry'!G86)</f>
        <v/>
      </c>
      <c r="H86" s="10">
        <f>IF('Data Entry'!A86="","",'Data Entry'!H86)</f>
        <v/>
      </c>
      <c r="I86" s="10">
        <f>IF('Data Entry'!A86="","",'Data Entry'!I86)</f>
        <v/>
      </c>
      <c r="J86" s="12">
        <f>IF('Data Entry'!A86="","",IF('Data Entry'!D86&lt;&gt;"",'Data Entry'!D86,'Data Entry'!E86))</f>
        <v/>
      </c>
      <c r="K86" s="10">
        <f>IF('Data Entry'!A86="","",IFERROR(SUMIFS($H$5:$H$2001,$J$5:$J$2001,$J86,$B$5:$B$2001,$B86,$A$5:$A$2001,(MAXIFS($A$5:$A$2001,$J$5:$J$2001,$J86,$B$5:$B$2001,$B86,$A$5:$A$2001,"&lt;"&amp;$A86))),""))</f>
        <v/>
      </c>
      <c r="L86" s="14">
        <f>IF(OR('Data Entry'!A86="",$K86=""),"",$H86-$K86)</f>
        <v/>
      </c>
      <c r="M86" s="15">
        <f>IF(OR('Data Entry'!A86="",$K86="",$K86=0),"",$L86/$K86)</f>
        <v/>
      </c>
      <c r="N86" s="12">
        <f>IF('Data Entry'!A86="","",IF($L86="","New item",IF($L86&gt;0,"UP",IF($L86&lt;0,"down","same"))))</f>
        <v/>
      </c>
    </row>
    <row r="87">
      <c r="A87" s="11">
        <f>IF('Data Entry'!A87="","",'Data Entry'!A87)</f>
        <v/>
      </c>
      <c r="B87" s="12">
        <f>IF('Data Entry'!A87="","",'Data Entry'!B87)</f>
        <v/>
      </c>
      <c r="C87" s="12">
        <f>IF('Data Entry'!A87="","",'Data Entry'!C87)</f>
        <v/>
      </c>
      <c r="D87" s="12">
        <f>IF('Data Entry'!A87="","",'Data Entry'!D87)</f>
        <v/>
      </c>
      <c r="E87" s="12">
        <f>IF('Data Entry'!A87="","",'Data Entry'!E87)</f>
        <v/>
      </c>
      <c r="F87" s="12">
        <f>IF('Data Entry'!A87="","",'Data Entry'!F87)</f>
        <v/>
      </c>
      <c r="G87" s="13">
        <f>IF('Data Entry'!A87="","",'Data Entry'!G87)</f>
        <v/>
      </c>
      <c r="H87" s="10">
        <f>IF('Data Entry'!A87="","",'Data Entry'!H87)</f>
        <v/>
      </c>
      <c r="I87" s="10">
        <f>IF('Data Entry'!A87="","",'Data Entry'!I87)</f>
        <v/>
      </c>
      <c r="J87" s="12">
        <f>IF('Data Entry'!A87="","",IF('Data Entry'!D87&lt;&gt;"",'Data Entry'!D87,'Data Entry'!E87))</f>
        <v/>
      </c>
      <c r="K87" s="10">
        <f>IF('Data Entry'!A87="","",IFERROR(SUMIFS($H$5:$H$2001,$J$5:$J$2001,$J87,$B$5:$B$2001,$B87,$A$5:$A$2001,(MAXIFS($A$5:$A$2001,$J$5:$J$2001,$J87,$B$5:$B$2001,$B87,$A$5:$A$2001,"&lt;"&amp;$A87))),""))</f>
        <v/>
      </c>
      <c r="L87" s="14">
        <f>IF(OR('Data Entry'!A87="",$K87=""),"",$H87-$K87)</f>
        <v/>
      </c>
      <c r="M87" s="15">
        <f>IF(OR('Data Entry'!A87="",$K87="",$K87=0),"",$L87/$K87)</f>
        <v/>
      </c>
      <c r="N87" s="12">
        <f>IF('Data Entry'!A87="","",IF($L87="","New item",IF($L87&gt;0,"UP",IF($L87&lt;0,"down","same"))))</f>
        <v/>
      </c>
    </row>
    <row r="88">
      <c r="A88" s="11">
        <f>IF('Data Entry'!A88="","",'Data Entry'!A88)</f>
        <v/>
      </c>
      <c r="B88" s="12">
        <f>IF('Data Entry'!A88="","",'Data Entry'!B88)</f>
        <v/>
      </c>
      <c r="C88" s="12">
        <f>IF('Data Entry'!A88="","",'Data Entry'!C88)</f>
        <v/>
      </c>
      <c r="D88" s="12">
        <f>IF('Data Entry'!A88="","",'Data Entry'!D88)</f>
        <v/>
      </c>
      <c r="E88" s="12">
        <f>IF('Data Entry'!A88="","",'Data Entry'!E88)</f>
        <v/>
      </c>
      <c r="F88" s="12">
        <f>IF('Data Entry'!A88="","",'Data Entry'!F88)</f>
        <v/>
      </c>
      <c r="G88" s="13">
        <f>IF('Data Entry'!A88="","",'Data Entry'!G88)</f>
        <v/>
      </c>
      <c r="H88" s="10">
        <f>IF('Data Entry'!A88="","",'Data Entry'!H88)</f>
        <v/>
      </c>
      <c r="I88" s="10">
        <f>IF('Data Entry'!A88="","",'Data Entry'!I88)</f>
        <v/>
      </c>
      <c r="J88" s="12">
        <f>IF('Data Entry'!A88="","",IF('Data Entry'!D88&lt;&gt;"",'Data Entry'!D88,'Data Entry'!E88))</f>
        <v/>
      </c>
      <c r="K88" s="10">
        <f>IF('Data Entry'!A88="","",IFERROR(SUMIFS($H$5:$H$2001,$J$5:$J$2001,$J88,$B$5:$B$2001,$B88,$A$5:$A$2001,(MAXIFS($A$5:$A$2001,$J$5:$J$2001,$J88,$B$5:$B$2001,$B88,$A$5:$A$2001,"&lt;"&amp;$A88))),""))</f>
        <v/>
      </c>
      <c r="L88" s="14">
        <f>IF(OR('Data Entry'!A88="",$K88=""),"",$H88-$K88)</f>
        <v/>
      </c>
      <c r="M88" s="15">
        <f>IF(OR('Data Entry'!A88="",$K88="",$K88=0),"",$L88/$K88)</f>
        <v/>
      </c>
      <c r="N88" s="12">
        <f>IF('Data Entry'!A88="","",IF($L88="","New item",IF($L88&gt;0,"UP",IF($L88&lt;0,"down","same"))))</f>
        <v/>
      </c>
    </row>
    <row r="89">
      <c r="A89" s="11">
        <f>IF('Data Entry'!A89="","",'Data Entry'!A89)</f>
        <v/>
      </c>
      <c r="B89" s="12">
        <f>IF('Data Entry'!A89="","",'Data Entry'!B89)</f>
        <v/>
      </c>
      <c r="C89" s="12">
        <f>IF('Data Entry'!A89="","",'Data Entry'!C89)</f>
        <v/>
      </c>
      <c r="D89" s="12">
        <f>IF('Data Entry'!A89="","",'Data Entry'!D89)</f>
        <v/>
      </c>
      <c r="E89" s="12">
        <f>IF('Data Entry'!A89="","",'Data Entry'!E89)</f>
        <v/>
      </c>
      <c r="F89" s="12">
        <f>IF('Data Entry'!A89="","",'Data Entry'!F89)</f>
        <v/>
      </c>
      <c r="G89" s="13">
        <f>IF('Data Entry'!A89="","",'Data Entry'!G89)</f>
        <v/>
      </c>
      <c r="H89" s="10">
        <f>IF('Data Entry'!A89="","",'Data Entry'!H89)</f>
        <v/>
      </c>
      <c r="I89" s="10">
        <f>IF('Data Entry'!A89="","",'Data Entry'!I89)</f>
        <v/>
      </c>
      <c r="J89" s="12">
        <f>IF('Data Entry'!A89="","",IF('Data Entry'!D89&lt;&gt;"",'Data Entry'!D89,'Data Entry'!E89))</f>
        <v/>
      </c>
      <c r="K89" s="10">
        <f>IF('Data Entry'!A89="","",IFERROR(SUMIFS($H$5:$H$2001,$J$5:$J$2001,$J89,$B$5:$B$2001,$B89,$A$5:$A$2001,(MAXIFS($A$5:$A$2001,$J$5:$J$2001,$J89,$B$5:$B$2001,$B89,$A$5:$A$2001,"&lt;"&amp;$A89))),""))</f>
        <v/>
      </c>
      <c r="L89" s="14">
        <f>IF(OR('Data Entry'!A89="",$K89=""),"",$H89-$K89)</f>
        <v/>
      </c>
      <c r="M89" s="15">
        <f>IF(OR('Data Entry'!A89="",$K89="",$K89=0),"",$L89/$K89)</f>
        <v/>
      </c>
      <c r="N89" s="12">
        <f>IF('Data Entry'!A89="","",IF($L89="","New item",IF($L89&gt;0,"UP",IF($L89&lt;0,"down","same"))))</f>
        <v/>
      </c>
    </row>
    <row r="90">
      <c r="A90" s="11">
        <f>IF('Data Entry'!A90="","",'Data Entry'!A90)</f>
        <v/>
      </c>
      <c r="B90" s="12">
        <f>IF('Data Entry'!A90="","",'Data Entry'!B90)</f>
        <v/>
      </c>
      <c r="C90" s="12">
        <f>IF('Data Entry'!A90="","",'Data Entry'!C90)</f>
        <v/>
      </c>
      <c r="D90" s="12">
        <f>IF('Data Entry'!A90="","",'Data Entry'!D90)</f>
        <v/>
      </c>
      <c r="E90" s="12">
        <f>IF('Data Entry'!A90="","",'Data Entry'!E90)</f>
        <v/>
      </c>
      <c r="F90" s="12">
        <f>IF('Data Entry'!A90="","",'Data Entry'!F90)</f>
        <v/>
      </c>
      <c r="G90" s="13">
        <f>IF('Data Entry'!A90="","",'Data Entry'!G90)</f>
        <v/>
      </c>
      <c r="H90" s="10">
        <f>IF('Data Entry'!A90="","",'Data Entry'!H90)</f>
        <v/>
      </c>
      <c r="I90" s="10">
        <f>IF('Data Entry'!A90="","",'Data Entry'!I90)</f>
        <v/>
      </c>
      <c r="J90" s="12">
        <f>IF('Data Entry'!A90="","",IF('Data Entry'!D90&lt;&gt;"",'Data Entry'!D90,'Data Entry'!E90))</f>
        <v/>
      </c>
      <c r="K90" s="10">
        <f>IF('Data Entry'!A90="","",IFERROR(SUMIFS($H$5:$H$2001,$J$5:$J$2001,$J90,$B$5:$B$2001,$B90,$A$5:$A$2001,(MAXIFS($A$5:$A$2001,$J$5:$J$2001,$J90,$B$5:$B$2001,$B90,$A$5:$A$2001,"&lt;"&amp;$A90))),""))</f>
        <v/>
      </c>
      <c r="L90" s="14">
        <f>IF(OR('Data Entry'!A90="",$K90=""),"",$H90-$K90)</f>
        <v/>
      </c>
      <c r="M90" s="15">
        <f>IF(OR('Data Entry'!A90="",$K90="",$K90=0),"",$L90/$K90)</f>
        <v/>
      </c>
      <c r="N90" s="12">
        <f>IF('Data Entry'!A90="","",IF($L90="","New item",IF($L90&gt;0,"UP",IF($L90&lt;0,"down","same"))))</f>
        <v/>
      </c>
    </row>
    <row r="91">
      <c r="A91" s="11">
        <f>IF('Data Entry'!A91="","",'Data Entry'!A91)</f>
        <v/>
      </c>
      <c r="B91" s="12">
        <f>IF('Data Entry'!A91="","",'Data Entry'!B91)</f>
        <v/>
      </c>
      <c r="C91" s="12">
        <f>IF('Data Entry'!A91="","",'Data Entry'!C91)</f>
        <v/>
      </c>
      <c r="D91" s="12">
        <f>IF('Data Entry'!A91="","",'Data Entry'!D91)</f>
        <v/>
      </c>
      <c r="E91" s="12">
        <f>IF('Data Entry'!A91="","",'Data Entry'!E91)</f>
        <v/>
      </c>
      <c r="F91" s="12">
        <f>IF('Data Entry'!A91="","",'Data Entry'!F91)</f>
        <v/>
      </c>
      <c r="G91" s="13">
        <f>IF('Data Entry'!A91="","",'Data Entry'!G91)</f>
        <v/>
      </c>
      <c r="H91" s="10">
        <f>IF('Data Entry'!A91="","",'Data Entry'!H91)</f>
        <v/>
      </c>
      <c r="I91" s="10">
        <f>IF('Data Entry'!A91="","",'Data Entry'!I91)</f>
        <v/>
      </c>
      <c r="J91" s="12">
        <f>IF('Data Entry'!A91="","",IF('Data Entry'!D91&lt;&gt;"",'Data Entry'!D91,'Data Entry'!E91))</f>
        <v/>
      </c>
      <c r="K91" s="10">
        <f>IF('Data Entry'!A91="","",IFERROR(SUMIFS($H$5:$H$2001,$J$5:$J$2001,$J91,$B$5:$B$2001,$B91,$A$5:$A$2001,(MAXIFS($A$5:$A$2001,$J$5:$J$2001,$J91,$B$5:$B$2001,$B91,$A$5:$A$2001,"&lt;"&amp;$A91))),""))</f>
        <v/>
      </c>
      <c r="L91" s="14">
        <f>IF(OR('Data Entry'!A91="",$K91=""),"",$H91-$K91)</f>
        <v/>
      </c>
      <c r="M91" s="15">
        <f>IF(OR('Data Entry'!A91="",$K91="",$K91=0),"",$L91/$K91)</f>
        <v/>
      </c>
      <c r="N91" s="12">
        <f>IF('Data Entry'!A91="","",IF($L91="","New item",IF($L91&gt;0,"UP",IF($L91&lt;0,"down","same"))))</f>
        <v/>
      </c>
    </row>
    <row r="92">
      <c r="A92" s="11">
        <f>IF('Data Entry'!A92="","",'Data Entry'!A92)</f>
        <v/>
      </c>
      <c r="B92" s="12">
        <f>IF('Data Entry'!A92="","",'Data Entry'!B92)</f>
        <v/>
      </c>
      <c r="C92" s="12">
        <f>IF('Data Entry'!A92="","",'Data Entry'!C92)</f>
        <v/>
      </c>
      <c r="D92" s="12">
        <f>IF('Data Entry'!A92="","",'Data Entry'!D92)</f>
        <v/>
      </c>
      <c r="E92" s="12">
        <f>IF('Data Entry'!A92="","",'Data Entry'!E92)</f>
        <v/>
      </c>
      <c r="F92" s="12">
        <f>IF('Data Entry'!A92="","",'Data Entry'!F92)</f>
        <v/>
      </c>
      <c r="G92" s="13">
        <f>IF('Data Entry'!A92="","",'Data Entry'!G92)</f>
        <v/>
      </c>
      <c r="H92" s="10">
        <f>IF('Data Entry'!A92="","",'Data Entry'!H92)</f>
        <v/>
      </c>
      <c r="I92" s="10">
        <f>IF('Data Entry'!A92="","",'Data Entry'!I92)</f>
        <v/>
      </c>
      <c r="J92" s="12">
        <f>IF('Data Entry'!A92="","",IF('Data Entry'!D92&lt;&gt;"",'Data Entry'!D92,'Data Entry'!E92))</f>
        <v/>
      </c>
      <c r="K92" s="10">
        <f>IF('Data Entry'!A92="","",IFERROR(SUMIFS($H$5:$H$2001,$J$5:$J$2001,$J92,$B$5:$B$2001,$B92,$A$5:$A$2001,(MAXIFS($A$5:$A$2001,$J$5:$J$2001,$J92,$B$5:$B$2001,$B92,$A$5:$A$2001,"&lt;"&amp;$A92))),""))</f>
        <v/>
      </c>
      <c r="L92" s="14">
        <f>IF(OR('Data Entry'!A92="",$K92=""),"",$H92-$K92)</f>
        <v/>
      </c>
      <c r="M92" s="15">
        <f>IF(OR('Data Entry'!A92="",$K92="",$K92=0),"",$L92/$K92)</f>
        <v/>
      </c>
      <c r="N92" s="12">
        <f>IF('Data Entry'!A92="","",IF($L92="","New item",IF($L92&gt;0,"UP",IF($L92&lt;0,"down","same"))))</f>
        <v/>
      </c>
    </row>
    <row r="93">
      <c r="A93" s="11">
        <f>IF('Data Entry'!A93="","",'Data Entry'!A93)</f>
        <v/>
      </c>
      <c r="B93" s="12">
        <f>IF('Data Entry'!A93="","",'Data Entry'!B93)</f>
        <v/>
      </c>
      <c r="C93" s="12">
        <f>IF('Data Entry'!A93="","",'Data Entry'!C93)</f>
        <v/>
      </c>
      <c r="D93" s="12">
        <f>IF('Data Entry'!A93="","",'Data Entry'!D93)</f>
        <v/>
      </c>
      <c r="E93" s="12">
        <f>IF('Data Entry'!A93="","",'Data Entry'!E93)</f>
        <v/>
      </c>
      <c r="F93" s="12">
        <f>IF('Data Entry'!A93="","",'Data Entry'!F93)</f>
        <v/>
      </c>
      <c r="G93" s="13">
        <f>IF('Data Entry'!A93="","",'Data Entry'!G93)</f>
        <v/>
      </c>
      <c r="H93" s="10">
        <f>IF('Data Entry'!A93="","",'Data Entry'!H93)</f>
        <v/>
      </c>
      <c r="I93" s="10">
        <f>IF('Data Entry'!A93="","",'Data Entry'!I93)</f>
        <v/>
      </c>
      <c r="J93" s="12">
        <f>IF('Data Entry'!A93="","",IF('Data Entry'!D93&lt;&gt;"",'Data Entry'!D93,'Data Entry'!E93))</f>
        <v/>
      </c>
      <c r="K93" s="10">
        <f>IF('Data Entry'!A93="","",IFERROR(SUMIFS($H$5:$H$2001,$J$5:$J$2001,$J93,$B$5:$B$2001,$B93,$A$5:$A$2001,(MAXIFS($A$5:$A$2001,$J$5:$J$2001,$J93,$B$5:$B$2001,$B93,$A$5:$A$2001,"&lt;"&amp;$A93))),""))</f>
        <v/>
      </c>
      <c r="L93" s="14">
        <f>IF(OR('Data Entry'!A93="",$K93=""),"",$H93-$K93)</f>
        <v/>
      </c>
      <c r="M93" s="15">
        <f>IF(OR('Data Entry'!A93="",$K93="",$K93=0),"",$L93/$K93)</f>
        <v/>
      </c>
      <c r="N93" s="12">
        <f>IF('Data Entry'!A93="","",IF($L93="","New item",IF($L93&gt;0,"UP",IF($L93&lt;0,"down","same"))))</f>
        <v/>
      </c>
    </row>
    <row r="94">
      <c r="A94" s="11">
        <f>IF('Data Entry'!A94="","",'Data Entry'!A94)</f>
        <v/>
      </c>
      <c r="B94" s="12">
        <f>IF('Data Entry'!A94="","",'Data Entry'!B94)</f>
        <v/>
      </c>
      <c r="C94" s="12">
        <f>IF('Data Entry'!A94="","",'Data Entry'!C94)</f>
        <v/>
      </c>
      <c r="D94" s="12">
        <f>IF('Data Entry'!A94="","",'Data Entry'!D94)</f>
        <v/>
      </c>
      <c r="E94" s="12">
        <f>IF('Data Entry'!A94="","",'Data Entry'!E94)</f>
        <v/>
      </c>
      <c r="F94" s="12">
        <f>IF('Data Entry'!A94="","",'Data Entry'!F94)</f>
        <v/>
      </c>
      <c r="G94" s="13">
        <f>IF('Data Entry'!A94="","",'Data Entry'!G94)</f>
        <v/>
      </c>
      <c r="H94" s="10">
        <f>IF('Data Entry'!A94="","",'Data Entry'!H94)</f>
        <v/>
      </c>
      <c r="I94" s="10">
        <f>IF('Data Entry'!A94="","",'Data Entry'!I94)</f>
        <v/>
      </c>
      <c r="J94" s="12">
        <f>IF('Data Entry'!A94="","",IF('Data Entry'!D94&lt;&gt;"",'Data Entry'!D94,'Data Entry'!E94))</f>
        <v/>
      </c>
      <c r="K94" s="10">
        <f>IF('Data Entry'!A94="","",IFERROR(SUMIFS($H$5:$H$2001,$J$5:$J$2001,$J94,$B$5:$B$2001,$B94,$A$5:$A$2001,(MAXIFS($A$5:$A$2001,$J$5:$J$2001,$J94,$B$5:$B$2001,$B94,$A$5:$A$2001,"&lt;"&amp;$A94))),""))</f>
        <v/>
      </c>
      <c r="L94" s="14">
        <f>IF(OR('Data Entry'!A94="",$K94=""),"",$H94-$K94)</f>
        <v/>
      </c>
      <c r="M94" s="15">
        <f>IF(OR('Data Entry'!A94="",$K94="",$K94=0),"",$L94/$K94)</f>
        <v/>
      </c>
      <c r="N94" s="12">
        <f>IF('Data Entry'!A94="","",IF($L94="","New item",IF($L94&gt;0,"UP",IF($L94&lt;0,"down","same"))))</f>
        <v/>
      </c>
    </row>
    <row r="95">
      <c r="A95" s="11">
        <f>IF('Data Entry'!A95="","",'Data Entry'!A95)</f>
        <v/>
      </c>
      <c r="B95" s="12">
        <f>IF('Data Entry'!A95="","",'Data Entry'!B95)</f>
        <v/>
      </c>
      <c r="C95" s="12">
        <f>IF('Data Entry'!A95="","",'Data Entry'!C95)</f>
        <v/>
      </c>
      <c r="D95" s="12">
        <f>IF('Data Entry'!A95="","",'Data Entry'!D95)</f>
        <v/>
      </c>
      <c r="E95" s="12">
        <f>IF('Data Entry'!A95="","",'Data Entry'!E95)</f>
        <v/>
      </c>
      <c r="F95" s="12">
        <f>IF('Data Entry'!A95="","",'Data Entry'!F95)</f>
        <v/>
      </c>
      <c r="G95" s="13">
        <f>IF('Data Entry'!A95="","",'Data Entry'!G95)</f>
        <v/>
      </c>
      <c r="H95" s="10">
        <f>IF('Data Entry'!A95="","",'Data Entry'!H95)</f>
        <v/>
      </c>
      <c r="I95" s="10">
        <f>IF('Data Entry'!A95="","",'Data Entry'!I95)</f>
        <v/>
      </c>
      <c r="J95" s="12">
        <f>IF('Data Entry'!A95="","",IF('Data Entry'!D95&lt;&gt;"",'Data Entry'!D95,'Data Entry'!E95))</f>
        <v/>
      </c>
      <c r="K95" s="10">
        <f>IF('Data Entry'!A95="","",IFERROR(SUMIFS($H$5:$H$2001,$J$5:$J$2001,$J95,$B$5:$B$2001,$B95,$A$5:$A$2001,(MAXIFS($A$5:$A$2001,$J$5:$J$2001,$J95,$B$5:$B$2001,$B95,$A$5:$A$2001,"&lt;"&amp;$A95))),""))</f>
        <v/>
      </c>
      <c r="L95" s="14">
        <f>IF(OR('Data Entry'!A95="",$K95=""),"",$H95-$K95)</f>
        <v/>
      </c>
      <c r="M95" s="15">
        <f>IF(OR('Data Entry'!A95="",$K95="",$K95=0),"",$L95/$K95)</f>
        <v/>
      </c>
      <c r="N95" s="12">
        <f>IF('Data Entry'!A95="","",IF($L95="","New item",IF($L95&gt;0,"UP",IF($L95&lt;0,"down","same"))))</f>
        <v/>
      </c>
    </row>
    <row r="96">
      <c r="A96" s="11">
        <f>IF('Data Entry'!A96="","",'Data Entry'!A96)</f>
        <v/>
      </c>
      <c r="B96" s="12">
        <f>IF('Data Entry'!A96="","",'Data Entry'!B96)</f>
        <v/>
      </c>
      <c r="C96" s="12">
        <f>IF('Data Entry'!A96="","",'Data Entry'!C96)</f>
        <v/>
      </c>
      <c r="D96" s="12">
        <f>IF('Data Entry'!A96="","",'Data Entry'!D96)</f>
        <v/>
      </c>
      <c r="E96" s="12">
        <f>IF('Data Entry'!A96="","",'Data Entry'!E96)</f>
        <v/>
      </c>
      <c r="F96" s="12">
        <f>IF('Data Entry'!A96="","",'Data Entry'!F96)</f>
        <v/>
      </c>
      <c r="G96" s="13">
        <f>IF('Data Entry'!A96="","",'Data Entry'!G96)</f>
        <v/>
      </c>
      <c r="H96" s="10">
        <f>IF('Data Entry'!A96="","",'Data Entry'!H96)</f>
        <v/>
      </c>
      <c r="I96" s="10">
        <f>IF('Data Entry'!A96="","",'Data Entry'!I96)</f>
        <v/>
      </c>
      <c r="J96" s="12">
        <f>IF('Data Entry'!A96="","",IF('Data Entry'!D96&lt;&gt;"",'Data Entry'!D96,'Data Entry'!E96))</f>
        <v/>
      </c>
      <c r="K96" s="10">
        <f>IF('Data Entry'!A96="","",IFERROR(SUMIFS($H$5:$H$2001,$J$5:$J$2001,$J96,$B$5:$B$2001,$B96,$A$5:$A$2001,(MAXIFS($A$5:$A$2001,$J$5:$J$2001,$J96,$B$5:$B$2001,$B96,$A$5:$A$2001,"&lt;"&amp;$A96))),""))</f>
        <v/>
      </c>
      <c r="L96" s="14">
        <f>IF(OR('Data Entry'!A96="",$K96=""),"",$H96-$K96)</f>
        <v/>
      </c>
      <c r="M96" s="15">
        <f>IF(OR('Data Entry'!A96="",$K96="",$K96=0),"",$L96/$K96)</f>
        <v/>
      </c>
      <c r="N96" s="12">
        <f>IF('Data Entry'!A96="","",IF($L96="","New item",IF($L96&gt;0,"UP",IF($L96&lt;0,"down","same"))))</f>
        <v/>
      </c>
    </row>
    <row r="97">
      <c r="A97" s="11">
        <f>IF('Data Entry'!A97="","",'Data Entry'!A97)</f>
        <v/>
      </c>
      <c r="B97" s="12">
        <f>IF('Data Entry'!A97="","",'Data Entry'!B97)</f>
        <v/>
      </c>
      <c r="C97" s="12">
        <f>IF('Data Entry'!A97="","",'Data Entry'!C97)</f>
        <v/>
      </c>
      <c r="D97" s="12">
        <f>IF('Data Entry'!A97="","",'Data Entry'!D97)</f>
        <v/>
      </c>
      <c r="E97" s="12">
        <f>IF('Data Entry'!A97="","",'Data Entry'!E97)</f>
        <v/>
      </c>
      <c r="F97" s="12">
        <f>IF('Data Entry'!A97="","",'Data Entry'!F97)</f>
        <v/>
      </c>
      <c r="G97" s="13">
        <f>IF('Data Entry'!A97="","",'Data Entry'!G97)</f>
        <v/>
      </c>
      <c r="H97" s="10">
        <f>IF('Data Entry'!A97="","",'Data Entry'!H97)</f>
        <v/>
      </c>
      <c r="I97" s="10">
        <f>IF('Data Entry'!A97="","",'Data Entry'!I97)</f>
        <v/>
      </c>
      <c r="J97" s="12">
        <f>IF('Data Entry'!A97="","",IF('Data Entry'!D97&lt;&gt;"",'Data Entry'!D97,'Data Entry'!E97))</f>
        <v/>
      </c>
      <c r="K97" s="10">
        <f>IF('Data Entry'!A97="","",IFERROR(SUMIFS($H$5:$H$2001,$J$5:$J$2001,$J97,$B$5:$B$2001,$B97,$A$5:$A$2001,(MAXIFS($A$5:$A$2001,$J$5:$J$2001,$J97,$B$5:$B$2001,$B97,$A$5:$A$2001,"&lt;"&amp;$A97))),""))</f>
        <v/>
      </c>
      <c r="L97" s="14">
        <f>IF(OR('Data Entry'!A97="",$K97=""),"",$H97-$K97)</f>
        <v/>
      </c>
      <c r="M97" s="15">
        <f>IF(OR('Data Entry'!A97="",$K97="",$K97=0),"",$L97/$K97)</f>
        <v/>
      </c>
      <c r="N97" s="12">
        <f>IF('Data Entry'!A97="","",IF($L97="","New item",IF($L97&gt;0,"UP",IF($L97&lt;0,"down","same"))))</f>
        <v/>
      </c>
    </row>
    <row r="98">
      <c r="A98" s="11">
        <f>IF('Data Entry'!A98="","",'Data Entry'!A98)</f>
        <v/>
      </c>
      <c r="B98" s="12">
        <f>IF('Data Entry'!A98="","",'Data Entry'!B98)</f>
        <v/>
      </c>
      <c r="C98" s="12">
        <f>IF('Data Entry'!A98="","",'Data Entry'!C98)</f>
        <v/>
      </c>
      <c r="D98" s="12">
        <f>IF('Data Entry'!A98="","",'Data Entry'!D98)</f>
        <v/>
      </c>
      <c r="E98" s="12">
        <f>IF('Data Entry'!A98="","",'Data Entry'!E98)</f>
        <v/>
      </c>
      <c r="F98" s="12">
        <f>IF('Data Entry'!A98="","",'Data Entry'!F98)</f>
        <v/>
      </c>
      <c r="G98" s="13">
        <f>IF('Data Entry'!A98="","",'Data Entry'!G98)</f>
        <v/>
      </c>
      <c r="H98" s="10">
        <f>IF('Data Entry'!A98="","",'Data Entry'!H98)</f>
        <v/>
      </c>
      <c r="I98" s="10">
        <f>IF('Data Entry'!A98="","",'Data Entry'!I98)</f>
        <v/>
      </c>
      <c r="J98" s="12">
        <f>IF('Data Entry'!A98="","",IF('Data Entry'!D98&lt;&gt;"",'Data Entry'!D98,'Data Entry'!E98))</f>
        <v/>
      </c>
      <c r="K98" s="10">
        <f>IF('Data Entry'!A98="","",IFERROR(SUMIFS($H$5:$H$2001,$J$5:$J$2001,$J98,$B$5:$B$2001,$B98,$A$5:$A$2001,(MAXIFS($A$5:$A$2001,$J$5:$J$2001,$J98,$B$5:$B$2001,$B98,$A$5:$A$2001,"&lt;"&amp;$A98))),""))</f>
        <v/>
      </c>
      <c r="L98" s="14">
        <f>IF(OR('Data Entry'!A98="",$K98=""),"",$H98-$K98)</f>
        <v/>
      </c>
      <c r="M98" s="15">
        <f>IF(OR('Data Entry'!A98="",$K98="",$K98=0),"",$L98/$K98)</f>
        <v/>
      </c>
      <c r="N98" s="12">
        <f>IF('Data Entry'!A98="","",IF($L98="","New item",IF($L98&gt;0,"UP",IF($L98&lt;0,"down","same"))))</f>
        <v/>
      </c>
    </row>
    <row r="99">
      <c r="A99" s="11">
        <f>IF('Data Entry'!A99="","",'Data Entry'!A99)</f>
        <v/>
      </c>
      <c r="B99" s="12">
        <f>IF('Data Entry'!A99="","",'Data Entry'!B99)</f>
        <v/>
      </c>
      <c r="C99" s="12">
        <f>IF('Data Entry'!A99="","",'Data Entry'!C99)</f>
        <v/>
      </c>
      <c r="D99" s="12">
        <f>IF('Data Entry'!A99="","",'Data Entry'!D99)</f>
        <v/>
      </c>
      <c r="E99" s="12">
        <f>IF('Data Entry'!A99="","",'Data Entry'!E99)</f>
        <v/>
      </c>
      <c r="F99" s="12">
        <f>IF('Data Entry'!A99="","",'Data Entry'!F99)</f>
        <v/>
      </c>
      <c r="G99" s="13">
        <f>IF('Data Entry'!A99="","",'Data Entry'!G99)</f>
        <v/>
      </c>
      <c r="H99" s="10">
        <f>IF('Data Entry'!A99="","",'Data Entry'!H99)</f>
        <v/>
      </c>
      <c r="I99" s="10">
        <f>IF('Data Entry'!A99="","",'Data Entry'!I99)</f>
        <v/>
      </c>
      <c r="J99" s="12">
        <f>IF('Data Entry'!A99="","",IF('Data Entry'!D99&lt;&gt;"",'Data Entry'!D99,'Data Entry'!E99))</f>
        <v/>
      </c>
      <c r="K99" s="10">
        <f>IF('Data Entry'!A99="","",IFERROR(SUMIFS($H$5:$H$2001,$J$5:$J$2001,$J99,$B$5:$B$2001,$B99,$A$5:$A$2001,(MAXIFS($A$5:$A$2001,$J$5:$J$2001,$J99,$B$5:$B$2001,$B99,$A$5:$A$2001,"&lt;"&amp;$A99))),""))</f>
        <v/>
      </c>
      <c r="L99" s="14">
        <f>IF(OR('Data Entry'!A99="",$K99=""),"",$H99-$K99)</f>
        <v/>
      </c>
      <c r="M99" s="15">
        <f>IF(OR('Data Entry'!A99="",$K99="",$K99=0),"",$L99/$K99)</f>
        <v/>
      </c>
      <c r="N99" s="12">
        <f>IF('Data Entry'!A99="","",IF($L99="","New item",IF($L99&gt;0,"UP",IF($L99&lt;0,"down","same"))))</f>
        <v/>
      </c>
    </row>
    <row r="100">
      <c r="A100" s="11">
        <f>IF('Data Entry'!A100="","",'Data Entry'!A100)</f>
        <v/>
      </c>
      <c r="B100" s="12">
        <f>IF('Data Entry'!A100="","",'Data Entry'!B100)</f>
        <v/>
      </c>
      <c r="C100" s="12">
        <f>IF('Data Entry'!A100="","",'Data Entry'!C100)</f>
        <v/>
      </c>
      <c r="D100" s="12">
        <f>IF('Data Entry'!A100="","",'Data Entry'!D100)</f>
        <v/>
      </c>
      <c r="E100" s="12">
        <f>IF('Data Entry'!A100="","",'Data Entry'!E100)</f>
        <v/>
      </c>
      <c r="F100" s="12">
        <f>IF('Data Entry'!A100="","",'Data Entry'!F100)</f>
        <v/>
      </c>
      <c r="G100" s="13">
        <f>IF('Data Entry'!A100="","",'Data Entry'!G100)</f>
        <v/>
      </c>
      <c r="H100" s="10">
        <f>IF('Data Entry'!A100="","",'Data Entry'!H100)</f>
        <v/>
      </c>
      <c r="I100" s="10">
        <f>IF('Data Entry'!A100="","",'Data Entry'!I100)</f>
        <v/>
      </c>
      <c r="J100" s="12">
        <f>IF('Data Entry'!A100="","",IF('Data Entry'!D100&lt;&gt;"",'Data Entry'!D100,'Data Entry'!E100))</f>
        <v/>
      </c>
      <c r="K100" s="10">
        <f>IF('Data Entry'!A100="","",IFERROR(SUMIFS($H$5:$H$2001,$J$5:$J$2001,$J100,$B$5:$B$2001,$B100,$A$5:$A$2001,(MAXIFS($A$5:$A$2001,$J$5:$J$2001,$J100,$B$5:$B$2001,$B100,$A$5:$A$2001,"&lt;"&amp;$A100))),""))</f>
        <v/>
      </c>
      <c r="L100" s="14">
        <f>IF(OR('Data Entry'!A100="",$K100=""),"",$H100-$K100)</f>
        <v/>
      </c>
      <c r="M100" s="15">
        <f>IF(OR('Data Entry'!A100="",$K100="",$K100=0),"",$L100/$K100)</f>
        <v/>
      </c>
      <c r="N100" s="12">
        <f>IF('Data Entry'!A100="","",IF($L100="","New item",IF($L100&gt;0,"UP",IF($L100&lt;0,"down","same"))))</f>
        <v/>
      </c>
    </row>
    <row r="101">
      <c r="A101" s="11">
        <f>IF('Data Entry'!A101="","",'Data Entry'!A101)</f>
        <v/>
      </c>
      <c r="B101" s="12">
        <f>IF('Data Entry'!A101="","",'Data Entry'!B101)</f>
        <v/>
      </c>
      <c r="C101" s="12">
        <f>IF('Data Entry'!A101="","",'Data Entry'!C101)</f>
        <v/>
      </c>
      <c r="D101" s="12">
        <f>IF('Data Entry'!A101="","",'Data Entry'!D101)</f>
        <v/>
      </c>
      <c r="E101" s="12">
        <f>IF('Data Entry'!A101="","",'Data Entry'!E101)</f>
        <v/>
      </c>
      <c r="F101" s="12">
        <f>IF('Data Entry'!A101="","",'Data Entry'!F101)</f>
        <v/>
      </c>
      <c r="G101" s="13">
        <f>IF('Data Entry'!A101="","",'Data Entry'!G101)</f>
        <v/>
      </c>
      <c r="H101" s="10">
        <f>IF('Data Entry'!A101="","",'Data Entry'!H101)</f>
        <v/>
      </c>
      <c r="I101" s="10">
        <f>IF('Data Entry'!A101="","",'Data Entry'!I101)</f>
        <v/>
      </c>
      <c r="J101" s="12">
        <f>IF('Data Entry'!A101="","",IF('Data Entry'!D101&lt;&gt;"",'Data Entry'!D101,'Data Entry'!E101))</f>
        <v/>
      </c>
      <c r="K101" s="10">
        <f>IF('Data Entry'!A101="","",IFERROR(SUMIFS($H$5:$H$2001,$J$5:$J$2001,$J101,$B$5:$B$2001,$B101,$A$5:$A$2001,(MAXIFS($A$5:$A$2001,$J$5:$J$2001,$J101,$B$5:$B$2001,$B101,$A$5:$A$2001,"&lt;"&amp;$A101))),""))</f>
        <v/>
      </c>
      <c r="L101" s="14">
        <f>IF(OR('Data Entry'!A101="",$K101=""),"",$H101-$K101)</f>
        <v/>
      </c>
      <c r="M101" s="15">
        <f>IF(OR('Data Entry'!A101="",$K101="",$K101=0),"",$L101/$K101)</f>
        <v/>
      </c>
      <c r="N101" s="12">
        <f>IF('Data Entry'!A101="","",IF($L101="","New item",IF($L101&gt;0,"UP",IF($L101&lt;0,"down","same"))))</f>
        <v/>
      </c>
    </row>
    <row r="102">
      <c r="A102" s="11">
        <f>IF('Data Entry'!A102="","",'Data Entry'!A102)</f>
        <v/>
      </c>
      <c r="B102" s="12">
        <f>IF('Data Entry'!A102="","",'Data Entry'!B102)</f>
        <v/>
      </c>
      <c r="C102" s="12">
        <f>IF('Data Entry'!A102="","",'Data Entry'!C102)</f>
        <v/>
      </c>
      <c r="D102" s="12">
        <f>IF('Data Entry'!A102="","",'Data Entry'!D102)</f>
        <v/>
      </c>
      <c r="E102" s="12">
        <f>IF('Data Entry'!A102="","",'Data Entry'!E102)</f>
        <v/>
      </c>
      <c r="F102" s="12">
        <f>IF('Data Entry'!A102="","",'Data Entry'!F102)</f>
        <v/>
      </c>
      <c r="G102" s="13">
        <f>IF('Data Entry'!A102="","",'Data Entry'!G102)</f>
        <v/>
      </c>
      <c r="H102" s="10">
        <f>IF('Data Entry'!A102="","",'Data Entry'!H102)</f>
        <v/>
      </c>
      <c r="I102" s="10">
        <f>IF('Data Entry'!A102="","",'Data Entry'!I102)</f>
        <v/>
      </c>
      <c r="J102" s="12">
        <f>IF('Data Entry'!A102="","",IF('Data Entry'!D102&lt;&gt;"",'Data Entry'!D102,'Data Entry'!E102))</f>
        <v/>
      </c>
      <c r="K102" s="10">
        <f>IF('Data Entry'!A102="","",IFERROR(SUMIFS($H$5:$H$2001,$J$5:$J$2001,$J102,$B$5:$B$2001,$B102,$A$5:$A$2001,(MAXIFS($A$5:$A$2001,$J$5:$J$2001,$J102,$B$5:$B$2001,$B102,$A$5:$A$2001,"&lt;"&amp;$A102))),""))</f>
        <v/>
      </c>
      <c r="L102" s="14">
        <f>IF(OR('Data Entry'!A102="",$K102=""),"",$H102-$K102)</f>
        <v/>
      </c>
      <c r="M102" s="15">
        <f>IF(OR('Data Entry'!A102="",$K102="",$K102=0),"",$L102/$K102)</f>
        <v/>
      </c>
      <c r="N102" s="12">
        <f>IF('Data Entry'!A102="","",IF($L102="","New item",IF($L102&gt;0,"UP",IF($L102&lt;0,"down","same"))))</f>
        <v/>
      </c>
    </row>
    <row r="103">
      <c r="A103" s="11">
        <f>IF('Data Entry'!A103="","",'Data Entry'!A103)</f>
        <v/>
      </c>
      <c r="B103" s="12">
        <f>IF('Data Entry'!A103="","",'Data Entry'!B103)</f>
        <v/>
      </c>
      <c r="C103" s="12">
        <f>IF('Data Entry'!A103="","",'Data Entry'!C103)</f>
        <v/>
      </c>
      <c r="D103" s="12">
        <f>IF('Data Entry'!A103="","",'Data Entry'!D103)</f>
        <v/>
      </c>
      <c r="E103" s="12">
        <f>IF('Data Entry'!A103="","",'Data Entry'!E103)</f>
        <v/>
      </c>
      <c r="F103" s="12">
        <f>IF('Data Entry'!A103="","",'Data Entry'!F103)</f>
        <v/>
      </c>
      <c r="G103" s="13">
        <f>IF('Data Entry'!A103="","",'Data Entry'!G103)</f>
        <v/>
      </c>
      <c r="H103" s="10">
        <f>IF('Data Entry'!A103="","",'Data Entry'!H103)</f>
        <v/>
      </c>
      <c r="I103" s="10">
        <f>IF('Data Entry'!A103="","",'Data Entry'!I103)</f>
        <v/>
      </c>
      <c r="J103" s="12">
        <f>IF('Data Entry'!A103="","",IF('Data Entry'!D103&lt;&gt;"",'Data Entry'!D103,'Data Entry'!E103))</f>
        <v/>
      </c>
      <c r="K103" s="10">
        <f>IF('Data Entry'!A103="","",IFERROR(SUMIFS($H$5:$H$2001,$J$5:$J$2001,$J103,$B$5:$B$2001,$B103,$A$5:$A$2001,(MAXIFS($A$5:$A$2001,$J$5:$J$2001,$J103,$B$5:$B$2001,$B103,$A$5:$A$2001,"&lt;"&amp;$A103))),""))</f>
        <v/>
      </c>
      <c r="L103" s="14">
        <f>IF(OR('Data Entry'!A103="",$K103=""),"",$H103-$K103)</f>
        <v/>
      </c>
      <c r="M103" s="15">
        <f>IF(OR('Data Entry'!A103="",$K103="",$K103=0),"",$L103/$K103)</f>
        <v/>
      </c>
      <c r="N103" s="12">
        <f>IF('Data Entry'!A103="","",IF($L103="","New item",IF($L103&gt;0,"UP",IF($L103&lt;0,"down","same"))))</f>
        <v/>
      </c>
    </row>
    <row r="104">
      <c r="A104" s="11">
        <f>IF('Data Entry'!A104="","",'Data Entry'!A104)</f>
        <v/>
      </c>
      <c r="B104" s="12">
        <f>IF('Data Entry'!A104="","",'Data Entry'!B104)</f>
        <v/>
      </c>
      <c r="C104" s="12">
        <f>IF('Data Entry'!A104="","",'Data Entry'!C104)</f>
        <v/>
      </c>
      <c r="D104" s="12">
        <f>IF('Data Entry'!A104="","",'Data Entry'!D104)</f>
        <v/>
      </c>
      <c r="E104" s="12">
        <f>IF('Data Entry'!A104="","",'Data Entry'!E104)</f>
        <v/>
      </c>
      <c r="F104" s="12">
        <f>IF('Data Entry'!A104="","",'Data Entry'!F104)</f>
        <v/>
      </c>
      <c r="G104" s="13">
        <f>IF('Data Entry'!A104="","",'Data Entry'!G104)</f>
        <v/>
      </c>
      <c r="H104" s="10">
        <f>IF('Data Entry'!A104="","",'Data Entry'!H104)</f>
        <v/>
      </c>
      <c r="I104" s="10">
        <f>IF('Data Entry'!A104="","",'Data Entry'!I104)</f>
        <v/>
      </c>
      <c r="J104" s="12">
        <f>IF('Data Entry'!A104="","",IF('Data Entry'!D104&lt;&gt;"",'Data Entry'!D104,'Data Entry'!E104))</f>
        <v/>
      </c>
      <c r="K104" s="10">
        <f>IF('Data Entry'!A104="","",IFERROR(SUMIFS($H$5:$H$2001,$J$5:$J$2001,$J104,$B$5:$B$2001,$B104,$A$5:$A$2001,(MAXIFS($A$5:$A$2001,$J$5:$J$2001,$J104,$B$5:$B$2001,$B104,$A$5:$A$2001,"&lt;"&amp;$A104))),""))</f>
        <v/>
      </c>
      <c r="L104" s="14">
        <f>IF(OR('Data Entry'!A104="",$K104=""),"",$H104-$K104)</f>
        <v/>
      </c>
      <c r="M104" s="15">
        <f>IF(OR('Data Entry'!A104="",$K104="",$K104=0),"",$L104/$K104)</f>
        <v/>
      </c>
      <c r="N104" s="12">
        <f>IF('Data Entry'!A104="","",IF($L104="","New item",IF($L104&gt;0,"UP",IF($L104&lt;0,"down","same"))))</f>
        <v/>
      </c>
    </row>
    <row r="105">
      <c r="A105" s="11">
        <f>IF('Data Entry'!A105="","",'Data Entry'!A105)</f>
        <v/>
      </c>
      <c r="B105" s="12">
        <f>IF('Data Entry'!A105="","",'Data Entry'!B105)</f>
        <v/>
      </c>
      <c r="C105" s="12">
        <f>IF('Data Entry'!A105="","",'Data Entry'!C105)</f>
        <v/>
      </c>
      <c r="D105" s="12">
        <f>IF('Data Entry'!A105="","",'Data Entry'!D105)</f>
        <v/>
      </c>
      <c r="E105" s="12">
        <f>IF('Data Entry'!A105="","",'Data Entry'!E105)</f>
        <v/>
      </c>
      <c r="F105" s="12">
        <f>IF('Data Entry'!A105="","",'Data Entry'!F105)</f>
        <v/>
      </c>
      <c r="G105" s="13">
        <f>IF('Data Entry'!A105="","",'Data Entry'!G105)</f>
        <v/>
      </c>
      <c r="H105" s="10">
        <f>IF('Data Entry'!A105="","",'Data Entry'!H105)</f>
        <v/>
      </c>
      <c r="I105" s="10">
        <f>IF('Data Entry'!A105="","",'Data Entry'!I105)</f>
        <v/>
      </c>
      <c r="J105" s="12">
        <f>IF('Data Entry'!A105="","",IF('Data Entry'!D105&lt;&gt;"",'Data Entry'!D105,'Data Entry'!E105))</f>
        <v/>
      </c>
      <c r="K105" s="10">
        <f>IF('Data Entry'!A105="","",IFERROR(SUMIFS($H$5:$H$2001,$J$5:$J$2001,$J105,$B$5:$B$2001,$B105,$A$5:$A$2001,(MAXIFS($A$5:$A$2001,$J$5:$J$2001,$J105,$B$5:$B$2001,$B105,$A$5:$A$2001,"&lt;"&amp;$A105))),""))</f>
        <v/>
      </c>
      <c r="L105" s="14">
        <f>IF(OR('Data Entry'!A105="",$K105=""),"",$H105-$K105)</f>
        <v/>
      </c>
      <c r="M105" s="15">
        <f>IF(OR('Data Entry'!A105="",$K105="",$K105=0),"",$L105/$K105)</f>
        <v/>
      </c>
      <c r="N105" s="12">
        <f>IF('Data Entry'!A105="","",IF($L105="","New item",IF($L105&gt;0,"UP",IF($L105&lt;0,"down","same"))))</f>
        <v/>
      </c>
    </row>
    <row r="106">
      <c r="A106" s="11">
        <f>IF('Data Entry'!A106="","",'Data Entry'!A106)</f>
        <v/>
      </c>
      <c r="B106" s="12">
        <f>IF('Data Entry'!A106="","",'Data Entry'!B106)</f>
        <v/>
      </c>
      <c r="C106" s="12">
        <f>IF('Data Entry'!A106="","",'Data Entry'!C106)</f>
        <v/>
      </c>
      <c r="D106" s="12">
        <f>IF('Data Entry'!A106="","",'Data Entry'!D106)</f>
        <v/>
      </c>
      <c r="E106" s="12">
        <f>IF('Data Entry'!A106="","",'Data Entry'!E106)</f>
        <v/>
      </c>
      <c r="F106" s="12">
        <f>IF('Data Entry'!A106="","",'Data Entry'!F106)</f>
        <v/>
      </c>
      <c r="G106" s="13">
        <f>IF('Data Entry'!A106="","",'Data Entry'!G106)</f>
        <v/>
      </c>
      <c r="H106" s="10">
        <f>IF('Data Entry'!A106="","",'Data Entry'!H106)</f>
        <v/>
      </c>
      <c r="I106" s="10">
        <f>IF('Data Entry'!A106="","",'Data Entry'!I106)</f>
        <v/>
      </c>
      <c r="J106" s="12">
        <f>IF('Data Entry'!A106="","",IF('Data Entry'!D106&lt;&gt;"",'Data Entry'!D106,'Data Entry'!E106))</f>
        <v/>
      </c>
      <c r="K106" s="10">
        <f>IF('Data Entry'!A106="","",IFERROR(SUMIFS($H$5:$H$2001,$J$5:$J$2001,$J106,$B$5:$B$2001,$B106,$A$5:$A$2001,(MAXIFS($A$5:$A$2001,$J$5:$J$2001,$J106,$B$5:$B$2001,$B106,$A$5:$A$2001,"&lt;"&amp;$A106))),""))</f>
        <v/>
      </c>
      <c r="L106" s="14">
        <f>IF(OR('Data Entry'!A106="",$K106=""),"",$H106-$K106)</f>
        <v/>
      </c>
      <c r="M106" s="15">
        <f>IF(OR('Data Entry'!A106="",$K106="",$K106=0),"",$L106/$K106)</f>
        <v/>
      </c>
      <c r="N106" s="12">
        <f>IF('Data Entry'!A106="","",IF($L106="","New item",IF($L106&gt;0,"UP",IF($L106&lt;0,"down","same"))))</f>
        <v/>
      </c>
    </row>
    <row r="107">
      <c r="A107" s="11">
        <f>IF('Data Entry'!A107="","",'Data Entry'!A107)</f>
        <v/>
      </c>
      <c r="B107" s="12">
        <f>IF('Data Entry'!A107="","",'Data Entry'!B107)</f>
        <v/>
      </c>
      <c r="C107" s="12">
        <f>IF('Data Entry'!A107="","",'Data Entry'!C107)</f>
        <v/>
      </c>
      <c r="D107" s="12">
        <f>IF('Data Entry'!A107="","",'Data Entry'!D107)</f>
        <v/>
      </c>
      <c r="E107" s="12">
        <f>IF('Data Entry'!A107="","",'Data Entry'!E107)</f>
        <v/>
      </c>
      <c r="F107" s="12">
        <f>IF('Data Entry'!A107="","",'Data Entry'!F107)</f>
        <v/>
      </c>
      <c r="G107" s="13">
        <f>IF('Data Entry'!A107="","",'Data Entry'!G107)</f>
        <v/>
      </c>
      <c r="H107" s="10">
        <f>IF('Data Entry'!A107="","",'Data Entry'!H107)</f>
        <v/>
      </c>
      <c r="I107" s="10">
        <f>IF('Data Entry'!A107="","",'Data Entry'!I107)</f>
        <v/>
      </c>
      <c r="J107" s="12">
        <f>IF('Data Entry'!A107="","",IF('Data Entry'!D107&lt;&gt;"",'Data Entry'!D107,'Data Entry'!E107))</f>
        <v/>
      </c>
      <c r="K107" s="10">
        <f>IF('Data Entry'!A107="","",IFERROR(SUMIFS($H$5:$H$2001,$J$5:$J$2001,$J107,$B$5:$B$2001,$B107,$A$5:$A$2001,(MAXIFS($A$5:$A$2001,$J$5:$J$2001,$J107,$B$5:$B$2001,$B107,$A$5:$A$2001,"&lt;"&amp;$A107))),""))</f>
        <v/>
      </c>
      <c r="L107" s="14">
        <f>IF(OR('Data Entry'!A107="",$K107=""),"",$H107-$K107)</f>
        <v/>
      </c>
      <c r="M107" s="15">
        <f>IF(OR('Data Entry'!A107="",$K107="",$K107=0),"",$L107/$K107)</f>
        <v/>
      </c>
      <c r="N107" s="12">
        <f>IF('Data Entry'!A107="","",IF($L107="","New item",IF($L107&gt;0,"UP",IF($L107&lt;0,"down","same"))))</f>
        <v/>
      </c>
    </row>
    <row r="108">
      <c r="A108" s="11">
        <f>IF('Data Entry'!A108="","",'Data Entry'!A108)</f>
        <v/>
      </c>
      <c r="B108" s="12">
        <f>IF('Data Entry'!A108="","",'Data Entry'!B108)</f>
        <v/>
      </c>
      <c r="C108" s="12">
        <f>IF('Data Entry'!A108="","",'Data Entry'!C108)</f>
        <v/>
      </c>
      <c r="D108" s="12">
        <f>IF('Data Entry'!A108="","",'Data Entry'!D108)</f>
        <v/>
      </c>
      <c r="E108" s="12">
        <f>IF('Data Entry'!A108="","",'Data Entry'!E108)</f>
        <v/>
      </c>
      <c r="F108" s="12">
        <f>IF('Data Entry'!A108="","",'Data Entry'!F108)</f>
        <v/>
      </c>
      <c r="G108" s="13">
        <f>IF('Data Entry'!A108="","",'Data Entry'!G108)</f>
        <v/>
      </c>
      <c r="H108" s="10">
        <f>IF('Data Entry'!A108="","",'Data Entry'!H108)</f>
        <v/>
      </c>
      <c r="I108" s="10">
        <f>IF('Data Entry'!A108="","",'Data Entry'!I108)</f>
        <v/>
      </c>
      <c r="J108" s="12">
        <f>IF('Data Entry'!A108="","",IF('Data Entry'!D108&lt;&gt;"",'Data Entry'!D108,'Data Entry'!E108))</f>
        <v/>
      </c>
      <c r="K108" s="10">
        <f>IF('Data Entry'!A108="","",IFERROR(SUMIFS($H$5:$H$2001,$J$5:$J$2001,$J108,$B$5:$B$2001,$B108,$A$5:$A$2001,(MAXIFS($A$5:$A$2001,$J$5:$J$2001,$J108,$B$5:$B$2001,$B108,$A$5:$A$2001,"&lt;"&amp;$A108))),""))</f>
        <v/>
      </c>
      <c r="L108" s="14">
        <f>IF(OR('Data Entry'!A108="",$K108=""),"",$H108-$K108)</f>
        <v/>
      </c>
      <c r="M108" s="15">
        <f>IF(OR('Data Entry'!A108="",$K108="",$K108=0),"",$L108/$K108)</f>
        <v/>
      </c>
      <c r="N108" s="12">
        <f>IF('Data Entry'!A108="","",IF($L108="","New item",IF($L108&gt;0,"UP",IF($L108&lt;0,"down","same"))))</f>
        <v/>
      </c>
    </row>
    <row r="109">
      <c r="A109" s="11">
        <f>IF('Data Entry'!A109="","",'Data Entry'!A109)</f>
        <v/>
      </c>
      <c r="B109" s="12">
        <f>IF('Data Entry'!A109="","",'Data Entry'!B109)</f>
        <v/>
      </c>
      <c r="C109" s="12">
        <f>IF('Data Entry'!A109="","",'Data Entry'!C109)</f>
        <v/>
      </c>
      <c r="D109" s="12">
        <f>IF('Data Entry'!A109="","",'Data Entry'!D109)</f>
        <v/>
      </c>
      <c r="E109" s="12">
        <f>IF('Data Entry'!A109="","",'Data Entry'!E109)</f>
        <v/>
      </c>
      <c r="F109" s="12">
        <f>IF('Data Entry'!A109="","",'Data Entry'!F109)</f>
        <v/>
      </c>
      <c r="G109" s="13">
        <f>IF('Data Entry'!A109="","",'Data Entry'!G109)</f>
        <v/>
      </c>
      <c r="H109" s="10">
        <f>IF('Data Entry'!A109="","",'Data Entry'!H109)</f>
        <v/>
      </c>
      <c r="I109" s="10">
        <f>IF('Data Entry'!A109="","",'Data Entry'!I109)</f>
        <v/>
      </c>
      <c r="J109" s="12">
        <f>IF('Data Entry'!A109="","",IF('Data Entry'!D109&lt;&gt;"",'Data Entry'!D109,'Data Entry'!E109))</f>
        <v/>
      </c>
      <c r="K109" s="10">
        <f>IF('Data Entry'!A109="","",IFERROR(SUMIFS($H$5:$H$2001,$J$5:$J$2001,$J109,$B$5:$B$2001,$B109,$A$5:$A$2001,(MAXIFS($A$5:$A$2001,$J$5:$J$2001,$J109,$B$5:$B$2001,$B109,$A$5:$A$2001,"&lt;"&amp;$A109))),""))</f>
        <v/>
      </c>
      <c r="L109" s="14">
        <f>IF(OR('Data Entry'!A109="",$K109=""),"",$H109-$K109)</f>
        <v/>
      </c>
      <c r="M109" s="15">
        <f>IF(OR('Data Entry'!A109="",$K109="",$K109=0),"",$L109/$K109)</f>
        <v/>
      </c>
      <c r="N109" s="12">
        <f>IF('Data Entry'!A109="","",IF($L109="","New item",IF($L109&gt;0,"UP",IF($L109&lt;0,"down","same"))))</f>
        <v/>
      </c>
    </row>
    <row r="110">
      <c r="A110" s="11">
        <f>IF('Data Entry'!A110="","",'Data Entry'!A110)</f>
        <v/>
      </c>
      <c r="B110" s="12">
        <f>IF('Data Entry'!A110="","",'Data Entry'!B110)</f>
        <v/>
      </c>
      <c r="C110" s="12">
        <f>IF('Data Entry'!A110="","",'Data Entry'!C110)</f>
        <v/>
      </c>
      <c r="D110" s="12">
        <f>IF('Data Entry'!A110="","",'Data Entry'!D110)</f>
        <v/>
      </c>
      <c r="E110" s="12">
        <f>IF('Data Entry'!A110="","",'Data Entry'!E110)</f>
        <v/>
      </c>
      <c r="F110" s="12">
        <f>IF('Data Entry'!A110="","",'Data Entry'!F110)</f>
        <v/>
      </c>
      <c r="G110" s="13">
        <f>IF('Data Entry'!A110="","",'Data Entry'!G110)</f>
        <v/>
      </c>
      <c r="H110" s="10">
        <f>IF('Data Entry'!A110="","",'Data Entry'!H110)</f>
        <v/>
      </c>
      <c r="I110" s="10">
        <f>IF('Data Entry'!A110="","",'Data Entry'!I110)</f>
        <v/>
      </c>
      <c r="J110" s="12">
        <f>IF('Data Entry'!A110="","",IF('Data Entry'!D110&lt;&gt;"",'Data Entry'!D110,'Data Entry'!E110))</f>
        <v/>
      </c>
      <c r="K110" s="10">
        <f>IF('Data Entry'!A110="","",IFERROR(SUMIFS($H$5:$H$2001,$J$5:$J$2001,$J110,$B$5:$B$2001,$B110,$A$5:$A$2001,(MAXIFS($A$5:$A$2001,$J$5:$J$2001,$J110,$B$5:$B$2001,$B110,$A$5:$A$2001,"&lt;"&amp;$A110))),""))</f>
        <v/>
      </c>
      <c r="L110" s="14">
        <f>IF(OR('Data Entry'!A110="",$K110=""),"",$H110-$K110)</f>
        <v/>
      </c>
      <c r="M110" s="15">
        <f>IF(OR('Data Entry'!A110="",$K110="",$K110=0),"",$L110/$K110)</f>
        <v/>
      </c>
      <c r="N110" s="12">
        <f>IF('Data Entry'!A110="","",IF($L110="","New item",IF($L110&gt;0,"UP",IF($L110&lt;0,"down","same"))))</f>
        <v/>
      </c>
    </row>
    <row r="111">
      <c r="A111" s="11">
        <f>IF('Data Entry'!A111="","",'Data Entry'!A111)</f>
        <v/>
      </c>
      <c r="B111" s="12">
        <f>IF('Data Entry'!A111="","",'Data Entry'!B111)</f>
        <v/>
      </c>
      <c r="C111" s="12">
        <f>IF('Data Entry'!A111="","",'Data Entry'!C111)</f>
        <v/>
      </c>
      <c r="D111" s="12">
        <f>IF('Data Entry'!A111="","",'Data Entry'!D111)</f>
        <v/>
      </c>
      <c r="E111" s="12">
        <f>IF('Data Entry'!A111="","",'Data Entry'!E111)</f>
        <v/>
      </c>
      <c r="F111" s="12">
        <f>IF('Data Entry'!A111="","",'Data Entry'!F111)</f>
        <v/>
      </c>
      <c r="G111" s="13">
        <f>IF('Data Entry'!A111="","",'Data Entry'!G111)</f>
        <v/>
      </c>
      <c r="H111" s="10">
        <f>IF('Data Entry'!A111="","",'Data Entry'!H111)</f>
        <v/>
      </c>
      <c r="I111" s="10">
        <f>IF('Data Entry'!A111="","",'Data Entry'!I111)</f>
        <v/>
      </c>
      <c r="J111" s="12">
        <f>IF('Data Entry'!A111="","",IF('Data Entry'!D111&lt;&gt;"",'Data Entry'!D111,'Data Entry'!E111))</f>
        <v/>
      </c>
      <c r="K111" s="10">
        <f>IF('Data Entry'!A111="","",IFERROR(SUMIFS($H$5:$H$2001,$J$5:$J$2001,$J111,$B$5:$B$2001,$B111,$A$5:$A$2001,(MAXIFS($A$5:$A$2001,$J$5:$J$2001,$J111,$B$5:$B$2001,$B111,$A$5:$A$2001,"&lt;"&amp;$A111))),""))</f>
        <v/>
      </c>
      <c r="L111" s="14">
        <f>IF(OR('Data Entry'!A111="",$K111=""),"",$H111-$K111)</f>
        <v/>
      </c>
      <c r="M111" s="15">
        <f>IF(OR('Data Entry'!A111="",$K111="",$K111=0),"",$L111/$K111)</f>
        <v/>
      </c>
      <c r="N111" s="12">
        <f>IF('Data Entry'!A111="","",IF($L111="","New item",IF($L111&gt;0,"UP",IF($L111&lt;0,"down","same"))))</f>
        <v/>
      </c>
    </row>
    <row r="112">
      <c r="A112" s="11">
        <f>IF('Data Entry'!A112="","",'Data Entry'!A112)</f>
        <v/>
      </c>
      <c r="B112" s="12">
        <f>IF('Data Entry'!A112="","",'Data Entry'!B112)</f>
        <v/>
      </c>
      <c r="C112" s="12">
        <f>IF('Data Entry'!A112="","",'Data Entry'!C112)</f>
        <v/>
      </c>
      <c r="D112" s="12">
        <f>IF('Data Entry'!A112="","",'Data Entry'!D112)</f>
        <v/>
      </c>
      <c r="E112" s="12">
        <f>IF('Data Entry'!A112="","",'Data Entry'!E112)</f>
        <v/>
      </c>
      <c r="F112" s="12">
        <f>IF('Data Entry'!A112="","",'Data Entry'!F112)</f>
        <v/>
      </c>
      <c r="G112" s="13">
        <f>IF('Data Entry'!A112="","",'Data Entry'!G112)</f>
        <v/>
      </c>
      <c r="H112" s="10">
        <f>IF('Data Entry'!A112="","",'Data Entry'!H112)</f>
        <v/>
      </c>
      <c r="I112" s="10">
        <f>IF('Data Entry'!A112="","",'Data Entry'!I112)</f>
        <v/>
      </c>
      <c r="J112" s="12">
        <f>IF('Data Entry'!A112="","",IF('Data Entry'!D112&lt;&gt;"",'Data Entry'!D112,'Data Entry'!E112))</f>
        <v/>
      </c>
      <c r="K112" s="10">
        <f>IF('Data Entry'!A112="","",IFERROR(SUMIFS($H$5:$H$2001,$J$5:$J$2001,$J112,$B$5:$B$2001,$B112,$A$5:$A$2001,(MAXIFS($A$5:$A$2001,$J$5:$J$2001,$J112,$B$5:$B$2001,$B112,$A$5:$A$2001,"&lt;"&amp;$A112))),""))</f>
        <v/>
      </c>
      <c r="L112" s="14">
        <f>IF(OR('Data Entry'!A112="",$K112=""),"",$H112-$K112)</f>
        <v/>
      </c>
      <c r="M112" s="15">
        <f>IF(OR('Data Entry'!A112="",$K112="",$K112=0),"",$L112/$K112)</f>
        <v/>
      </c>
      <c r="N112" s="12">
        <f>IF('Data Entry'!A112="","",IF($L112="","New item",IF($L112&gt;0,"UP",IF($L112&lt;0,"down","same"))))</f>
        <v/>
      </c>
    </row>
    <row r="113">
      <c r="A113" s="11">
        <f>IF('Data Entry'!A113="","",'Data Entry'!A113)</f>
        <v/>
      </c>
      <c r="B113" s="12">
        <f>IF('Data Entry'!A113="","",'Data Entry'!B113)</f>
        <v/>
      </c>
      <c r="C113" s="12">
        <f>IF('Data Entry'!A113="","",'Data Entry'!C113)</f>
        <v/>
      </c>
      <c r="D113" s="12">
        <f>IF('Data Entry'!A113="","",'Data Entry'!D113)</f>
        <v/>
      </c>
      <c r="E113" s="12">
        <f>IF('Data Entry'!A113="","",'Data Entry'!E113)</f>
        <v/>
      </c>
      <c r="F113" s="12">
        <f>IF('Data Entry'!A113="","",'Data Entry'!F113)</f>
        <v/>
      </c>
      <c r="G113" s="13">
        <f>IF('Data Entry'!A113="","",'Data Entry'!G113)</f>
        <v/>
      </c>
      <c r="H113" s="10">
        <f>IF('Data Entry'!A113="","",'Data Entry'!H113)</f>
        <v/>
      </c>
      <c r="I113" s="10">
        <f>IF('Data Entry'!A113="","",'Data Entry'!I113)</f>
        <v/>
      </c>
      <c r="J113" s="12">
        <f>IF('Data Entry'!A113="","",IF('Data Entry'!D113&lt;&gt;"",'Data Entry'!D113,'Data Entry'!E113))</f>
        <v/>
      </c>
      <c r="K113" s="10">
        <f>IF('Data Entry'!A113="","",IFERROR(SUMIFS($H$5:$H$2001,$J$5:$J$2001,$J113,$B$5:$B$2001,$B113,$A$5:$A$2001,(MAXIFS($A$5:$A$2001,$J$5:$J$2001,$J113,$B$5:$B$2001,$B113,$A$5:$A$2001,"&lt;"&amp;$A113))),""))</f>
        <v/>
      </c>
      <c r="L113" s="14">
        <f>IF(OR('Data Entry'!A113="",$K113=""),"",$H113-$K113)</f>
        <v/>
      </c>
      <c r="M113" s="15">
        <f>IF(OR('Data Entry'!A113="",$K113="",$K113=0),"",$L113/$K113)</f>
        <v/>
      </c>
      <c r="N113" s="12">
        <f>IF('Data Entry'!A113="","",IF($L113="","New item",IF($L113&gt;0,"UP",IF($L113&lt;0,"down","same"))))</f>
        <v/>
      </c>
    </row>
    <row r="114">
      <c r="A114" s="11">
        <f>IF('Data Entry'!A114="","",'Data Entry'!A114)</f>
        <v/>
      </c>
      <c r="B114" s="12">
        <f>IF('Data Entry'!A114="","",'Data Entry'!B114)</f>
        <v/>
      </c>
      <c r="C114" s="12">
        <f>IF('Data Entry'!A114="","",'Data Entry'!C114)</f>
        <v/>
      </c>
      <c r="D114" s="12">
        <f>IF('Data Entry'!A114="","",'Data Entry'!D114)</f>
        <v/>
      </c>
      <c r="E114" s="12">
        <f>IF('Data Entry'!A114="","",'Data Entry'!E114)</f>
        <v/>
      </c>
      <c r="F114" s="12">
        <f>IF('Data Entry'!A114="","",'Data Entry'!F114)</f>
        <v/>
      </c>
      <c r="G114" s="13">
        <f>IF('Data Entry'!A114="","",'Data Entry'!G114)</f>
        <v/>
      </c>
      <c r="H114" s="10">
        <f>IF('Data Entry'!A114="","",'Data Entry'!H114)</f>
        <v/>
      </c>
      <c r="I114" s="10">
        <f>IF('Data Entry'!A114="","",'Data Entry'!I114)</f>
        <v/>
      </c>
      <c r="J114" s="12">
        <f>IF('Data Entry'!A114="","",IF('Data Entry'!D114&lt;&gt;"",'Data Entry'!D114,'Data Entry'!E114))</f>
        <v/>
      </c>
      <c r="K114" s="10">
        <f>IF('Data Entry'!A114="","",IFERROR(SUMIFS($H$5:$H$2001,$J$5:$J$2001,$J114,$B$5:$B$2001,$B114,$A$5:$A$2001,(MAXIFS($A$5:$A$2001,$J$5:$J$2001,$J114,$B$5:$B$2001,$B114,$A$5:$A$2001,"&lt;"&amp;$A114))),""))</f>
        <v/>
      </c>
      <c r="L114" s="14">
        <f>IF(OR('Data Entry'!A114="",$K114=""),"",$H114-$K114)</f>
        <v/>
      </c>
      <c r="M114" s="15">
        <f>IF(OR('Data Entry'!A114="",$K114="",$K114=0),"",$L114/$K114)</f>
        <v/>
      </c>
      <c r="N114" s="12">
        <f>IF('Data Entry'!A114="","",IF($L114="","New item",IF($L114&gt;0,"UP",IF($L114&lt;0,"down","same"))))</f>
        <v/>
      </c>
    </row>
    <row r="115">
      <c r="A115" s="11">
        <f>IF('Data Entry'!A115="","",'Data Entry'!A115)</f>
        <v/>
      </c>
      <c r="B115" s="12">
        <f>IF('Data Entry'!A115="","",'Data Entry'!B115)</f>
        <v/>
      </c>
      <c r="C115" s="12">
        <f>IF('Data Entry'!A115="","",'Data Entry'!C115)</f>
        <v/>
      </c>
      <c r="D115" s="12">
        <f>IF('Data Entry'!A115="","",'Data Entry'!D115)</f>
        <v/>
      </c>
      <c r="E115" s="12">
        <f>IF('Data Entry'!A115="","",'Data Entry'!E115)</f>
        <v/>
      </c>
      <c r="F115" s="12">
        <f>IF('Data Entry'!A115="","",'Data Entry'!F115)</f>
        <v/>
      </c>
      <c r="G115" s="13">
        <f>IF('Data Entry'!A115="","",'Data Entry'!G115)</f>
        <v/>
      </c>
      <c r="H115" s="10">
        <f>IF('Data Entry'!A115="","",'Data Entry'!H115)</f>
        <v/>
      </c>
      <c r="I115" s="10">
        <f>IF('Data Entry'!A115="","",'Data Entry'!I115)</f>
        <v/>
      </c>
      <c r="J115" s="12">
        <f>IF('Data Entry'!A115="","",IF('Data Entry'!D115&lt;&gt;"",'Data Entry'!D115,'Data Entry'!E115))</f>
        <v/>
      </c>
      <c r="K115" s="10">
        <f>IF('Data Entry'!A115="","",IFERROR(SUMIFS($H$5:$H$2001,$J$5:$J$2001,$J115,$B$5:$B$2001,$B115,$A$5:$A$2001,(MAXIFS($A$5:$A$2001,$J$5:$J$2001,$J115,$B$5:$B$2001,$B115,$A$5:$A$2001,"&lt;"&amp;$A115))),""))</f>
        <v/>
      </c>
      <c r="L115" s="14">
        <f>IF(OR('Data Entry'!A115="",$K115=""),"",$H115-$K115)</f>
        <v/>
      </c>
      <c r="M115" s="15">
        <f>IF(OR('Data Entry'!A115="",$K115="",$K115=0),"",$L115/$K115)</f>
        <v/>
      </c>
      <c r="N115" s="12">
        <f>IF('Data Entry'!A115="","",IF($L115="","New item",IF($L115&gt;0,"UP",IF($L115&lt;0,"down","same"))))</f>
        <v/>
      </c>
    </row>
    <row r="116">
      <c r="A116" s="11">
        <f>IF('Data Entry'!A116="","",'Data Entry'!A116)</f>
        <v/>
      </c>
      <c r="B116" s="12">
        <f>IF('Data Entry'!A116="","",'Data Entry'!B116)</f>
        <v/>
      </c>
      <c r="C116" s="12">
        <f>IF('Data Entry'!A116="","",'Data Entry'!C116)</f>
        <v/>
      </c>
      <c r="D116" s="12">
        <f>IF('Data Entry'!A116="","",'Data Entry'!D116)</f>
        <v/>
      </c>
      <c r="E116" s="12">
        <f>IF('Data Entry'!A116="","",'Data Entry'!E116)</f>
        <v/>
      </c>
      <c r="F116" s="12">
        <f>IF('Data Entry'!A116="","",'Data Entry'!F116)</f>
        <v/>
      </c>
      <c r="G116" s="13">
        <f>IF('Data Entry'!A116="","",'Data Entry'!G116)</f>
        <v/>
      </c>
      <c r="H116" s="10">
        <f>IF('Data Entry'!A116="","",'Data Entry'!H116)</f>
        <v/>
      </c>
      <c r="I116" s="10">
        <f>IF('Data Entry'!A116="","",'Data Entry'!I116)</f>
        <v/>
      </c>
      <c r="J116" s="12">
        <f>IF('Data Entry'!A116="","",IF('Data Entry'!D116&lt;&gt;"",'Data Entry'!D116,'Data Entry'!E116))</f>
        <v/>
      </c>
      <c r="K116" s="10">
        <f>IF('Data Entry'!A116="","",IFERROR(SUMIFS($H$5:$H$2001,$J$5:$J$2001,$J116,$B$5:$B$2001,$B116,$A$5:$A$2001,(MAXIFS($A$5:$A$2001,$J$5:$J$2001,$J116,$B$5:$B$2001,$B116,$A$5:$A$2001,"&lt;"&amp;$A116))),""))</f>
        <v/>
      </c>
      <c r="L116" s="14">
        <f>IF(OR('Data Entry'!A116="",$K116=""),"",$H116-$K116)</f>
        <v/>
      </c>
      <c r="M116" s="15">
        <f>IF(OR('Data Entry'!A116="",$K116="",$K116=0),"",$L116/$K116)</f>
        <v/>
      </c>
      <c r="N116" s="12">
        <f>IF('Data Entry'!A116="","",IF($L116="","New item",IF($L116&gt;0,"UP",IF($L116&lt;0,"down","same"))))</f>
        <v/>
      </c>
    </row>
    <row r="117">
      <c r="A117" s="11">
        <f>IF('Data Entry'!A117="","",'Data Entry'!A117)</f>
        <v/>
      </c>
      <c r="B117" s="12">
        <f>IF('Data Entry'!A117="","",'Data Entry'!B117)</f>
        <v/>
      </c>
      <c r="C117" s="12">
        <f>IF('Data Entry'!A117="","",'Data Entry'!C117)</f>
        <v/>
      </c>
      <c r="D117" s="12">
        <f>IF('Data Entry'!A117="","",'Data Entry'!D117)</f>
        <v/>
      </c>
      <c r="E117" s="12">
        <f>IF('Data Entry'!A117="","",'Data Entry'!E117)</f>
        <v/>
      </c>
      <c r="F117" s="12">
        <f>IF('Data Entry'!A117="","",'Data Entry'!F117)</f>
        <v/>
      </c>
      <c r="G117" s="13">
        <f>IF('Data Entry'!A117="","",'Data Entry'!G117)</f>
        <v/>
      </c>
      <c r="H117" s="10">
        <f>IF('Data Entry'!A117="","",'Data Entry'!H117)</f>
        <v/>
      </c>
      <c r="I117" s="10">
        <f>IF('Data Entry'!A117="","",'Data Entry'!I117)</f>
        <v/>
      </c>
      <c r="J117" s="12">
        <f>IF('Data Entry'!A117="","",IF('Data Entry'!D117&lt;&gt;"",'Data Entry'!D117,'Data Entry'!E117))</f>
        <v/>
      </c>
      <c r="K117" s="10">
        <f>IF('Data Entry'!A117="","",IFERROR(SUMIFS($H$5:$H$2001,$J$5:$J$2001,$J117,$B$5:$B$2001,$B117,$A$5:$A$2001,(MAXIFS($A$5:$A$2001,$J$5:$J$2001,$J117,$B$5:$B$2001,$B117,$A$5:$A$2001,"&lt;"&amp;$A117))),""))</f>
        <v/>
      </c>
      <c r="L117" s="14">
        <f>IF(OR('Data Entry'!A117="",$K117=""),"",$H117-$K117)</f>
        <v/>
      </c>
      <c r="M117" s="15">
        <f>IF(OR('Data Entry'!A117="",$K117="",$K117=0),"",$L117/$K117)</f>
        <v/>
      </c>
      <c r="N117" s="12">
        <f>IF('Data Entry'!A117="","",IF($L117="","New item",IF($L117&gt;0,"UP",IF($L117&lt;0,"down","same"))))</f>
        <v/>
      </c>
    </row>
    <row r="118">
      <c r="A118" s="11">
        <f>IF('Data Entry'!A118="","",'Data Entry'!A118)</f>
        <v/>
      </c>
      <c r="B118" s="12">
        <f>IF('Data Entry'!A118="","",'Data Entry'!B118)</f>
        <v/>
      </c>
      <c r="C118" s="12">
        <f>IF('Data Entry'!A118="","",'Data Entry'!C118)</f>
        <v/>
      </c>
      <c r="D118" s="12">
        <f>IF('Data Entry'!A118="","",'Data Entry'!D118)</f>
        <v/>
      </c>
      <c r="E118" s="12">
        <f>IF('Data Entry'!A118="","",'Data Entry'!E118)</f>
        <v/>
      </c>
      <c r="F118" s="12">
        <f>IF('Data Entry'!A118="","",'Data Entry'!F118)</f>
        <v/>
      </c>
      <c r="G118" s="13">
        <f>IF('Data Entry'!A118="","",'Data Entry'!G118)</f>
        <v/>
      </c>
      <c r="H118" s="10">
        <f>IF('Data Entry'!A118="","",'Data Entry'!H118)</f>
        <v/>
      </c>
      <c r="I118" s="10">
        <f>IF('Data Entry'!A118="","",'Data Entry'!I118)</f>
        <v/>
      </c>
      <c r="J118" s="12">
        <f>IF('Data Entry'!A118="","",IF('Data Entry'!D118&lt;&gt;"",'Data Entry'!D118,'Data Entry'!E118))</f>
        <v/>
      </c>
      <c r="K118" s="10">
        <f>IF('Data Entry'!A118="","",IFERROR(SUMIFS($H$5:$H$2001,$J$5:$J$2001,$J118,$B$5:$B$2001,$B118,$A$5:$A$2001,(MAXIFS($A$5:$A$2001,$J$5:$J$2001,$J118,$B$5:$B$2001,$B118,$A$5:$A$2001,"&lt;"&amp;$A118))),""))</f>
        <v/>
      </c>
      <c r="L118" s="14">
        <f>IF(OR('Data Entry'!A118="",$K118=""),"",$H118-$K118)</f>
        <v/>
      </c>
      <c r="M118" s="15">
        <f>IF(OR('Data Entry'!A118="",$K118="",$K118=0),"",$L118/$K118)</f>
        <v/>
      </c>
      <c r="N118" s="12">
        <f>IF('Data Entry'!A118="","",IF($L118="","New item",IF($L118&gt;0,"UP",IF($L118&lt;0,"down","same"))))</f>
        <v/>
      </c>
    </row>
    <row r="119">
      <c r="A119" s="11">
        <f>IF('Data Entry'!A119="","",'Data Entry'!A119)</f>
        <v/>
      </c>
      <c r="B119" s="12">
        <f>IF('Data Entry'!A119="","",'Data Entry'!B119)</f>
        <v/>
      </c>
      <c r="C119" s="12">
        <f>IF('Data Entry'!A119="","",'Data Entry'!C119)</f>
        <v/>
      </c>
      <c r="D119" s="12">
        <f>IF('Data Entry'!A119="","",'Data Entry'!D119)</f>
        <v/>
      </c>
      <c r="E119" s="12">
        <f>IF('Data Entry'!A119="","",'Data Entry'!E119)</f>
        <v/>
      </c>
      <c r="F119" s="12">
        <f>IF('Data Entry'!A119="","",'Data Entry'!F119)</f>
        <v/>
      </c>
      <c r="G119" s="13">
        <f>IF('Data Entry'!A119="","",'Data Entry'!G119)</f>
        <v/>
      </c>
      <c r="H119" s="10">
        <f>IF('Data Entry'!A119="","",'Data Entry'!H119)</f>
        <v/>
      </c>
      <c r="I119" s="10">
        <f>IF('Data Entry'!A119="","",'Data Entry'!I119)</f>
        <v/>
      </c>
      <c r="J119" s="12">
        <f>IF('Data Entry'!A119="","",IF('Data Entry'!D119&lt;&gt;"",'Data Entry'!D119,'Data Entry'!E119))</f>
        <v/>
      </c>
      <c r="K119" s="10">
        <f>IF('Data Entry'!A119="","",IFERROR(SUMIFS($H$5:$H$2001,$J$5:$J$2001,$J119,$B$5:$B$2001,$B119,$A$5:$A$2001,(MAXIFS($A$5:$A$2001,$J$5:$J$2001,$J119,$B$5:$B$2001,$B119,$A$5:$A$2001,"&lt;"&amp;$A119))),""))</f>
        <v/>
      </c>
      <c r="L119" s="14">
        <f>IF(OR('Data Entry'!A119="",$K119=""),"",$H119-$K119)</f>
        <v/>
      </c>
      <c r="M119" s="15">
        <f>IF(OR('Data Entry'!A119="",$K119="",$K119=0),"",$L119/$K119)</f>
        <v/>
      </c>
      <c r="N119" s="12">
        <f>IF('Data Entry'!A119="","",IF($L119="","New item",IF($L119&gt;0,"UP",IF($L119&lt;0,"down","same"))))</f>
        <v/>
      </c>
    </row>
    <row r="120">
      <c r="A120" s="11">
        <f>IF('Data Entry'!A120="","",'Data Entry'!A120)</f>
        <v/>
      </c>
      <c r="B120" s="12">
        <f>IF('Data Entry'!A120="","",'Data Entry'!B120)</f>
        <v/>
      </c>
      <c r="C120" s="12">
        <f>IF('Data Entry'!A120="","",'Data Entry'!C120)</f>
        <v/>
      </c>
      <c r="D120" s="12">
        <f>IF('Data Entry'!A120="","",'Data Entry'!D120)</f>
        <v/>
      </c>
      <c r="E120" s="12">
        <f>IF('Data Entry'!A120="","",'Data Entry'!E120)</f>
        <v/>
      </c>
      <c r="F120" s="12">
        <f>IF('Data Entry'!A120="","",'Data Entry'!F120)</f>
        <v/>
      </c>
      <c r="G120" s="13">
        <f>IF('Data Entry'!A120="","",'Data Entry'!G120)</f>
        <v/>
      </c>
      <c r="H120" s="10">
        <f>IF('Data Entry'!A120="","",'Data Entry'!H120)</f>
        <v/>
      </c>
      <c r="I120" s="10">
        <f>IF('Data Entry'!A120="","",'Data Entry'!I120)</f>
        <v/>
      </c>
      <c r="J120" s="12">
        <f>IF('Data Entry'!A120="","",IF('Data Entry'!D120&lt;&gt;"",'Data Entry'!D120,'Data Entry'!E120))</f>
        <v/>
      </c>
      <c r="K120" s="10">
        <f>IF('Data Entry'!A120="","",IFERROR(SUMIFS($H$5:$H$2001,$J$5:$J$2001,$J120,$B$5:$B$2001,$B120,$A$5:$A$2001,(MAXIFS($A$5:$A$2001,$J$5:$J$2001,$J120,$B$5:$B$2001,$B120,$A$5:$A$2001,"&lt;"&amp;$A120))),""))</f>
        <v/>
      </c>
      <c r="L120" s="14">
        <f>IF(OR('Data Entry'!A120="",$K120=""),"",$H120-$K120)</f>
        <v/>
      </c>
      <c r="M120" s="15">
        <f>IF(OR('Data Entry'!A120="",$K120="",$K120=0),"",$L120/$K120)</f>
        <v/>
      </c>
      <c r="N120" s="12">
        <f>IF('Data Entry'!A120="","",IF($L120="","New item",IF($L120&gt;0,"UP",IF($L120&lt;0,"down","same"))))</f>
        <v/>
      </c>
    </row>
    <row r="121">
      <c r="A121" s="11">
        <f>IF('Data Entry'!A121="","",'Data Entry'!A121)</f>
        <v/>
      </c>
      <c r="B121" s="12">
        <f>IF('Data Entry'!A121="","",'Data Entry'!B121)</f>
        <v/>
      </c>
      <c r="C121" s="12">
        <f>IF('Data Entry'!A121="","",'Data Entry'!C121)</f>
        <v/>
      </c>
      <c r="D121" s="12">
        <f>IF('Data Entry'!A121="","",'Data Entry'!D121)</f>
        <v/>
      </c>
      <c r="E121" s="12">
        <f>IF('Data Entry'!A121="","",'Data Entry'!E121)</f>
        <v/>
      </c>
      <c r="F121" s="12">
        <f>IF('Data Entry'!A121="","",'Data Entry'!F121)</f>
        <v/>
      </c>
      <c r="G121" s="13">
        <f>IF('Data Entry'!A121="","",'Data Entry'!G121)</f>
        <v/>
      </c>
      <c r="H121" s="10">
        <f>IF('Data Entry'!A121="","",'Data Entry'!H121)</f>
        <v/>
      </c>
      <c r="I121" s="10">
        <f>IF('Data Entry'!A121="","",'Data Entry'!I121)</f>
        <v/>
      </c>
      <c r="J121" s="12">
        <f>IF('Data Entry'!A121="","",IF('Data Entry'!D121&lt;&gt;"",'Data Entry'!D121,'Data Entry'!E121))</f>
        <v/>
      </c>
      <c r="K121" s="10">
        <f>IF('Data Entry'!A121="","",IFERROR(SUMIFS($H$5:$H$2001,$J$5:$J$2001,$J121,$B$5:$B$2001,$B121,$A$5:$A$2001,(MAXIFS($A$5:$A$2001,$J$5:$J$2001,$J121,$B$5:$B$2001,$B121,$A$5:$A$2001,"&lt;"&amp;$A121))),""))</f>
        <v/>
      </c>
      <c r="L121" s="14">
        <f>IF(OR('Data Entry'!A121="",$K121=""),"",$H121-$K121)</f>
        <v/>
      </c>
      <c r="M121" s="15">
        <f>IF(OR('Data Entry'!A121="",$K121="",$K121=0),"",$L121/$K121)</f>
        <v/>
      </c>
      <c r="N121" s="12">
        <f>IF('Data Entry'!A121="","",IF($L121="","New item",IF($L121&gt;0,"UP",IF($L121&lt;0,"down","same"))))</f>
        <v/>
      </c>
    </row>
    <row r="122">
      <c r="A122" s="11">
        <f>IF('Data Entry'!A122="","",'Data Entry'!A122)</f>
        <v/>
      </c>
      <c r="B122" s="12">
        <f>IF('Data Entry'!A122="","",'Data Entry'!B122)</f>
        <v/>
      </c>
      <c r="C122" s="12">
        <f>IF('Data Entry'!A122="","",'Data Entry'!C122)</f>
        <v/>
      </c>
      <c r="D122" s="12">
        <f>IF('Data Entry'!A122="","",'Data Entry'!D122)</f>
        <v/>
      </c>
      <c r="E122" s="12">
        <f>IF('Data Entry'!A122="","",'Data Entry'!E122)</f>
        <v/>
      </c>
      <c r="F122" s="12">
        <f>IF('Data Entry'!A122="","",'Data Entry'!F122)</f>
        <v/>
      </c>
      <c r="G122" s="13">
        <f>IF('Data Entry'!A122="","",'Data Entry'!G122)</f>
        <v/>
      </c>
      <c r="H122" s="10">
        <f>IF('Data Entry'!A122="","",'Data Entry'!H122)</f>
        <v/>
      </c>
      <c r="I122" s="10">
        <f>IF('Data Entry'!A122="","",'Data Entry'!I122)</f>
        <v/>
      </c>
      <c r="J122" s="12">
        <f>IF('Data Entry'!A122="","",IF('Data Entry'!D122&lt;&gt;"",'Data Entry'!D122,'Data Entry'!E122))</f>
        <v/>
      </c>
      <c r="K122" s="10">
        <f>IF('Data Entry'!A122="","",IFERROR(SUMIFS($H$5:$H$2001,$J$5:$J$2001,$J122,$B$5:$B$2001,$B122,$A$5:$A$2001,(MAXIFS($A$5:$A$2001,$J$5:$J$2001,$J122,$B$5:$B$2001,$B122,$A$5:$A$2001,"&lt;"&amp;$A122))),""))</f>
        <v/>
      </c>
      <c r="L122" s="14">
        <f>IF(OR('Data Entry'!A122="",$K122=""),"",$H122-$K122)</f>
        <v/>
      </c>
      <c r="M122" s="15">
        <f>IF(OR('Data Entry'!A122="",$K122="",$K122=0),"",$L122/$K122)</f>
        <v/>
      </c>
      <c r="N122" s="12">
        <f>IF('Data Entry'!A122="","",IF($L122="","New item",IF($L122&gt;0,"UP",IF($L122&lt;0,"down","same"))))</f>
        <v/>
      </c>
    </row>
    <row r="123">
      <c r="A123" s="11">
        <f>IF('Data Entry'!A123="","",'Data Entry'!A123)</f>
        <v/>
      </c>
      <c r="B123" s="12">
        <f>IF('Data Entry'!A123="","",'Data Entry'!B123)</f>
        <v/>
      </c>
      <c r="C123" s="12">
        <f>IF('Data Entry'!A123="","",'Data Entry'!C123)</f>
        <v/>
      </c>
      <c r="D123" s="12">
        <f>IF('Data Entry'!A123="","",'Data Entry'!D123)</f>
        <v/>
      </c>
      <c r="E123" s="12">
        <f>IF('Data Entry'!A123="","",'Data Entry'!E123)</f>
        <v/>
      </c>
      <c r="F123" s="12">
        <f>IF('Data Entry'!A123="","",'Data Entry'!F123)</f>
        <v/>
      </c>
      <c r="G123" s="13">
        <f>IF('Data Entry'!A123="","",'Data Entry'!G123)</f>
        <v/>
      </c>
      <c r="H123" s="10">
        <f>IF('Data Entry'!A123="","",'Data Entry'!H123)</f>
        <v/>
      </c>
      <c r="I123" s="10">
        <f>IF('Data Entry'!A123="","",'Data Entry'!I123)</f>
        <v/>
      </c>
      <c r="J123" s="12">
        <f>IF('Data Entry'!A123="","",IF('Data Entry'!D123&lt;&gt;"",'Data Entry'!D123,'Data Entry'!E123))</f>
        <v/>
      </c>
      <c r="K123" s="10">
        <f>IF('Data Entry'!A123="","",IFERROR(SUMIFS($H$5:$H$2001,$J$5:$J$2001,$J123,$B$5:$B$2001,$B123,$A$5:$A$2001,(MAXIFS($A$5:$A$2001,$J$5:$J$2001,$J123,$B$5:$B$2001,$B123,$A$5:$A$2001,"&lt;"&amp;$A123))),""))</f>
        <v/>
      </c>
      <c r="L123" s="14">
        <f>IF(OR('Data Entry'!A123="",$K123=""),"",$H123-$K123)</f>
        <v/>
      </c>
      <c r="M123" s="15">
        <f>IF(OR('Data Entry'!A123="",$K123="",$K123=0),"",$L123/$K123)</f>
        <v/>
      </c>
      <c r="N123" s="12">
        <f>IF('Data Entry'!A123="","",IF($L123="","New item",IF($L123&gt;0,"UP",IF($L123&lt;0,"down","same"))))</f>
        <v/>
      </c>
    </row>
    <row r="124">
      <c r="A124" s="11">
        <f>IF('Data Entry'!A124="","",'Data Entry'!A124)</f>
        <v/>
      </c>
      <c r="B124" s="12">
        <f>IF('Data Entry'!A124="","",'Data Entry'!B124)</f>
        <v/>
      </c>
      <c r="C124" s="12">
        <f>IF('Data Entry'!A124="","",'Data Entry'!C124)</f>
        <v/>
      </c>
      <c r="D124" s="12">
        <f>IF('Data Entry'!A124="","",'Data Entry'!D124)</f>
        <v/>
      </c>
      <c r="E124" s="12">
        <f>IF('Data Entry'!A124="","",'Data Entry'!E124)</f>
        <v/>
      </c>
      <c r="F124" s="12">
        <f>IF('Data Entry'!A124="","",'Data Entry'!F124)</f>
        <v/>
      </c>
      <c r="G124" s="13">
        <f>IF('Data Entry'!A124="","",'Data Entry'!G124)</f>
        <v/>
      </c>
      <c r="H124" s="10">
        <f>IF('Data Entry'!A124="","",'Data Entry'!H124)</f>
        <v/>
      </c>
      <c r="I124" s="10">
        <f>IF('Data Entry'!A124="","",'Data Entry'!I124)</f>
        <v/>
      </c>
      <c r="J124" s="12">
        <f>IF('Data Entry'!A124="","",IF('Data Entry'!D124&lt;&gt;"",'Data Entry'!D124,'Data Entry'!E124))</f>
        <v/>
      </c>
      <c r="K124" s="10">
        <f>IF('Data Entry'!A124="","",IFERROR(SUMIFS($H$5:$H$2001,$J$5:$J$2001,$J124,$B$5:$B$2001,$B124,$A$5:$A$2001,(MAXIFS($A$5:$A$2001,$J$5:$J$2001,$J124,$B$5:$B$2001,$B124,$A$5:$A$2001,"&lt;"&amp;$A124))),""))</f>
        <v/>
      </c>
      <c r="L124" s="14">
        <f>IF(OR('Data Entry'!A124="",$K124=""),"",$H124-$K124)</f>
        <v/>
      </c>
      <c r="M124" s="15">
        <f>IF(OR('Data Entry'!A124="",$K124="",$K124=0),"",$L124/$K124)</f>
        <v/>
      </c>
      <c r="N124" s="12">
        <f>IF('Data Entry'!A124="","",IF($L124="","New item",IF($L124&gt;0,"UP",IF($L124&lt;0,"down","same"))))</f>
        <v/>
      </c>
    </row>
    <row r="125">
      <c r="A125" s="11">
        <f>IF('Data Entry'!A125="","",'Data Entry'!A125)</f>
        <v/>
      </c>
      <c r="B125" s="12">
        <f>IF('Data Entry'!A125="","",'Data Entry'!B125)</f>
        <v/>
      </c>
      <c r="C125" s="12">
        <f>IF('Data Entry'!A125="","",'Data Entry'!C125)</f>
        <v/>
      </c>
      <c r="D125" s="12">
        <f>IF('Data Entry'!A125="","",'Data Entry'!D125)</f>
        <v/>
      </c>
      <c r="E125" s="12">
        <f>IF('Data Entry'!A125="","",'Data Entry'!E125)</f>
        <v/>
      </c>
      <c r="F125" s="12">
        <f>IF('Data Entry'!A125="","",'Data Entry'!F125)</f>
        <v/>
      </c>
      <c r="G125" s="13">
        <f>IF('Data Entry'!A125="","",'Data Entry'!G125)</f>
        <v/>
      </c>
      <c r="H125" s="10">
        <f>IF('Data Entry'!A125="","",'Data Entry'!H125)</f>
        <v/>
      </c>
      <c r="I125" s="10">
        <f>IF('Data Entry'!A125="","",'Data Entry'!I125)</f>
        <v/>
      </c>
      <c r="J125" s="12">
        <f>IF('Data Entry'!A125="","",IF('Data Entry'!D125&lt;&gt;"",'Data Entry'!D125,'Data Entry'!E125))</f>
        <v/>
      </c>
      <c r="K125" s="10">
        <f>IF('Data Entry'!A125="","",IFERROR(SUMIFS($H$5:$H$2001,$J$5:$J$2001,$J125,$B$5:$B$2001,$B125,$A$5:$A$2001,(MAXIFS($A$5:$A$2001,$J$5:$J$2001,$J125,$B$5:$B$2001,$B125,$A$5:$A$2001,"&lt;"&amp;$A125))),""))</f>
        <v/>
      </c>
      <c r="L125" s="14">
        <f>IF(OR('Data Entry'!A125="",$K125=""),"",$H125-$K125)</f>
        <v/>
      </c>
      <c r="M125" s="15">
        <f>IF(OR('Data Entry'!A125="",$K125="",$K125=0),"",$L125/$K125)</f>
        <v/>
      </c>
      <c r="N125" s="12">
        <f>IF('Data Entry'!A125="","",IF($L125="","New item",IF($L125&gt;0,"UP",IF($L125&lt;0,"down","same"))))</f>
        <v/>
      </c>
    </row>
    <row r="126">
      <c r="A126" s="11">
        <f>IF('Data Entry'!A126="","",'Data Entry'!A126)</f>
        <v/>
      </c>
      <c r="B126" s="12">
        <f>IF('Data Entry'!A126="","",'Data Entry'!B126)</f>
        <v/>
      </c>
      <c r="C126" s="12">
        <f>IF('Data Entry'!A126="","",'Data Entry'!C126)</f>
        <v/>
      </c>
      <c r="D126" s="12">
        <f>IF('Data Entry'!A126="","",'Data Entry'!D126)</f>
        <v/>
      </c>
      <c r="E126" s="12">
        <f>IF('Data Entry'!A126="","",'Data Entry'!E126)</f>
        <v/>
      </c>
      <c r="F126" s="12">
        <f>IF('Data Entry'!A126="","",'Data Entry'!F126)</f>
        <v/>
      </c>
      <c r="G126" s="13">
        <f>IF('Data Entry'!A126="","",'Data Entry'!G126)</f>
        <v/>
      </c>
      <c r="H126" s="10">
        <f>IF('Data Entry'!A126="","",'Data Entry'!H126)</f>
        <v/>
      </c>
      <c r="I126" s="10">
        <f>IF('Data Entry'!A126="","",'Data Entry'!I126)</f>
        <v/>
      </c>
      <c r="J126" s="12">
        <f>IF('Data Entry'!A126="","",IF('Data Entry'!D126&lt;&gt;"",'Data Entry'!D126,'Data Entry'!E126))</f>
        <v/>
      </c>
      <c r="K126" s="10">
        <f>IF('Data Entry'!A126="","",IFERROR(SUMIFS($H$5:$H$2001,$J$5:$J$2001,$J126,$B$5:$B$2001,$B126,$A$5:$A$2001,(MAXIFS($A$5:$A$2001,$J$5:$J$2001,$J126,$B$5:$B$2001,$B126,$A$5:$A$2001,"&lt;"&amp;$A126))),""))</f>
        <v/>
      </c>
      <c r="L126" s="14">
        <f>IF(OR('Data Entry'!A126="",$K126=""),"",$H126-$K126)</f>
        <v/>
      </c>
      <c r="M126" s="15">
        <f>IF(OR('Data Entry'!A126="",$K126="",$K126=0),"",$L126/$K126)</f>
        <v/>
      </c>
      <c r="N126" s="12">
        <f>IF('Data Entry'!A126="","",IF($L126="","New item",IF($L126&gt;0,"UP",IF($L126&lt;0,"down","same"))))</f>
        <v/>
      </c>
    </row>
    <row r="127">
      <c r="A127" s="11">
        <f>IF('Data Entry'!A127="","",'Data Entry'!A127)</f>
        <v/>
      </c>
      <c r="B127" s="12">
        <f>IF('Data Entry'!A127="","",'Data Entry'!B127)</f>
        <v/>
      </c>
      <c r="C127" s="12">
        <f>IF('Data Entry'!A127="","",'Data Entry'!C127)</f>
        <v/>
      </c>
      <c r="D127" s="12">
        <f>IF('Data Entry'!A127="","",'Data Entry'!D127)</f>
        <v/>
      </c>
      <c r="E127" s="12">
        <f>IF('Data Entry'!A127="","",'Data Entry'!E127)</f>
        <v/>
      </c>
      <c r="F127" s="12">
        <f>IF('Data Entry'!A127="","",'Data Entry'!F127)</f>
        <v/>
      </c>
      <c r="G127" s="13">
        <f>IF('Data Entry'!A127="","",'Data Entry'!G127)</f>
        <v/>
      </c>
      <c r="H127" s="10">
        <f>IF('Data Entry'!A127="","",'Data Entry'!H127)</f>
        <v/>
      </c>
      <c r="I127" s="10">
        <f>IF('Data Entry'!A127="","",'Data Entry'!I127)</f>
        <v/>
      </c>
      <c r="J127" s="12">
        <f>IF('Data Entry'!A127="","",IF('Data Entry'!D127&lt;&gt;"",'Data Entry'!D127,'Data Entry'!E127))</f>
        <v/>
      </c>
      <c r="K127" s="10">
        <f>IF('Data Entry'!A127="","",IFERROR(SUMIFS($H$5:$H$2001,$J$5:$J$2001,$J127,$B$5:$B$2001,$B127,$A$5:$A$2001,(MAXIFS($A$5:$A$2001,$J$5:$J$2001,$J127,$B$5:$B$2001,$B127,$A$5:$A$2001,"&lt;"&amp;$A127))),""))</f>
        <v/>
      </c>
      <c r="L127" s="14">
        <f>IF(OR('Data Entry'!A127="",$K127=""),"",$H127-$K127)</f>
        <v/>
      </c>
      <c r="M127" s="15">
        <f>IF(OR('Data Entry'!A127="",$K127="",$K127=0),"",$L127/$K127)</f>
        <v/>
      </c>
      <c r="N127" s="12">
        <f>IF('Data Entry'!A127="","",IF($L127="","New item",IF($L127&gt;0,"UP",IF($L127&lt;0,"down","same"))))</f>
        <v/>
      </c>
    </row>
    <row r="128">
      <c r="A128" s="11">
        <f>IF('Data Entry'!A128="","",'Data Entry'!A128)</f>
        <v/>
      </c>
      <c r="B128" s="12">
        <f>IF('Data Entry'!A128="","",'Data Entry'!B128)</f>
        <v/>
      </c>
      <c r="C128" s="12">
        <f>IF('Data Entry'!A128="","",'Data Entry'!C128)</f>
        <v/>
      </c>
      <c r="D128" s="12">
        <f>IF('Data Entry'!A128="","",'Data Entry'!D128)</f>
        <v/>
      </c>
      <c r="E128" s="12">
        <f>IF('Data Entry'!A128="","",'Data Entry'!E128)</f>
        <v/>
      </c>
      <c r="F128" s="12">
        <f>IF('Data Entry'!A128="","",'Data Entry'!F128)</f>
        <v/>
      </c>
      <c r="G128" s="13">
        <f>IF('Data Entry'!A128="","",'Data Entry'!G128)</f>
        <v/>
      </c>
      <c r="H128" s="10">
        <f>IF('Data Entry'!A128="","",'Data Entry'!H128)</f>
        <v/>
      </c>
      <c r="I128" s="10">
        <f>IF('Data Entry'!A128="","",'Data Entry'!I128)</f>
        <v/>
      </c>
      <c r="J128" s="12">
        <f>IF('Data Entry'!A128="","",IF('Data Entry'!D128&lt;&gt;"",'Data Entry'!D128,'Data Entry'!E128))</f>
        <v/>
      </c>
      <c r="K128" s="10">
        <f>IF('Data Entry'!A128="","",IFERROR(SUMIFS($H$5:$H$2001,$J$5:$J$2001,$J128,$B$5:$B$2001,$B128,$A$5:$A$2001,(MAXIFS($A$5:$A$2001,$J$5:$J$2001,$J128,$B$5:$B$2001,$B128,$A$5:$A$2001,"&lt;"&amp;$A128))),""))</f>
        <v/>
      </c>
      <c r="L128" s="14">
        <f>IF(OR('Data Entry'!A128="",$K128=""),"",$H128-$K128)</f>
        <v/>
      </c>
      <c r="M128" s="15">
        <f>IF(OR('Data Entry'!A128="",$K128="",$K128=0),"",$L128/$K128)</f>
        <v/>
      </c>
      <c r="N128" s="12">
        <f>IF('Data Entry'!A128="","",IF($L128="","New item",IF($L128&gt;0,"UP",IF($L128&lt;0,"down","same"))))</f>
        <v/>
      </c>
    </row>
    <row r="129">
      <c r="A129" s="11">
        <f>IF('Data Entry'!A129="","",'Data Entry'!A129)</f>
        <v/>
      </c>
      <c r="B129" s="12">
        <f>IF('Data Entry'!A129="","",'Data Entry'!B129)</f>
        <v/>
      </c>
      <c r="C129" s="12">
        <f>IF('Data Entry'!A129="","",'Data Entry'!C129)</f>
        <v/>
      </c>
      <c r="D129" s="12">
        <f>IF('Data Entry'!A129="","",'Data Entry'!D129)</f>
        <v/>
      </c>
      <c r="E129" s="12">
        <f>IF('Data Entry'!A129="","",'Data Entry'!E129)</f>
        <v/>
      </c>
      <c r="F129" s="12">
        <f>IF('Data Entry'!A129="","",'Data Entry'!F129)</f>
        <v/>
      </c>
      <c r="G129" s="13">
        <f>IF('Data Entry'!A129="","",'Data Entry'!G129)</f>
        <v/>
      </c>
      <c r="H129" s="10">
        <f>IF('Data Entry'!A129="","",'Data Entry'!H129)</f>
        <v/>
      </c>
      <c r="I129" s="10">
        <f>IF('Data Entry'!A129="","",'Data Entry'!I129)</f>
        <v/>
      </c>
      <c r="J129" s="12">
        <f>IF('Data Entry'!A129="","",IF('Data Entry'!D129&lt;&gt;"",'Data Entry'!D129,'Data Entry'!E129))</f>
        <v/>
      </c>
      <c r="K129" s="10">
        <f>IF('Data Entry'!A129="","",IFERROR(SUMIFS($H$5:$H$2001,$J$5:$J$2001,$J129,$B$5:$B$2001,$B129,$A$5:$A$2001,(MAXIFS($A$5:$A$2001,$J$5:$J$2001,$J129,$B$5:$B$2001,$B129,$A$5:$A$2001,"&lt;"&amp;$A129))),""))</f>
        <v/>
      </c>
      <c r="L129" s="14">
        <f>IF(OR('Data Entry'!A129="",$K129=""),"",$H129-$K129)</f>
        <v/>
      </c>
      <c r="M129" s="15">
        <f>IF(OR('Data Entry'!A129="",$K129="",$K129=0),"",$L129/$K129)</f>
        <v/>
      </c>
      <c r="N129" s="12">
        <f>IF('Data Entry'!A129="","",IF($L129="","New item",IF($L129&gt;0,"UP",IF($L129&lt;0,"down","same"))))</f>
        <v/>
      </c>
    </row>
    <row r="130">
      <c r="A130" s="11">
        <f>IF('Data Entry'!A130="","",'Data Entry'!A130)</f>
        <v/>
      </c>
      <c r="B130" s="12">
        <f>IF('Data Entry'!A130="","",'Data Entry'!B130)</f>
        <v/>
      </c>
      <c r="C130" s="12">
        <f>IF('Data Entry'!A130="","",'Data Entry'!C130)</f>
        <v/>
      </c>
      <c r="D130" s="12">
        <f>IF('Data Entry'!A130="","",'Data Entry'!D130)</f>
        <v/>
      </c>
      <c r="E130" s="12">
        <f>IF('Data Entry'!A130="","",'Data Entry'!E130)</f>
        <v/>
      </c>
      <c r="F130" s="12">
        <f>IF('Data Entry'!A130="","",'Data Entry'!F130)</f>
        <v/>
      </c>
      <c r="G130" s="13">
        <f>IF('Data Entry'!A130="","",'Data Entry'!G130)</f>
        <v/>
      </c>
      <c r="H130" s="10">
        <f>IF('Data Entry'!A130="","",'Data Entry'!H130)</f>
        <v/>
      </c>
      <c r="I130" s="10">
        <f>IF('Data Entry'!A130="","",'Data Entry'!I130)</f>
        <v/>
      </c>
      <c r="J130" s="12">
        <f>IF('Data Entry'!A130="","",IF('Data Entry'!D130&lt;&gt;"",'Data Entry'!D130,'Data Entry'!E130))</f>
        <v/>
      </c>
      <c r="K130" s="10">
        <f>IF('Data Entry'!A130="","",IFERROR(SUMIFS($H$5:$H$2001,$J$5:$J$2001,$J130,$B$5:$B$2001,$B130,$A$5:$A$2001,(MAXIFS($A$5:$A$2001,$J$5:$J$2001,$J130,$B$5:$B$2001,$B130,$A$5:$A$2001,"&lt;"&amp;$A130))),""))</f>
        <v/>
      </c>
      <c r="L130" s="14">
        <f>IF(OR('Data Entry'!A130="",$K130=""),"",$H130-$K130)</f>
        <v/>
      </c>
      <c r="M130" s="15">
        <f>IF(OR('Data Entry'!A130="",$K130="",$K130=0),"",$L130/$K130)</f>
        <v/>
      </c>
      <c r="N130" s="12">
        <f>IF('Data Entry'!A130="","",IF($L130="","New item",IF($L130&gt;0,"UP",IF($L130&lt;0,"down","same"))))</f>
        <v/>
      </c>
    </row>
    <row r="131">
      <c r="A131" s="11">
        <f>IF('Data Entry'!A131="","",'Data Entry'!A131)</f>
        <v/>
      </c>
      <c r="B131" s="12">
        <f>IF('Data Entry'!A131="","",'Data Entry'!B131)</f>
        <v/>
      </c>
      <c r="C131" s="12">
        <f>IF('Data Entry'!A131="","",'Data Entry'!C131)</f>
        <v/>
      </c>
      <c r="D131" s="12">
        <f>IF('Data Entry'!A131="","",'Data Entry'!D131)</f>
        <v/>
      </c>
      <c r="E131" s="12">
        <f>IF('Data Entry'!A131="","",'Data Entry'!E131)</f>
        <v/>
      </c>
      <c r="F131" s="12">
        <f>IF('Data Entry'!A131="","",'Data Entry'!F131)</f>
        <v/>
      </c>
      <c r="G131" s="13">
        <f>IF('Data Entry'!A131="","",'Data Entry'!G131)</f>
        <v/>
      </c>
      <c r="H131" s="10">
        <f>IF('Data Entry'!A131="","",'Data Entry'!H131)</f>
        <v/>
      </c>
      <c r="I131" s="10">
        <f>IF('Data Entry'!A131="","",'Data Entry'!I131)</f>
        <v/>
      </c>
      <c r="J131" s="12">
        <f>IF('Data Entry'!A131="","",IF('Data Entry'!D131&lt;&gt;"",'Data Entry'!D131,'Data Entry'!E131))</f>
        <v/>
      </c>
      <c r="K131" s="10">
        <f>IF('Data Entry'!A131="","",IFERROR(SUMIFS($H$5:$H$2001,$J$5:$J$2001,$J131,$B$5:$B$2001,$B131,$A$5:$A$2001,(MAXIFS($A$5:$A$2001,$J$5:$J$2001,$J131,$B$5:$B$2001,$B131,$A$5:$A$2001,"&lt;"&amp;$A131))),""))</f>
        <v/>
      </c>
      <c r="L131" s="14">
        <f>IF(OR('Data Entry'!A131="",$K131=""),"",$H131-$K131)</f>
        <v/>
      </c>
      <c r="M131" s="15">
        <f>IF(OR('Data Entry'!A131="",$K131="",$K131=0),"",$L131/$K131)</f>
        <v/>
      </c>
      <c r="N131" s="12">
        <f>IF('Data Entry'!A131="","",IF($L131="","New item",IF($L131&gt;0,"UP",IF($L131&lt;0,"down","same"))))</f>
        <v/>
      </c>
    </row>
    <row r="132">
      <c r="A132" s="11">
        <f>IF('Data Entry'!A132="","",'Data Entry'!A132)</f>
        <v/>
      </c>
      <c r="B132" s="12">
        <f>IF('Data Entry'!A132="","",'Data Entry'!B132)</f>
        <v/>
      </c>
      <c r="C132" s="12">
        <f>IF('Data Entry'!A132="","",'Data Entry'!C132)</f>
        <v/>
      </c>
      <c r="D132" s="12">
        <f>IF('Data Entry'!A132="","",'Data Entry'!D132)</f>
        <v/>
      </c>
      <c r="E132" s="12">
        <f>IF('Data Entry'!A132="","",'Data Entry'!E132)</f>
        <v/>
      </c>
      <c r="F132" s="12">
        <f>IF('Data Entry'!A132="","",'Data Entry'!F132)</f>
        <v/>
      </c>
      <c r="G132" s="13">
        <f>IF('Data Entry'!A132="","",'Data Entry'!G132)</f>
        <v/>
      </c>
      <c r="H132" s="10">
        <f>IF('Data Entry'!A132="","",'Data Entry'!H132)</f>
        <v/>
      </c>
      <c r="I132" s="10">
        <f>IF('Data Entry'!A132="","",'Data Entry'!I132)</f>
        <v/>
      </c>
      <c r="J132" s="12">
        <f>IF('Data Entry'!A132="","",IF('Data Entry'!D132&lt;&gt;"",'Data Entry'!D132,'Data Entry'!E132))</f>
        <v/>
      </c>
      <c r="K132" s="10">
        <f>IF('Data Entry'!A132="","",IFERROR(SUMIFS($H$5:$H$2001,$J$5:$J$2001,$J132,$B$5:$B$2001,$B132,$A$5:$A$2001,(MAXIFS($A$5:$A$2001,$J$5:$J$2001,$J132,$B$5:$B$2001,$B132,$A$5:$A$2001,"&lt;"&amp;$A132))),""))</f>
        <v/>
      </c>
      <c r="L132" s="14">
        <f>IF(OR('Data Entry'!A132="",$K132=""),"",$H132-$K132)</f>
        <v/>
      </c>
      <c r="M132" s="15">
        <f>IF(OR('Data Entry'!A132="",$K132="",$K132=0),"",$L132/$K132)</f>
        <v/>
      </c>
      <c r="N132" s="12">
        <f>IF('Data Entry'!A132="","",IF($L132="","New item",IF($L132&gt;0,"UP",IF($L132&lt;0,"down","same"))))</f>
        <v/>
      </c>
    </row>
    <row r="133">
      <c r="A133" s="11">
        <f>IF('Data Entry'!A133="","",'Data Entry'!A133)</f>
        <v/>
      </c>
      <c r="B133" s="12">
        <f>IF('Data Entry'!A133="","",'Data Entry'!B133)</f>
        <v/>
      </c>
      <c r="C133" s="12">
        <f>IF('Data Entry'!A133="","",'Data Entry'!C133)</f>
        <v/>
      </c>
      <c r="D133" s="12">
        <f>IF('Data Entry'!A133="","",'Data Entry'!D133)</f>
        <v/>
      </c>
      <c r="E133" s="12">
        <f>IF('Data Entry'!A133="","",'Data Entry'!E133)</f>
        <v/>
      </c>
      <c r="F133" s="12">
        <f>IF('Data Entry'!A133="","",'Data Entry'!F133)</f>
        <v/>
      </c>
      <c r="G133" s="13">
        <f>IF('Data Entry'!A133="","",'Data Entry'!G133)</f>
        <v/>
      </c>
      <c r="H133" s="10">
        <f>IF('Data Entry'!A133="","",'Data Entry'!H133)</f>
        <v/>
      </c>
      <c r="I133" s="10">
        <f>IF('Data Entry'!A133="","",'Data Entry'!I133)</f>
        <v/>
      </c>
      <c r="J133" s="12">
        <f>IF('Data Entry'!A133="","",IF('Data Entry'!D133&lt;&gt;"",'Data Entry'!D133,'Data Entry'!E133))</f>
        <v/>
      </c>
      <c r="K133" s="10">
        <f>IF('Data Entry'!A133="","",IFERROR(SUMIFS($H$5:$H$2001,$J$5:$J$2001,$J133,$B$5:$B$2001,$B133,$A$5:$A$2001,(MAXIFS($A$5:$A$2001,$J$5:$J$2001,$J133,$B$5:$B$2001,$B133,$A$5:$A$2001,"&lt;"&amp;$A133))),""))</f>
        <v/>
      </c>
      <c r="L133" s="14">
        <f>IF(OR('Data Entry'!A133="",$K133=""),"",$H133-$K133)</f>
        <v/>
      </c>
      <c r="M133" s="15">
        <f>IF(OR('Data Entry'!A133="",$K133="",$K133=0),"",$L133/$K133)</f>
        <v/>
      </c>
      <c r="N133" s="12">
        <f>IF('Data Entry'!A133="","",IF($L133="","New item",IF($L133&gt;0,"UP",IF($L133&lt;0,"down","same"))))</f>
        <v/>
      </c>
    </row>
    <row r="134">
      <c r="A134" s="11">
        <f>IF('Data Entry'!A134="","",'Data Entry'!A134)</f>
        <v/>
      </c>
      <c r="B134" s="12">
        <f>IF('Data Entry'!A134="","",'Data Entry'!B134)</f>
        <v/>
      </c>
      <c r="C134" s="12">
        <f>IF('Data Entry'!A134="","",'Data Entry'!C134)</f>
        <v/>
      </c>
      <c r="D134" s="12">
        <f>IF('Data Entry'!A134="","",'Data Entry'!D134)</f>
        <v/>
      </c>
      <c r="E134" s="12">
        <f>IF('Data Entry'!A134="","",'Data Entry'!E134)</f>
        <v/>
      </c>
      <c r="F134" s="12">
        <f>IF('Data Entry'!A134="","",'Data Entry'!F134)</f>
        <v/>
      </c>
      <c r="G134" s="13">
        <f>IF('Data Entry'!A134="","",'Data Entry'!G134)</f>
        <v/>
      </c>
      <c r="H134" s="10">
        <f>IF('Data Entry'!A134="","",'Data Entry'!H134)</f>
        <v/>
      </c>
      <c r="I134" s="10">
        <f>IF('Data Entry'!A134="","",'Data Entry'!I134)</f>
        <v/>
      </c>
      <c r="J134" s="12">
        <f>IF('Data Entry'!A134="","",IF('Data Entry'!D134&lt;&gt;"",'Data Entry'!D134,'Data Entry'!E134))</f>
        <v/>
      </c>
      <c r="K134" s="10">
        <f>IF('Data Entry'!A134="","",IFERROR(SUMIFS($H$5:$H$2001,$J$5:$J$2001,$J134,$B$5:$B$2001,$B134,$A$5:$A$2001,(MAXIFS($A$5:$A$2001,$J$5:$J$2001,$J134,$B$5:$B$2001,$B134,$A$5:$A$2001,"&lt;"&amp;$A134))),""))</f>
        <v/>
      </c>
      <c r="L134" s="14">
        <f>IF(OR('Data Entry'!A134="",$K134=""),"",$H134-$K134)</f>
        <v/>
      </c>
      <c r="M134" s="15">
        <f>IF(OR('Data Entry'!A134="",$K134="",$K134=0),"",$L134/$K134)</f>
        <v/>
      </c>
      <c r="N134" s="12">
        <f>IF('Data Entry'!A134="","",IF($L134="","New item",IF($L134&gt;0,"UP",IF($L134&lt;0,"down","same"))))</f>
        <v/>
      </c>
    </row>
    <row r="135">
      <c r="A135" s="11">
        <f>IF('Data Entry'!A135="","",'Data Entry'!A135)</f>
        <v/>
      </c>
      <c r="B135" s="12">
        <f>IF('Data Entry'!A135="","",'Data Entry'!B135)</f>
        <v/>
      </c>
      <c r="C135" s="12">
        <f>IF('Data Entry'!A135="","",'Data Entry'!C135)</f>
        <v/>
      </c>
      <c r="D135" s="12">
        <f>IF('Data Entry'!A135="","",'Data Entry'!D135)</f>
        <v/>
      </c>
      <c r="E135" s="12">
        <f>IF('Data Entry'!A135="","",'Data Entry'!E135)</f>
        <v/>
      </c>
      <c r="F135" s="12">
        <f>IF('Data Entry'!A135="","",'Data Entry'!F135)</f>
        <v/>
      </c>
      <c r="G135" s="13">
        <f>IF('Data Entry'!A135="","",'Data Entry'!G135)</f>
        <v/>
      </c>
      <c r="H135" s="10">
        <f>IF('Data Entry'!A135="","",'Data Entry'!H135)</f>
        <v/>
      </c>
      <c r="I135" s="10">
        <f>IF('Data Entry'!A135="","",'Data Entry'!I135)</f>
        <v/>
      </c>
      <c r="J135" s="12">
        <f>IF('Data Entry'!A135="","",IF('Data Entry'!D135&lt;&gt;"",'Data Entry'!D135,'Data Entry'!E135))</f>
        <v/>
      </c>
      <c r="K135" s="10">
        <f>IF('Data Entry'!A135="","",IFERROR(SUMIFS($H$5:$H$2001,$J$5:$J$2001,$J135,$B$5:$B$2001,$B135,$A$5:$A$2001,(MAXIFS($A$5:$A$2001,$J$5:$J$2001,$J135,$B$5:$B$2001,$B135,$A$5:$A$2001,"&lt;"&amp;$A135))),""))</f>
        <v/>
      </c>
      <c r="L135" s="14">
        <f>IF(OR('Data Entry'!A135="",$K135=""),"",$H135-$K135)</f>
        <v/>
      </c>
      <c r="M135" s="15">
        <f>IF(OR('Data Entry'!A135="",$K135="",$K135=0),"",$L135/$K135)</f>
        <v/>
      </c>
      <c r="N135" s="12">
        <f>IF('Data Entry'!A135="","",IF($L135="","New item",IF($L135&gt;0,"UP",IF($L135&lt;0,"down","same"))))</f>
        <v/>
      </c>
    </row>
    <row r="136">
      <c r="A136" s="11">
        <f>IF('Data Entry'!A136="","",'Data Entry'!A136)</f>
        <v/>
      </c>
      <c r="B136" s="12">
        <f>IF('Data Entry'!A136="","",'Data Entry'!B136)</f>
        <v/>
      </c>
      <c r="C136" s="12">
        <f>IF('Data Entry'!A136="","",'Data Entry'!C136)</f>
        <v/>
      </c>
      <c r="D136" s="12">
        <f>IF('Data Entry'!A136="","",'Data Entry'!D136)</f>
        <v/>
      </c>
      <c r="E136" s="12">
        <f>IF('Data Entry'!A136="","",'Data Entry'!E136)</f>
        <v/>
      </c>
      <c r="F136" s="12">
        <f>IF('Data Entry'!A136="","",'Data Entry'!F136)</f>
        <v/>
      </c>
      <c r="G136" s="13">
        <f>IF('Data Entry'!A136="","",'Data Entry'!G136)</f>
        <v/>
      </c>
      <c r="H136" s="10">
        <f>IF('Data Entry'!A136="","",'Data Entry'!H136)</f>
        <v/>
      </c>
      <c r="I136" s="10">
        <f>IF('Data Entry'!A136="","",'Data Entry'!I136)</f>
        <v/>
      </c>
      <c r="J136" s="12">
        <f>IF('Data Entry'!A136="","",IF('Data Entry'!D136&lt;&gt;"",'Data Entry'!D136,'Data Entry'!E136))</f>
        <v/>
      </c>
      <c r="K136" s="10">
        <f>IF('Data Entry'!A136="","",IFERROR(SUMIFS($H$5:$H$2001,$J$5:$J$2001,$J136,$B$5:$B$2001,$B136,$A$5:$A$2001,(MAXIFS($A$5:$A$2001,$J$5:$J$2001,$J136,$B$5:$B$2001,$B136,$A$5:$A$2001,"&lt;"&amp;$A136))),""))</f>
        <v/>
      </c>
      <c r="L136" s="14">
        <f>IF(OR('Data Entry'!A136="",$K136=""),"",$H136-$K136)</f>
        <v/>
      </c>
      <c r="M136" s="15">
        <f>IF(OR('Data Entry'!A136="",$K136="",$K136=0),"",$L136/$K136)</f>
        <v/>
      </c>
      <c r="N136" s="12">
        <f>IF('Data Entry'!A136="","",IF($L136="","New item",IF($L136&gt;0,"UP",IF($L136&lt;0,"down","same"))))</f>
        <v/>
      </c>
    </row>
    <row r="137">
      <c r="A137" s="11">
        <f>IF('Data Entry'!A137="","",'Data Entry'!A137)</f>
        <v/>
      </c>
      <c r="B137" s="12">
        <f>IF('Data Entry'!A137="","",'Data Entry'!B137)</f>
        <v/>
      </c>
      <c r="C137" s="12">
        <f>IF('Data Entry'!A137="","",'Data Entry'!C137)</f>
        <v/>
      </c>
      <c r="D137" s="12">
        <f>IF('Data Entry'!A137="","",'Data Entry'!D137)</f>
        <v/>
      </c>
      <c r="E137" s="12">
        <f>IF('Data Entry'!A137="","",'Data Entry'!E137)</f>
        <v/>
      </c>
      <c r="F137" s="12">
        <f>IF('Data Entry'!A137="","",'Data Entry'!F137)</f>
        <v/>
      </c>
      <c r="G137" s="13">
        <f>IF('Data Entry'!A137="","",'Data Entry'!G137)</f>
        <v/>
      </c>
      <c r="H137" s="10">
        <f>IF('Data Entry'!A137="","",'Data Entry'!H137)</f>
        <v/>
      </c>
      <c r="I137" s="10">
        <f>IF('Data Entry'!A137="","",'Data Entry'!I137)</f>
        <v/>
      </c>
      <c r="J137" s="12">
        <f>IF('Data Entry'!A137="","",IF('Data Entry'!D137&lt;&gt;"",'Data Entry'!D137,'Data Entry'!E137))</f>
        <v/>
      </c>
      <c r="K137" s="10">
        <f>IF('Data Entry'!A137="","",IFERROR(SUMIFS($H$5:$H$2001,$J$5:$J$2001,$J137,$B$5:$B$2001,$B137,$A$5:$A$2001,(MAXIFS($A$5:$A$2001,$J$5:$J$2001,$J137,$B$5:$B$2001,$B137,$A$5:$A$2001,"&lt;"&amp;$A137))),""))</f>
        <v/>
      </c>
      <c r="L137" s="14">
        <f>IF(OR('Data Entry'!A137="",$K137=""),"",$H137-$K137)</f>
        <v/>
      </c>
      <c r="M137" s="15">
        <f>IF(OR('Data Entry'!A137="",$K137="",$K137=0),"",$L137/$K137)</f>
        <v/>
      </c>
      <c r="N137" s="12">
        <f>IF('Data Entry'!A137="","",IF($L137="","New item",IF($L137&gt;0,"UP",IF($L137&lt;0,"down","same"))))</f>
        <v/>
      </c>
    </row>
    <row r="138">
      <c r="A138" s="11">
        <f>IF('Data Entry'!A138="","",'Data Entry'!A138)</f>
        <v/>
      </c>
      <c r="B138" s="12">
        <f>IF('Data Entry'!A138="","",'Data Entry'!B138)</f>
        <v/>
      </c>
      <c r="C138" s="12">
        <f>IF('Data Entry'!A138="","",'Data Entry'!C138)</f>
        <v/>
      </c>
      <c r="D138" s="12">
        <f>IF('Data Entry'!A138="","",'Data Entry'!D138)</f>
        <v/>
      </c>
      <c r="E138" s="12">
        <f>IF('Data Entry'!A138="","",'Data Entry'!E138)</f>
        <v/>
      </c>
      <c r="F138" s="12">
        <f>IF('Data Entry'!A138="","",'Data Entry'!F138)</f>
        <v/>
      </c>
      <c r="G138" s="13">
        <f>IF('Data Entry'!A138="","",'Data Entry'!G138)</f>
        <v/>
      </c>
      <c r="H138" s="10">
        <f>IF('Data Entry'!A138="","",'Data Entry'!H138)</f>
        <v/>
      </c>
      <c r="I138" s="10">
        <f>IF('Data Entry'!A138="","",'Data Entry'!I138)</f>
        <v/>
      </c>
      <c r="J138" s="12">
        <f>IF('Data Entry'!A138="","",IF('Data Entry'!D138&lt;&gt;"",'Data Entry'!D138,'Data Entry'!E138))</f>
        <v/>
      </c>
      <c r="K138" s="10">
        <f>IF('Data Entry'!A138="","",IFERROR(SUMIFS($H$5:$H$2001,$J$5:$J$2001,$J138,$B$5:$B$2001,$B138,$A$5:$A$2001,(MAXIFS($A$5:$A$2001,$J$5:$J$2001,$J138,$B$5:$B$2001,$B138,$A$5:$A$2001,"&lt;"&amp;$A138))),""))</f>
        <v/>
      </c>
      <c r="L138" s="14">
        <f>IF(OR('Data Entry'!A138="",$K138=""),"",$H138-$K138)</f>
        <v/>
      </c>
      <c r="M138" s="15">
        <f>IF(OR('Data Entry'!A138="",$K138="",$K138=0),"",$L138/$K138)</f>
        <v/>
      </c>
      <c r="N138" s="12">
        <f>IF('Data Entry'!A138="","",IF($L138="","New item",IF($L138&gt;0,"UP",IF($L138&lt;0,"down","same"))))</f>
        <v/>
      </c>
    </row>
    <row r="139">
      <c r="A139" s="11">
        <f>IF('Data Entry'!A139="","",'Data Entry'!A139)</f>
        <v/>
      </c>
      <c r="B139" s="12">
        <f>IF('Data Entry'!A139="","",'Data Entry'!B139)</f>
        <v/>
      </c>
      <c r="C139" s="12">
        <f>IF('Data Entry'!A139="","",'Data Entry'!C139)</f>
        <v/>
      </c>
      <c r="D139" s="12">
        <f>IF('Data Entry'!A139="","",'Data Entry'!D139)</f>
        <v/>
      </c>
      <c r="E139" s="12">
        <f>IF('Data Entry'!A139="","",'Data Entry'!E139)</f>
        <v/>
      </c>
      <c r="F139" s="12">
        <f>IF('Data Entry'!A139="","",'Data Entry'!F139)</f>
        <v/>
      </c>
      <c r="G139" s="13">
        <f>IF('Data Entry'!A139="","",'Data Entry'!G139)</f>
        <v/>
      </c>
      <c r="H139" s="10">
        <f>IF('Data Entry'!A139="","",'Data Entry'!H139)</f>
        <v/>
      </c>
      <c r="I139" s="10">
        <f>IF('Data Entry'!A139="","",'Data Entry'!I139)</f>
        <v/>
      </c>
      <c r="J139" s="12">
        <f>IF('Data Entry'!A139="","",IF('Data Entry'!D139&lt;&gt;"",'Data Entry'!D139,'Data Entry'!E139))</f>
        <v/>
      </c>
      <c r="K139" s="10">
        <f>IF('Data Entry'!A139="","",IFERROR(SUMIFS($H$5:$H$2001,$J$5:$J$2001,$J139,$B$5:$B$2001,$B139,$A$5:$A$2001,(MAXIFS($A$5:$A$2001,$J$5:$J$2001,$J139,$B$5:$B$2001,$B139,$A$5:$A$2001,"&lt;"&amp;$A139))),""))</f>
        <v/>
      </c>
      <c r="L139" s="14">
        <f>IF(OR('Data Entry'!A139="",$K139=""),"",$H139-$K139)</f>
        <v/>
      </c>
      <c r="M139" s="15">
        <f>IF(OR('Data Entry'!A139="",$K139="",$K139=0),"",$L139/$K139)</f>
        <v/>
      </c>
      <c r="N139" s="12">
        <f>IF('Data Entry'!A139="","",IF($L139="","New item",IF($L139&gt;0,"UP",IF($L139&lt;0,"down","same"))))</f>
        <v/>
      </c>
    </row>
    <row r="140">
      <c r="A140" s="11">
        <f>IF('Data Entry'!A140="","",'Data Entry'!A140)</f>
        <v/>
      </c>
      <c r="B140" s="12">
        <f>IF('Data Entry'!A140="","",'Data Entry'!B140)</f>
        <v/>
      </c>
      <c r="C140" s="12">
        <f>IF('Data Entry'!A140="","",'Data Entry'!C140)</f>
        <v/>
      </c>
      <c r="D140" s="12">
        <f>IF('Data Entry'!A140="","",'Data Entry'!D140)</f>
        <v/>
      </c>
      <c r="E140" s="12">
        <f>IF('Data Entry'!A140="","",'Data Entry'!E140)</f>
        <v/>
      </c>
      <c r="F140" s="12">
        <f>IF('Data Entry'!A140="","",'Data Entry'!F140)</f>
        <v/>
      </c>
      <c r="G140" s="13">
        <f>IF('Data Entry'!A140="","",'Data Entry'!G140)</f>
        <v/>
      </c>
      <c r="H140" s="10">
        <f>IF('Data Entry'!A140="","",'Data Entry'!H140)</f>
        <v/>
      </c>
      <c r="I140" s="10">
        <f>IF('Data Entry'!A140="","",'Data Entry'!I140)</f>
        <v/>
      </c>
      <c r="J140" s="12">
        <f>IF('Data Entry'!A140="","",IF('Data Entry'!D140&lt;&gt;"",'Data Entry'!D140,'Data Entry'!E140))</f>
        <v/>
      </c>
      <c r="K140" s="10">
        <f>IF('Data Entry'!A140="","",IFERROR(SUMIFS($H$5:$H$2001,$J$5:$J$2001,$J140,$B$5:$B$2001,$B140,$A$5:$A$2001,(MAXIFS($A$5:$A$2001,$J$5:$J$2001,$J140,$B$5:$B$2001,$B140,$A$5:$A$2001,"&lt;"&amp;$A140))),""))</f>
        <v/>
      </c>
      <c r="L140" s="14">
        <f>IF(OR('Data Entry'!A140="",$K140=""),"",$H140-$K140)</f>
        <v/>
      </c>
      <c r="M140" s="15">
        <f>IF(OR('Data Entry'!A140="",$K140="",$K140=0),"",$L140/$K140)</f>
        <v/>
      </c>
      <c r="N140" s="12">
        <f>IF('Data Entry'!A140="","",IF($L140="","New item",IF($L140&gt;0,"UP",IF($L140&lt;0,"down","same"))))</f>
        <v/>
      </c>
    </row>
    <row r="141">
      <c r="A141" s="11">
        <f>IF('Data Entry'!A141="","",'Data Entry'!A141)</f>
        <v/>
      </c>
      <c r="B141" s="12">
        <f>IF('Data Entry'!A141="","",'Data Entry'!B141)</f>
        <v/>
      </c>
      <c r="C141" s="12">
        <f>IF('Data Entry'!A141="","",'Data Entry'!C141)</f>
        <v/>
      </c>
      <c r="D141" s="12">
        <f>IF('Data Entry'!A141="","",'Data Entry'!D141)</f>
        <v/>
      </c>
      <c r="E141" s="12">
        <f>IF('Data Entry'!A141="","",'Data Entry'!E141)</f>
        <v/>
      </c>
      <c r="F141" s="12">
        <f>IF('Data Entry'!A141="","",'Data Entry'!F141)</f>
        <v/>
      </c>
      <c r="G141" s="13">
        <f>IF('Data Entry'!A141="","",'Data Entry'!G141)</f>
        <v/>
      </c>
      <c r="H141" s="10">
        <f>IF('Data Entry'!A141="","",'Data Entry'!H141)</f>
        <v/>
      </c>
      <c r="I141" s="10">
        <f>IF('Data Entry'!A141="","",'Data Entry'!I141)</f>
        <v/>
      </c>
      <c r="J141" s="12">
        <f>IF('Data Entry'!A141="","",IF('Data Entry'!D141&lt;&gt;"",'Data Entry'!D141,'Data Entry'!E141))</f>
        <v/>
      </c>
      <c r="K141" s="10">
        <f>IF('Data Entry'!A141="","",IFERROR(SUMIFS($H$5:$H$2001,$J$5:$J$2001,$J141,$B$5:$B$2001,$B141,$A$5:$A$2001,(MAXIFS($A$5:$A$2001,$J$5:$J$2001,$J141,$B$5:$B$2001,$B141,$A$5:$A$2001,"&lt;"&amp;$A141))),""))</f>
        <v/>
      </c>
      <c r="L141" s="14">
        <f>IF(OR('Data Entry'!A141="",$K141=""),"",$H141-$K141)</f>
        <v/>
      </c>
      <c r="M141" s="15">
        <f>IF(OR('Data Entry'!A141="",$K141="",$K141=0),"",$L141/$K141)</f>
        <v/>
      </c>
      <c r="N141" s="12">
        <f>IF('Data Entry'!A141="","",IF($L141="","New item",IF($L141&gt;0,"UP",IF($L141&lt;0,"down","same"))))</f>
        <v/>
      </c>
    </row>
    <row r="142">
      <c r="A142" s="11">
        <f>IF('Data Entry'!A142="","",'Data Entry'!A142)</f>
        <v/>
      </c>
      <c r="B142" s="12">
        <f>IF('Data Entry'!A142="","",'Data Entry'!B142)</f>
        <v/>
      </c>
      <c r="C142" s="12">
        <f>IF('Data Entry'!A142="","",'Data Entry'!C142)</f>
        <v/>
      </c>
      <c r="D142" s="12">
        <f>IF('Data Entry'!A142="","",'Data Entry'!D142)</f>
        <v/>
      </c>
      <c r="E142" s="12">
        <f>IF('Data Entry'!A142="","",'Data Entry'!E142)</f>
        <v/>
      </c>
      <c r="F142" s="12">
        <f>IF('Data Entry'!A142="","",'Data Entry'!F142)</f>
        <v/>
      </c>
      <c r="G142" s="13">
        <f>IF('Data Entry'!A142="","",'Data Entry'!G142)</f>
        <v/>
      </c>
      <c r="H142" s="10">
        <f>IF('Data Entry'!A142="","",'Data Entry'!H142)</f>
        <v/>
      </c>
      <c r="I142" s="10">
        <f>IF('Data Entry'!A142="","",'Data Entry'!I142)</f>
        <v/>
      </c>
      <c r="J142" s="12">
        <f>IF('Data Entry'!A142="","",IF('Data Entry'!D142&lt;&gt;"",'Data Entry'!D142,'Data Entry'!E142))</f>
        <v/>
      </c>
      <c r="K142" s="10">
        <f>IF('Data Entry'!A142="","",IFERROR(SUMIFS($H$5:$H$2001,$J$5:$J$2001,$J142,$B$5:$B$2001,$B142,$A$5:$A$2001,(MAXIFS($A$5:$A$2001,$J$5:$J$2001,$J142,$B$5:$B$2001,$B142,$A$5:$A$2001,"&lt;"&amp;$A142))),""))</f>
        <v/>
      </c>
      <c r="L142" s="14">
        <f>IF(OR('Data Entry'!A142="",$K142=""),"",$H142-$K142)</f>
        <v/>
      </c>
      <c r="M142" s="15">
        <f>IF(OR('Data Entry'!A142="",$K142="",$K142=0),"",$L142/$K142)</f>
        <v/>
      </c>
      <c r="N142" s="12">
        <f>IF('Data Entry'!A142="","",IF($L142="","New item",IF($L142&gt;0,"UP",IF($L142&lt;0,"down","same"))))</f>
        <v/>
      </c>
    </row>
    <row r="143">
      <c r="A143" s="11">
        <f>IF('Data Entry'!A143="","",'Data Entry'!A143)</f>
        <v/>
      </c>
      <c r="B143" s="12">
        <f>IF('Data Entry'!A143="","",'Data Entry'!B143)</f>
        <v/>
      </c>
      <c r="C143" s="12">
        <f>IF('Data Entry'!A143="","",'Data Entry'!C143)</f>
        <v/>
      </c>
      <c r="D143" s="12">
        <f>IF('Data Entry'!A143="","",'Data Entry'!D143)</f>
        <v/>
      </c>
      <c r="E143" s="12">
        <f>IF('Data Entry'!A143="","",'Data Entry'!E143)</f>
        <v/>
      </c>
      <c r="F143" s="12">
        <f>IF('Data Entry'!A143="","",'Data Entry'!F143)</f>
        <v/>
      </c>
      <c r="G143" s="13">
        <f>IF('Data Entry'!A143="","",'Data Entry'!G143)</f>
        <v/>
      </c>
      <c r="H143" s="10">
        <f>IF('Data Entry'!A143="","",'Data Entry'!H143)</f>
        <v/>
      </c>
      <c r="I143" s="10">
        <f>IF('Data Entry'!A143="","",'Data Entry'!I143)</f>
        <v/>
      </c>
      <c r="J143" s="12">
        <f>IF('Data Entry'!A143="","",IF('Data Entry'!D143&lt;&gt;"",'Data Entry'!D143,'Data Entry'!E143))</f>
        <v/>
      </c>
      <c r="K143" s="10">
        <f>IF('Data Entry'!A143="","",IFERROR(SUMIFS($H$5:$H$2001,$J$5:$J$2001,$J143,$B$5:$B$2001,$B143,$A$5:$A$2001,(MAXIFS($A$5:$A$2001,$J$5:$J$2001,$J143,$B$5:$B$2001,$B143,$A$5:$A$2001,"&lt;"&amp;$A143))),""))</f>
        <v/>
      </c>
      <c r="L143" s="14">
        <f>IF(OR('Data Entry'!A143="",$K143=""),"",$H143-$K143)</f>
        <v/>
      </c>
      <c r="M143" s="15">
        <f>IF(OR('Data Entry'!A143="",$K143="",$K143=0),"",$L143/$K143)</f>
        <v/>
      </c>
      <c r="N143" s="12">
        <f>IF('Data Entry'!A143="","",IF($L143="","New item",IF($L143&gt;0,"UP",IF($L143&lt;0,"down","same"))))</f>
        <v/>
      </c>
    </row>
    <row r="144">
      <c r="A144" s="11">
        <f>IF('Data Entry'!A144="","",'Data Entry'!A144)</f>
        <v/>
      </c>
      <c r="B144" s="12">
        <f>IF('Data Entry'!A144="","",'Data Entry'!B144)</f>
        <v/>
      </c>
      <c r="C144" s="12">
        <f>IF('Data Entry'!A144="","",'Data Entry'!C144)</f>
        <v/>
      </c>
      <c r="D144" s="12">
        <f>IF('Data Entry'!A144="","",'Data Entry'!D144)</f>
        <v/>
      </c>
      <c r="E144" s="12">
        <f>IF('Data Entry'!A144="","",'Data Entry'!E144)</f>
        <v/>
      </c>
      <c r="F144" s="12">
        <f>IF('Data Entry'!A144="","",'Data Entry'!F144)</f>
        <v/>
      </c>
      <c r="G144" s="13">
        <f>IF('Data Entry'!A144="","",'Data Entry'!G144)</f>
        <v/>
      </c>
      <c r="H144" s="10">
        <f>IF('Data Entry'!A144="","",'Data Entry'!H144)</f>
        <v/>
      </c>
      <c r="I144" s="10">
        <f>IF('Data Entry'!A144="","",'Data Entry'!I144)</f>
        <v/>
      </c>
      <c r="J144" s="12">
        <f>IF('Data Entry'!A144="","",IF('Data Entry'!D144&lt;&gt;"",'Data Entry'!D144,'Data Entry'!E144))</f>
        <v/>
      </c>
      <c r="K144" s="10">
        <f>IF('Data Entry'!A144="","",IFERROR(SUMIFS($H$5:$H$2001,$J$5:$J$2001,$J144,$B$5:$B$2001,$B144,$A$5:$A$2001,(MAXIFS($A$5:$A$2001,$J$5:$J$2001,$J144,$B$5:$B$2001,$B144,$A$5:$A$2001,"&lt;"&amp;$A144))),""))</f>
        <v/>
      </c>
      <c r="L144" s="14">
        <f>IF(OR('Data Entry'!A144="",$K144=""),"",$H144-$K144)</f>
        <v/>
      </c>
      <c r="M144" s="15">
        <f>IF(OR('Data Entry'!A144="",$K144="",$K144=0),"",$L144/$K144)</f>
        <v/>
      </c>
      <c r="N144" s="12">
        <f>IF('Data Entry'!A144="","",IF($L144="","New item",IF($L144&gt;0,"UP",IF($L144&lt;0,"down","same"))))</f>
        <v/>
      </c>
    </row>
    <row r="145">
      <c r="A145" s="11">
        <f>IF('Data Entry'!A145="","",'Data Entry'!A145)</f>
        <v/>
      </c>
      <c r="B145" s="12">
        <f>IF('Data Entry'!A145="","",'Data Entry'!B145)</f>
        <v/>
      </c>
      <c r="C145" s="12">
        <f>IF('Data Entry'!A145="","",'Data Entry'!C145)</f>
        <v/>
      </c>
      <c r="D145" s="12">
        <f>IF('Data Entry'!A145="","",'Data Entry'!D145)</f>
        <v/>
      </c>
      <c r="E145" s="12">
        <f>IF('Data Entry'!A145="","",'Data Entry'!E145)</f>
        <v/>
      </c>
      <c r="F145" s="12">
        <f>IF('Data Entry'!A145="","",'Data Entry'!F145)</f>
        <v/>
      </c>
      <c r="G145" s="13">
        <f>IF('Data Entry'!A145="","",'Data Entry'!G145)</f>
        <v/>
      </c>
      <c r="H145" s="10">
        <f>IF('Data Entry'!A145="","",'Data Entry'!H145)</f>
        <v/>
      </c>
      <c r="I145" s="10">
        <f>IF('Data Entry'!A145="","",'Data Entry'!I145)</f>
        <v/>
      </c>
      <c r="J145" s="12">
        <f>IF('Data Entry'!A145="","",IF('Data Entry'!D145&lt;&gt;"",'Data Entry'!D145,'Data Entry'!E145))</f>
        <v/>
      </c>
      <c r="K145" s="10">
        <f>IF('Data Entry'!A145="","",IFERROR(SUMIFS($H$5:$H$2001,$J$5:$J$2001,$J145,$B$5:$B$2001,$B145,$A$5:$A$2001,(MAXIFS($A$5:$A$2001,$J$5:$J$2001,$J145,$B$5:$B$2001,$B145,$A$5:$A$2001,"&lt;"&amp;$A145))),""))</f>
        <v/>
      </c>
      <c r="L145" s="14">
        <f>IF(OR('Data Entry'!A145="",$K145=""),"",$H145-$K145)</f>
        <v/>
      </c>
      <c r="M145" s="15">
        <f>IF(OR('Data Entry'!A145="",$K145="",$K145=0),"",$L145/$K145)</f>
        <v/>
      </c>
      <c r="N145" s="12">
        <f>IF('Data Entry'!A145="","",IF($L145="","New item",IF($L145&gt;0,"UP",IF($L145&lt;0,"down","same"))))</f>
        <v/>
      </c>
    </row>
    <row r="146">
      <c r="A146" s="11">
        <f>IF('Data Entry'!A146="","",'Data Entry'!A146)</f>
        <v/>
      </c>
      <c r="B146" s="12">
        <f>IF('Data Entry'!A146="","",'Data Entry'!B146)</f>
        <v/>
      </c>
      <c r="C146" s="12">
        <f>IF('Data Entry'!A146="","",'Data Entry'!C146)</f>
        <v/>
      </c>
      <c r="D146" s="12">
        <f>IF('Data Entry'!A146="","",'Data Entry'!D146)</f>
        <v/>
      </c>
      <c r="E146" s="12">
        <f>IF('Data Entry'!A146="","",'Data Entry'!E146)</f>
        <v/>
      </c>
      <c r="F146" s="12">
        <f>IF('Data Entry'!A146="","",'Data Entry'!F146)</f>
        <v/>
      </c>
      <c r="G146" s="13">
        <f>IF('Data Entry'!A146="","",'Data Entry'!G146)</f>
        <v/>
      </c>
      <c r="H146" s="10">
        <f>IF('Data Entry'!A146="","",'Data Entry'!H146)</f>
        <v/>
      </c>
      <c r="I146" s="10">
        <f>IF('Data Entry'!A146="","",'Data Entry'!I146)</f>
        <v/>
      </c>
      <c r="J146" s="12">
        <f>IF('Data Entry'!A146="","",IF('Data Entry'!D146&lt;&gt;"",'Data Entry'!D146,'Data Entry'!E146))</f>
        <v/>
      </c>
      <c r="K146" s="10">
        <f>IF('Data Entry'!A146="","",IFERROR(SUMIFS($H$5:$H$2001,$J$5:$J$2001,$J146,$B$5:$B$2001,$B146,$A$5:$A$2001,(MAXIFS($A$5:$A$2001,$J$5:$J$2001,$J146,$B$5:$B$2001,$B146,$A$5:$A$2001,"&lt;"&amp;$A146))),""))</f>
        <v/>
      </c>
      <c r="L146" s="14">
        <f>IF(OR('Data Entry'!A146="",$K146=""),"",$H146-$K146)</f>
        <v/>
      </c>
      <c r="M146" s="15">
        <f>IF(OR('Data Entry'!A146="",$K146="",$K146=0),"",$L146/$K146)</f>
        <v/>
      </c>
      <c r="N146" s="12">
        <f>IF('Data Entry'!A146="","",IF($L146="","New item",IF($L146&gt;0,"UP",IF($L146&lt;0,"down","same"))))</f>
        <v/>
      </c>
    </row>
    <row r="147">
      <c r="A147" s="11">
        <f>IF('Data Entry'!A147="","",'Data Entry'!A147)</f>
        <v/>
      </c>
      <c r="B147" s="12">
        <f>IF('Data Entry'!A147="","",'Data Entry'!B147)</f>
        <v/>
      </c>
      <c r="C147" s="12">
        <f>IF('Data Entry'!A147="","",'Data Entry'!C147)</f>
        <v/>
      </c>
      <c r="D147" s="12">
        <f>IF('Data Entry'!A147="","",'Data Entry'!D147)</f>
        <v/>
      </c>
      <c r="E147" s="12">
        <f>IF('Data Entry'!A147="","",'Data Entry'!E147)</f>
        <v/>
      </c>
      <c r="F147" s="12">
        <f>IF('Data Entry'!A147="","",'Data Entry'!F147)</f>
        <v/>
      </c>
      <c r="G147" s="13">
        <f>IF('Data Entry'!A147="","",'Data Entry'!G147)</f>
        <v/>
      </c>
      <c r="H147" s="10">
        <f>IF('Data Entry'!A147="","",'Data Entry'!H147)</f>
        <v/>
      </c>
      <c r="I147" s="10">
        <f>IF('Data Entry'!A147="","",'Data Entry'!I147)</f>
        <v/>
      </c>
      <c r="J147" s="12">
        <f>IF('Data Entry'!A147="","",IF('Data Entry'!D147&lt;&gt;"",'Data Entry'!D147,'Data Entry'!E147))</f>
        <v/>
      </c>
      <c r="K147" s="10">
        <f>IF('Data Entry'!A147="","",IFERROR(SUMIFS($H$5:$H$2001,$J$5:$J$2001,$J147,$B$5:$B$2001,$B147,$A$5:$A$2001,(MAXIFS($A$5:$A$2001,$J$5:$J$2001,$J147,$B$5:$B$2001,$B147,$A$5:$A$2001,"&lt;"&amp;$A147))),""))</f>
        <v/>
      </c>
      <c r="L147" s="14">
        <f>IF(OR('Data Entry'!A147="",$K147=""),"",$H147-$K147)</f>
        <v/>
      </c>
      <c r="M147" s="15">
        <f>IF(OR('Data Entry'!A147="",$K147="",$K147=0),"",$L147/$K147)</f>
        <v/>
      </c>
      <c r="N147" s="12">
        <f>IF('Data Entry'!A147="","",IF($L147="","New item",IF($L147&gt;0,"UP",IF($L147&lt;0,"down","same"))))</f>
        <v/>
      </c>
    </row>
    <row r="148">
      <c r="A148" s="11">
        <f>IF('Data Entry'!A148="","",'Data Entry'!A148)</f>
        <v/>
      </c>
      <c r="B148" s="12">
        <f>IF('Data Entry'!A148="","",'Data Entry'!B148)</f>
        <v/>
      </c>
      <c r="C148" s="12">
        <f>IF('Data Entry'!A148="","",'Data Entry'!C148)</f>
        <v/>
      </c>
      <c r="D148" s="12">
        <f>IF('Data Entry'!A148="","",'Data Entry'!D148)</f>
        <v/>
      </c>
      <c r="E148" s="12">
        <f>IF('Data Entry'!A148="","",'Data Entry'!E148)</f>
        <v/>
      </c>
      <c r="F148" s="12">
        <f>IF('Data Entry'!A148="","",'Data Entry'!F148)</f>
        <v/>
      </c>
      <c r="G148" s="13">
        <f>IF('Data Entry'!A148="","",'Data Entry'!G148)</f>
        <v/>
      </c>
      <c r="H148" s="10">
        <f>IF('Data Entry'!A148="","",'Data Entry'!H148)</f>
        <v/>
      </c>
      <c r="I148" s="10">
        <f>IF('Data Entry'!A148="","",'Data Entry'!I148)</f>
        <v/>
      </c>
      <c r="J148" s="12">
        <f>IF('Data Entry'!A148="","",IF('Data Entry'!D148&lt;&gt;"",'Data Entry'!D148,'Data Entry'!E148))</f>
        <v/>
      </c>
      <c r="K148" s="10">
        <f>IF('Data Entry'!A148="","",IFERROR(SUMIFS($H$5:$H$2001,$J$5:$J$2001,$J148,$B$5:$B$2001,$B148,$A$5:$A$2001,(MAXIFS($A$5:$A$2001,$J$5:$J$2001,$J148,$B$5:$B$2001,$B148,$A$5:$A$2001,"&lt;"&amp;$A148))),""))</f>
        <v/>
      </c>
      <c r="L148" s="14">
        <f>IF(OR('Data Entry'!A148="",$K148=""),"",$H148-$K148)</f>
        <v/>
      </c>
      <c r="M148" s="15">
        <f>IF(OR('Data Entry'!A148="",$K148="",$K148=0),"",$L148/$K148)</f>
        <v/>
      </c>
      <c r="N148" s="12">
        <f>IF('Data Entry'!A148="","",IF($L148="","New item",IF($L148&gt;0,"UP",IF($L148&lt;0,"down","same"))))</f>
        <v/>
      </c>
    </row>
    <row r="149">
      <c r="A149" s="11">
        <f>IF('Data Entry'!A149="","",'Data Entry'!A149)</f>
        <v/>
      </c>
      <c r="B149" s="12">
        <f>IF('Data Entry'!A149="","",'Data Entry'!B149)</f>
        <v/>
      </c>
      <c r="C149" s="12">
        <f>IF('Data Entry'!A149="","",'Data Entry'!C149)</f>
        <v/>
      </c>
      <c r="D149" s="12">
        <f>IF('Data Entry'!A149="","",'Data Entry'!D149)</f>
        <v/>
      </c>
      <c r="E149" s="12">
        <f>IF('Data Entry'!A149="","",'Data Entry'!E149)</f>
        <v/>
      </c>
      <c r="F149" s="12">
        <f>IF('Data Entry'!A149="","",'Data Entry'!F149)</f>
        <v/>
      </c>
      <c r="G149" s="13">
        <f>IF('Data Entry'!A149="","",'Data Entry'!G149)</f>
        <v/>
      </c>
      <c r="H149" s="10">
        <f>IF('Data Entry'!A149="","",'Data Entry'!H149)</f>
        <v/>
      </c>
      <c r="I149" s="10">
        <f>IF('Data Entry'!A149="","",'Data Entry'!I149)</f>
        <v/>
      </c>
      <c r="J149" s="12">
        <f>IF('Data Entry'!A149="","",IF('Data Entry'!D149&lt;&gt;"",'Data Entry'!D149,'Data Entry'!E149))</f>
        <v/>
      </c>
      <c r="K149" s="10">
        <f>IF('Data Entry'!A149="","",IFERROR(SUMIFS($H$5:$H$2001,$J$5:$J$2001,$J149,$B$5:$B$2001,$B149,$A$5:$A$2001,(MAXIFS($A$5:$A$2001,$J$5:$J$2001,$J149,$B$5:$B$2001,$B149,$A$5:$A$2001,"&lt;"&amp;$A149))),""))</f>
        <v/>
      </c>
      <c r="L149" s="14">
        <f>IF(OR('Data Entry'!A149="",$K149=""),"",$H149-$K149)</f>
        <v/>
      </c>
      <c r="M149" s="15">
        <f>IF(OR('Data Entry'!A149="",$K149="",$K149=0),"",$L149/$K149)</f>
        <v/>
      </c>
      <c r="N149" s="12">
        <f>IF('Data Entry'!A149="","",IF($L149="","New item",IF($L149&gt;0,"UP",IF($L149&lt;0,"down","same"))))</f>
        <v/>
      </c>
    </row>
    <row r="150">
      <c r="A150" s="11">
        <f>IF('Data Entry'!A150="","",'Data Entry'!A150)</f>
        <v/>
      </c>
      <c r="B150" s="12">
        <f>IF('Data Entry'!A150="","",'Data Entry'!B150)</f>
        <v/>
      </c>
      <c r="C150" s="12">
        <f>IF('Data Entry'!A150="","",'Data Entry'!C150)</f>
        <v/>
      </c>
      <c r="D150" s="12">
        <f>IF('Data Entry'!A150="","",'Data Entry'!D150)</f>
        <v/>
      </c>
      <c r="E150" s="12">
        <f>IF('Data Entry'!A150="","",'Data Entry'!E150)</f>
        <v/>
      </c>
      <c r="F150" s="12">
        <f>IF('Data Entry'!A150="","",'Data Entry'!F150)</f>
        <v/>
      </c>
      <c r="G150" s="13">
        <f>IF('Data Entry'!A150="","",'Data Entry'!G150)</f>
        <v/>
      </c>
      <c r="H150" s="10">
        <f>IF('Data Entry'!A150="","",'Data Entry'!H150)</f>
        <v/>
      </c>
      <c r="I150" s="10">
        <f>IF('Data Entry'!A150="","",'Data Entry'!I150)</f>
        <v/>
      </c>
      <c r="J150" s="12">
        <f>IF('Data Entry'!A150="","",IF('Data Entry'!D150&lt;&gt;"",'Data Entry'!D150,'Data Entry'!E150))</f>
        <v/>
      </c>
      <c r="K150" s="10">
        <f>IF('Data Entry'!A150="","",IFERROR(SUMIFS($H$5:$H$2001,$J$5:$J$2001,$J150,$B$5:$B$2001,$B150,$A$5:$A$2001,(MAXIFS($A$5:$A$2001,$J$5:$J$2001,$J150,$B$5:$B$2001,$B150,$A$5:$A$2001,"&lt;"&amp;$A150))),""))</f>
        <v/>
      </c>
      <c r="L150" s="14">
        <f>IF(OR('Data Entry'!A150="",$K150=""),"",$H150-$K150)</f>
        <v/>
      </c>
      <c r="M150" s="15">
        <f>IF(OR('Data Entry'!A150="",$K150="",$K150=0),"",$L150/$K150)</f>
        <v/>
      </c>
      <c r="N150" s="12">
        <f>IF('Data Entry'!A150="","",IF($L150="","New item",IF($L150&gt;0,"UP",IF($L150&lt;0,"down","same"))))</f>
        <v/>
      </c>
    </row>
    <row r="151">
      <c r="A151" s="11">
        <f>IF('Data Entry'!A151="","",'Data Entry'!A151)</f>
        <v/>
      </c>
      <c r="B151" s="12">
        <f>IF('Data Entry'!A151="","",'Data Entry'!B151)</f>
        <v/>
      </c>
      <c r="C151" s="12">
        <f>IF('Data Entry'!A151="","",'Data Entry'!C151)</f>
        <v/>
      </c>
      <c r="D151" s="12">
        <f>IF('Data Entry'!A151="","",'Data Entry'!D151)</f>
        <v/>
      </c>
      <c r="E151" s="12">
        <f>IF('Data Entry'!A151="","",'Data Entry'!E151)</f>
        <v/>
      </c>
      <c r="F151" s="12">
        <f>IF('Data Entry'!A151="","",'Data Entry'!F151)</f>
        <v/>
      </c>
      <c r="G151" s="13">
        <f>IF('Data Entry'!A151="","",'Data Entry'!G151)</f>
        <v/>
      </c>
      <c r="H151" s="10">
        <f>IF('Data Entry'!A151="","",'Data Entry'!H151)</f>
        <v/>
      </c>
      <c r="I151" s="10">
        <f>IF('Data Entry'!A151="","",'Data Entry'!I151)</f>
        <v/>
      </c>
      <c r="J151" s="12">
        <f>IF('Data Entry'!A151="","",IF('Data Entry'!D151&lt;&gt;"",'Data Entry'!D151,'Data Entry'!E151))</f>
        <v/>
      </c>
      <c r="K151" s="10">
        <f>IF('Data Entry'!A151="","",IFERROR(SUMIFS($H$5:$H$2001,$J$5:$J$2001,$J151,$B$5:$B$2001,$B151,$A$5:$A$2001,(MAXIFS($A$5:$A$2001,$J$5:$J$2001,$J151,$B$5:$B$2001,$B151,$A$5:$A$2001,"&lt;"&amp;$A151))),""))</f>
        <v/>
      </c>
      <c r="L151" s="14">
        <f>IF(OR('Data Entry'!A151="",$K151=""),"",$H151-$K151)</f>
        <v/>
      </c>
      <c r="M151" s="15">
        <f>IF(OR('Data Entry'!A151="",$K151="",$K151=0),"",$L151/$K151)</f>
        <v/>
      </c>
      <c r="N151" s="12">
        <f>IF('Data Entry'!A151="","",IF($L151="","New item",IF($L151&gt;0,"UP",IF($L151&lt;0,"down","same"))))</f>
        <v/>
      </c>
    </row>
    <row r="152">
      <c r="A152" s="11">
        <f>IF('Data Entry'!A152="","",'Data Entry'!A152)</f>
        <v/>
      </c>
      <c r="B152" s="12">
        <f>IF('Data Entry'!A152="","",'Data Entry'!B152)</f>
        <v/>
      </c>
      <c r="C152" s="12">
        <f>IF('Data Entry'!A152="","",'Data Entry'!C152)</f>
        <v/>
      </c>
      <c r="D152" s="12">
        <f>IF('Data Entry'!A152="","",'Data Entry'!D152)</f>
        <v/>
      </c>
      <c r="E152" s="12">
        <f>IF('Data Entry'!A152="","",'Data Entry'!E152)</f>
        <v/>
      </c>
      <c r="F152" s="12">
        <f>IF('Data Entry'!A152="","",'Data Entry'!F152)</f>
        <v/>
      </c>
      <c r="G152" s="13">
        <f>IF('Data Entry'!A152="","",'Data Entry'!G152)</f>
        <v/>
      </c>
      <c r="H152" s="10">
        <f>IF('Data Entry'!A152="","",'Data Entry'!H152)</f>
        <v/>
      </c>
      <c r="I152" s="10">
        <f>IF('Data Entry'!A152="","",'Data Entry'!I152)</f>
        <v/>
      </c>
      <c r="J152" s="12">
        <f>IF('Data Entry'!A152="","",IF('Data Entry'!D152&lt;&gt;"",'Data Entry'!D152,'Data Entry'!E152))</f>
        <v/>
      </c>
      <c r="K152" s="10">
        <f>IF('Data Entry'!A152="","",IFERROR(SUMIFS($H$5:$H$2001,$J$5:$J$2001,$J152,$B$5:$B$2001,$B152,$A$5:$A$2001,(MAXIFS($A$5:$A$2001,$J$5:$J$2001,$J152,$B$5:$B$2001,$B152,$A$5:$A$2001,"&lt;"&amp;$A152))),""))</f>
        <v/>
      </c>
      <c r="L152" s="14">
        <f>IF(OR('Data Entry'!A152="",$K152=""),"",$H152-$K152)</f>
        <v/>
      </c>
      <c r="M152" s="15">
        <f>IF(OR('Data Entry'!A152="",$K152="",$K152=0),"",$L152/$K152)</f>
        <v/>
      </c>
      <c r="N152" s="12">
        <f>IF('Data Entry'!A152="","",IF($L152="","New item",IF($L152&gt;0,"UP",IF($L152&lt;0,"down","same"))))</f>
        <v/>
      </c>
    </row>
    <row r="153">
      <c r="A153" s="11">
        <f>IF('Data Entry'!A153="","",'Data Entry'!A153)</f>
        <v/>
      </c>
      <c r="B153" s="12">
        <f>IF('Data Entry'!A153="","",'Data Entry'!B153)</f>
        <v/>
      </c>
      <c r="C153" s="12">
        <f>IF('Data Entry'!A153="","",'Data Entry'!C153)</f>
        <v/>
      </c>
      <c r="D153" s="12">
        <f>IF('Data Entry'!A153="","",'Data Entry'!D153)</f>
        <v/>
      </c>
      <c r="E153" s="12">
        <f>IF('Data Entry'!A153="","",'Data Entry'!E153)</f>
        <v/>
      </c>
      <c r="F153" s="12">
        <f>IF('Data Entry'!A153="","",'Data Entry'!F153)</f>
        <v/>
      </c>
      <c r="G153" s="13">
        <f>IF('Data Entry'!A153="","",'Data Entry'!G153)</f>
        <v/>
      </c>
      <c r="H153" s="10">
        <f>IF('Data Entry'!A153="","",'Data Entry'!H153)</f>
        <v/>
      </c>
      <c r="I153" s="10">
        <f>IF('Data Entry'!A153="","",'Data Entry'!I153)</f>
        <v/>
      </c>
      <c r="J153" s="12">
        <f>IF('Data Entry'!A153="","",IF('Data Entry'!D153&lt;&gt;"",'Data Entry'!D153,'Data Entry'!E153))</f>
        <v/>
      </c>
      <c r="K153" s="10">
        <f>IF('Data Entry'!A153="","",IFERROR(SUMIFS($H$5:$H$2001,$J$5:$J$2001,$J153,$B$5:$B$2001,$B153,$A$5:$A$2001,(MAXIFS($A$5:$A$2001,$J$5:$J$2001,$J153,$B$5:$B$2001,$B153,$A$5:$A$2001,"&lt;"&amp;$A153))),""))</f>
        <v/>
      </c>
      <c r="L153" s="14">
        <f>IF(OR('Data Entry'!A153="",$K153=""),"",$H153-$K153)</f>
        <v/>
      </c>
      <c r="M153" s="15">
        <f>IF(OR('Data Entry'!A153="",$K153="",$K153=0),"",$L153/$K153)</f>
        <v/>
      </c>
      <c r="N153" s="12">
        <f>IF('Data Entry'!A153="","",IF($L153="","New item",IF($L153&gt;0,"UP",IF($L153&lt;0,"down","same"))))</f>
        <v/>
      </c>
    </row>
    <row r="154">
      <c r="A154" s="11">
        <f>IF('Data Entry'!A154="","",'Data Entry'!A154)</f>
        <v/>
      </c>
      <c r="B154" s="12">
        <f>IF('Data Entry'!A154="","",'Data Entry'!B154)</f>
        <v/>
      </c>
      <c r="C154" s="12">
        <f>IF('Data Entry'!A154="","",'Data Entry'!C154)</f>
        <v/>
      </c>
      <c r="D154" s="12">
        <f>IF('Data Entry'!A154="","",'Data Entry'!D154)</f>
        <v/>
      </c>
      <c r="E154" s="12">
        <f>IF('Data Entry'!A154="","",'Data Entry'!E154)</f>
        <v/>
      </c>
      <c r="F154" s="12">
        <f>IF('Data Entry'!A154="","",'Data Entry'!F154)</f>
        <v/>
      </c>
      <c r="G154" s="13">
        <f>IF('Data Entry'!A154="","",'Data Entry'!G154)</f>
        <v/>
      </c>
      <c r="H154" s="10">
        <f>IF('Data Entry'!A154="","",'Data Entry'!H154)</f>
        <v/>
      </c>
      <c r="I154" s="10">
        <f>IF('Data Entry'!A154="","",'Data Entry'!I154)</f>
        <v/>
      </c>
      <c r="J154" s="12">
        <f>IF('Data Entry'!A154="","",IF('Data Entry'!D154&lt;&gt;"",'Data Entry'!D154,'Data Entry'!E154))</f>
        <v/>
      </c>
      <c r="K154" s="10">
        <f>IF('Data Entry'!A154="","",IFERROR(SUMIFS($H$5:$H$2001,$J$5:$J$2001,$J154,$B$5:$B$2001,$B154,$A$5:$A$2001,(MAXIFS($A$5:$A$2001,$J$5:$J$2001,$J154,$B$5:$B$2001,$B154,$A$5:$A$2001,"&lt;"&amp;$A154))),""))</f>
        <v/>
      </c>
      <c r="L154" s="14">
        <f>IF(OR('Data Entry'!A154="",$K154=""),"",$H154-$K154)</f>
        <v/>
      </c>
      <c r="M154" s="15">
        <f>IF(OR('Data Entry'!A154="",$K154="",$K154=0),"",$L154/$K154)</f>
        <v/>
      </c>
      <c r="N154" s="12">
        <f>IF('Data Entry'!A154="","",IF($L154="","New item",IF($L154&gt;0,"UP",IF($L154&lt;0,"down","same"))))</f>
        <v/>
      </c>
    </row>
    <row r="155">
      <c r="A155" s="11">
        <f>IF('Data Entry'!A155="","",'Data Entry'!A155)</f>
        <v/>
      </c>
      <c r="B155" s="12">
        <f>IF('Data Entry'!A155="","",'Data Entry'!B155)</f>
        <v/>
      </c>
      <c r="C155" s="12">
        <f>IF('Data Entry'!A155="","",'Data Entry'!C155)</f>
        <v/>
      </c>
      <c r="D155" s="12">
        <f>IF('Data Entry'!A155="","",'Data Entry'!D155)</f>
        <v/>
      </c>
      <c r="E155" s="12">
        <f>IF('Data Entry'!A155="","",'Data Entry'!E155)</f>
        <v/>
      </c>
      <c r="F155" s="12">
        <f>IF('Data Entry'!A155="","",'Data Entry'!F155)</f>
        <v/>
      </c>
      <c r="G155" s="13">
        <f>IF('Data Entry'!A155="","",'Data Entry'!G155)</f>
        <v/>
      </c>
      <c r="H155" s="10">
        <f>IF('Data Entry'!A155="","",'Data Entry'!H155)</f>
        <v/>
      </c>
      <c r="I155" s="10">
        <f>IF('Data Entry'!A155="","",'Data Entry'!I155)</f>
        <v/>
      </c>
      <c r="J155" s="12">
        <f>IF('Data Entry'!A155="","",IF('Data Entry'!D155&lt;&gt;"",'Data Entry'!D155,'Data Entry'!E155))</f>
        <v/>
      </c>
      <c r="K155" s="10">
        <f>IF('Data Entry'!A155="","",IFERROR(SUMIFS($H$5:$H$2001,$J$5:$J$2001,$J155,$B$5:$B$2001,$B155,$A$5:$A$2001,(MAXIFS($A$5:$A$2001,$J$5:$J$2001,$J155,$B$5:$B$2001,$B155,$A$5:$A$2001,"&lt;"&amp;$A155))),""))</f>
        <v/>
      </c>
      <c r="L155" s="14">
        <f>IF(OR('Data Entry'!A155="",$K155=""),"",$H155-$K155)</f>
        <v/>
      </c>
      <c r="M155" s="15">
        <f>IF(OR('Data Entry'!A155="",$K155="",$K155=0),"",$L155/$K155)</f>
        <v/>
      </c>
      <c r="N155" s="12">
        <f>IF('Data Entry'!A155="","",IF($L155="","New item",IF($L155&gt;0,"UP",IF($L155&lt;0,"down","same"))))</f>
        <v/>
      </c>
    </row>
    <row r="156">
      <c r="A156" s="11">
        <f>IF('Data Entry'!A156="","",'Data Entry'!A156)</f>
        <v/>
      </c>
      <c r="B156" s="12">
        <f>IF('Data Entry'!A156="","",'Data Entry'!B156)</f>
        <v/>
      </c>
      <c r="C156" s="12">
        <f>IF('Data Entry'!A156="","",'Data Entry'!C156)</f>
        <v/>
      </c>
      <c r="D156" s="12">
        <f>IF('Data Entry'!A156="","",'Data Entry'!D156)</f>
        <v/>
      </c>
      <c r="E156" s="12">
        <f>IF('Data Entry'!A156="","",'Data Entry'!E156)</f>
        <v/>
      </c>
      <c r="F156" s="12">
        <f>IF('Data Entry'!A156="","",'Data Entry'!F156)</f>
        <v/>
      </c>
      <c r="G156" s="13">
        <f>IF('Data Entry'!A156="","",'Data Entry'!G156)</f>
        <v/>
      </c>
      <c r="H156" s="10">
        <f>IF('Data Entry'!A156="","",'Data Entry'!H156)</f>
        <v/>
      </c>
      <c r="I156" s="10">
        <f>IF('Data Entry'!A156="","",'Data Entry'!I156)</f>
        <v/>
      </c>
      <c r="J156" s="12">
        <f>IF('Data Entry'!A156="","",IF('Data Entry'!D156&lt;&gt;"",'Data Entry'!D156,'Data Entry'!E156))</f>
        <v/>
      </c>
      <c r="K156" s="10">
        <f>IF('Data Entry'!A156="","",IFERROR(SUMIFS($H$5:$H$2001,$J$5:$J$2001,$J156,$B$5:$B$2001,$B156,$A$5:$A$2001,(MAXIFS($A$5:$A$2001,$J$5:$J$2001,$J156,$B$5:$B$2001,$B156,$A$5:$A$2001,"&lt;"&amp;$A156))),""))</f>
        <v/>
      </c>
      <c r="L156" s="14">
        <f>IF(OR('Data Entry'!A156="",$K156=""),"",$H156-$K156)</f>
        <v/>
      </c>
      <c r="M156" s="15">
        <f>IF(OR('Data Entry'!A156="",$K156="",$K156=0),"",$L156/$K156)</f>
        <v/>
      </c>
      <c r="N156" s="12">
        <f>IF('Data Entry'!A156="","",IF($L156="","New item",IF($L156&gt;0,"UP",IF($L156&lt;0,"down","same"))))</f>
        <v/>
      </c>
    </row>
    <row r="157">
      <c r="A157" s="11">
        <f>IF('Data Entry'!A157="","",'Data Entry'!A157)</f>
        <v/>
      </c>
      <c r="B157" s="12">
        <f>IF('Data Entry'!A157="","",'Data Entry'!B157)</f>
        <v/>
      </c>
      <c r="C157" s="12">
        <f>IF('Data Entry'!A157="","",'Data Entry'!C157)</f>
        <v/>
      </c>
      <c r="D157" s="12">
        <f>IF('Data Entry'!A157="","",'Data Entry'!D157)</f>
        <v/>
      </c>
      <c r="E157" s="12">
        <f>IF('Data Entry'!A157="","",'Data Entry'!E157)</f>
        <v/>
      </c>
      <c r="F157" s="12">
        <f>IF('Data Entry'!A157="","",'Data Entry'!F157)</f>
        <v/>
      </c>
      <c r="G157" s="13">
        <f>IF('Data Entry'!A157="","",'Data Entry'!G157)</f>
        <v/>
      </c>
      <c r="H157" s="10">
        <f>IF('Data Entry'!A157="","",'Data Entry'!H157)</f>
        <v/>
      </c>
      <c r="I157" s="10">
        <f>IF('Data Entry'!A157="","",'Data Entry'!I157)</f>
        <v/>
      </c>
      <c r="J157" s="12">
        <f>IF('Data Entry'!A157="","",IF('Data Entry'!D157&lt;&gt;"",'Data Entry'!D157,'Data Entry'!E157))</f>
        <v/>
      </c>
      <c r="K157" s="10">
        <f>IF('Data Entry'!A157="","",IFERROR(SUMIFS($H$5:$H$2001,$J$5:$J$2001,$J157,$B$5:$B$2001,$B157,$A$5:$A$2001,(MAXIFS($A$5:$A$2001,$J$5:$J$2001,$J157,$B$5:$B$2001,$B157,$A$5:$A$2001,"&lt;"&amp;$A157))),""))</f>
        <v/>
      </c>
      <c r="L157" s="14">
        <f>IF(OR('Data Entry'!A157="",$K157=""),"",$H157-$K157)</f>
        <v/>
      </c>
      <c r="M157" s="15">
        <f>IF(OR('Data Entry'!A157="",$K157="",$K157=0),"",$L157/$K157)</f>
        <v/>
      </c>
      <c r="N157" s="12">
        <f>IF('Data Entry'!A157="","",IF($L157="","New item",IF($L157&gt;0,"UP",IF($L157&lt;0,"down","same"))))</f>
        <v/>
      </c>
    </row>
    <row r="158">
      <c r="A158" s="11">
        <f>IF('Data Entry'!A158="","",'Data Entry'!A158)</f>
        <v/>
      </c>
      <c r="B158" s="12">
        <f>IF('Data Entry'!A158="","",'Data Entry'!B158)</f>
        <v/>
      </c>
      <c r="C158" s="12">
        <f>IF('Data Entry'!A158="","",'Data Entry'!C158)</f>
        <v/>
      </c>
      <c r="D158" s="12">
        <f>IF('Data Entry'!A158="","",'Data Entry'!D158)</f>
        <v/>
      </c>
      <c r="E158" s="12">
        <f>IF('Data Entry'!A158="","",'Data Entry'!E158)</f>
        <v/>
      </c>
      <c r="F158" s="12">
        <f>IF('Data Entry'!A158="","",'Data Entry'!F158)</f>
        <v/>
      </c>
      <c r="G158" s="13">
        <f>IF('Data Entry'!A158="","",'Data Entry'!G158)</f>
        <v/>
      </c>
      <c r="H158" s="10">
        <f>IF('Data Entry'!A158="","",'Data Entry'!H158)</f>
        <v/>
      </c>
      <c r="I158" s="10">
        <f>IF('Data Entry'!A158="","",'Data Entry'!I158)</f>
        <v/>
      </c>
      <c r="J158" s="12">
        <f>IF('Data Entry'!A158="","",IF('Data Entry'!D158&lt;&gt;"",'Data Entry'!D158,'Data Entry'!E158))</f>
        <v/>
      </c>
      <c r="K158" s="10">
        <f>IF('Data Entry'!A158="","",IFERROR(SUMIFS($H$5:$H$2001,$J$5:$J$2001,$J158,$B$5:$B$2001,$B158,$A$5:$A$2001,(MAXIFS($A$5:$A$2001,$J$5:$J$2001,$J158,$B$5:$B$2001,$B158,$A$5:$A$2001,"&lt;"&amp;$A158))),""))</f>
        <v/>
      </c>
      <c r="L158" s="14">
        <f>IF(OR('Data Entry'!A158="",$K158=""),"",$H158-$K158)</f>
        <v/>
      </c>
      <c r="M158" s="15">
        <f>IF(OR('Data Entry'!A158="",$K158="",$K158=0),"",$L158/$K158)</f>
        <v/>
      </c>
      <c r="N158" s="12">
        <f>IF('Data Entry'!A158="","",IF($L158="","New item",IF($L158&gt;0,"UP",IF($L158&lt;0,"down","same"))))</f>
        <v/>
      </c>
    </row>
    <row r="159">
      <c r="A159" s="11">
        <f>IF('Data Entry'!A159="","",'Data Entry'!A159)</f>
        <v/>
      </c>
      <c r="B159" s="12">
        <f>IF('Data Entry'!A159="","",'Data Entry'!B159)</f>
        <v/>
      </c>
      <c r="C159" s="12">
        <f>IF('Data Entry'!A159="","",'Data Entry'!C159)</f>
        <v/>
      </c>
      <c r="D159" s="12">
        <f>IF('Data Entry'!A159="","",'Data Entry'!D159)</f>
        <v/>
      </c>
      <c r="E159" s="12">
        <f>IF('Data Entry'!A159="","",'Data Entry'!E159)</f>
        <v/>
      </c>
      <c r="F159" s="12">
        <f>IF('Data Entry'!A159="","",'Data Entry'!F159)</f>
        <v/>
      </c>
      <c r="G159" s="13">
        <f>IF('Data Entry'!A159="","",'Data Entry'!G159)</f>
        <v/>
      </c>
      <c r="H159" s="10">
        <f>IF('Data Entry'!A159="","",'Data Entry'!H159)</f>
        <v/>
      </c>
      <c r="I159" s="10">
        <f>IF('Data Entry'!A159="","",'Data Entry'!I159)</f>
        <v/>
      </c>
      <c r="J159" s="12">
        <f>IF('Data Entry'!A159="","",IF('Data Entry'!D159&lt;&gt;"",'Data Entry'!D159,'Data Entry'!E159))</f>
        <v/>
      </c>
      <c r="K159" s="10">
        <f>IF('Data Entry'!A159="","",IFERROR(SUMIFS($H$5:$H$2001,$J$5:$J$2001,$J159,$B$5:$B$2001,$B159,$A$5:$A$2001,(MAXIFS($A$5:$A$2001,$J$5:$J$2001,$J159,$B$5:$B$2001,$B159,$A$5:$A$2001,"&lt;"&amp;$A159))),""))</f>
        <v/>
      </c>
      <c r="L159" s="14">
        <f>IF(OR('Data Entry'!A159="",$K159=""),"",$H159-$K159)</f>
        <v/>
      </c>
      <c r="M159" s="15">
        <f>IF(OR('Data Entry'!A159="",$K159="",$K159=0),"",$L159/$K159)</f>
        <v/>
      </c>
      <c r="N159" s="12">
        <f>IF('Data Entry'!A159="","",IF($L159="","New item",IF($L159&gt;0,"UP",IF($L159&lt;0,"down","same"))))</f>
        <v/>
      </c>
    </row>
    <row r="160">
      <c r="A160" s="11">
        <f>IF('Data Entry'!A160="","",'Data Entry'!A160)</f>
        <v/>
      </c>
      <c r="B160" s="12">
        <f>IF('Data Entry'!A160="","",'Data Entry'!B160)</f>
        <v/>
      </c>
      <c r="C160" s="12">
        <f>IF('Data Entry'!A160="","",'Data Entry'!C160)</f>
        <v/>
      </c>
      <c r="D160" s="12">
        <f>IF('Data Entry'!A160="","",'Data Entry'!D160)</f>
        <v/>
      </c>
      <c r="E160" s="12">
        <f>IF('Data Entry'!A160="","",'Data Entry'!E160)</f>
        <v/>
      </c>
      <c r="F160" s="12">
        <f>IF('Data Entry'!A160="","",'Data Entry'!F160)</f>
        <v/>
      </c>
      <c r="G160" s="13">
        <f>IF('Data Entry'!A160="","",'Data Entry'!G160)</f>
        <v/>
      </c>
      <c r="H160" s="10">
        <f>IF('Data Entry'!A160="","",'Data Entry'!H160)</f>
        <v/>
      </c>
      <c r="I160" s="10">
        <f>IF('Data Entry'!A160="","",'Data Entry'!I160)</f>
        <v/>
      </c>
      <c r="J160" s="12">
        <f>IF('Data Entry'!A160="","",IF('Data Entry'!D160&lt;&gt;"",'Data Entry'!D160,'Data Entry'!E160))</f>
        <v/>
      </c>
      <c r="K160" s="10">
        <f>IF('Data Entry'!A160="","",IFERROR(SUMIFS($H$5:$H$2001,$J$5:$J$2001,$J160,$B$5:$B$2001,$B160,$A$5:$A$2001,(MAXIFS($A$5:$A$2001,$J$5:$J$2001,$J160,$B$5:$B$2001,$B160,$A$5:$A$2001,"&lt;"&amp;$A160))),""))</f>
        <v/>
      </c>
      <c r="L160" s="14">
        <f>IF(OR('Data Entry'!A160="",$K160=""),"",$H160-$K160)</f>
        <v/>
      </c>
      <c r="M160" s="15">
        <f>IF(OR('Data Entry'!A160="",$K160="",$K160=0),"",$L160/$K160)</f>
        <v/>
      </c>
      <c r="N160" s="12">
        <f>IF('Data Entry'!A160="","",IF($L160="","New item",IF($L160&gt;0,"UP",IF($L160&lt;0,"down","same"))))</f>
        <v/>
      </c>
    </row>
    <row r="161">
      <c r="A161" s="11">
        <f>IF('Data Entry'!A161="","",'Data Entry'!A161)</f>
        <v/>
      </c>
      <c r="B161" s="12">
        <f>IF('Data Entry'!A161="","",'Data Entry'!B161)</f>
        <v/>
      </c>
      <c r="C161" s="12">
        <f>IF('Data Entry'!A161="","",'Data Entry'!C161)</f>
        <v/>
      </c>
      <c r="D161" s="12">
        <f>IF('Data Entry'!A161="","",'Data Entry'!D161)</f>
        <v/>
      </c>
      <c r="E161" s="12">
        <f>IF('Data Entry'!A161="","",'Data Entry'!E161)</f>
        <v/>
      </c>
      <c r="F161" s="12">
        <f>IF('Data Entry'!A161="","",'Data Entry'!F161)</f>
        <v/>
      </c>
      <c r="G161" s="13">
        <f>IF('Data Entry'!A161="","",'Data Entry'!G161)</f>
        <v/>
      </c>
      <c r="H161" s="10">
        <f>IF('Data Entry'!A161="","",'Data Entry'!H161)</f>
        <v/>
      </c>
      <c r="I161" s="10">
        <f>IF('Data Entry'!A161="","",'Data Entry'!I161)</f>
        <v/>
      </c>
      <c r="J161" s="12">
        <f>IF('Data Entry'!A161="","",IF('Data Entry'!D161&lt;&gt;"",'Data Entry'!D161,'Data Entry'!E161))</f>
        <v/>
      </c>
      <c r="K161" s="10">
        <f>IF('Data Entry'!A161="","",IFERROR(SUMIFS($H$5:$H$2001,$J$5:$J$2001,$J161,$B$5:$B$2001,$B161,$A$5:$A$2001,(MAXIFS($A$5:$A$2001,$J$5:$J$2001,$J161,$B$5:$B$2001,$B161,$A$5:$A$2001,"&lt;"&amp;$A161))),""))</f>
        <v/>
      </c>
      <c r="L161" s="14">
        <f>IF(OR('Data Entry'!A161="",$K161=""),"",$H161-$K161)</f>
        <v/>
      </c>
      <c r="M161" s="15">
        <f>IF(OR('Data Entry'!A161="",$K161="",$K161=0),"",$L161/$K161)</f>
        <v/>
      </c>
      <c r="N161" s="12">
        <f>IF('Data Entry'!A161="","",IF($L161="","New item",IF($L161&gt;0,"UP",IF($L161&lt;0,"down","same"))))</f>
        <v/>
      </c>
    </row>
    <row r="162">
      <c r="A162" s="11">
        <f>IF('Data Entry'!A162="","",'Data Entry'!A162)</f>
        <v/>
      </c>
      <c r="B162" s="12">
        <f>IF('Data Entry'!A162="","",'Data Entry'!B162)</f>
        <v/>
      </c>
      <c r="C162" s="12">
        <f>IF('Data Entry'!A162="","",'Data Entry'!C162)</f>
        <v/>
      </c>
      <c r="D162" s="12">
        <f>IF('Data Entry'!A162="","",'Data Entry'!D162)</f>
        <v/>
      </c>
      <c r="E162" s="12">
        <f>IF('Data Entry'!A162="","",'Data Entry'!E162)</f>
        <v/>
      </c>
      <c r="F162" s="12">
        <f>IF('Data Entry'!A162="","",'Data Entry'!F162)</f>
        <v/>
      </c>
      <c r="G162" s="13">
        <f>IF('Data Entry'!A162="","",'Data Entry'!G162)</f>
        <v/>
      </c>
      <c r="H162" s="10">
        <f>IF('Data Entry'!A162="","",'Data Entry'!H162)</f>
        <v/>
      </c>
      <c r="I162" s="10">
        <f>IF('Data Entry'!A162="","",'Data Entry'!I162)</f>
        <v/>
      </c>
      <c r="J162" s="12">
        <f>IF('Data Entry'!A162="","",IF('Data Entry'!D162&lt;&gt;"",'Data Entry'!D162,'Data Entry'!E162))</f>
        <v/>
      </c>
      <c r="K162" s="10">
        <f>IF('Data Entry'!A162="","",IFERROR(SUMIFS($H$5:$H$2001,$J$5:$J$2001,$J162,$B$5:$B$2001,$B162,$A$5:$A$2001,(MAXIFS($A$5:$A$2001,$J$5:$J$2001,$J162,$B$5:$B$2001,$B162,$A$5:$A$2001,"&lt;"&amp;$A162))),""))</f>
        <v/>
      </c>
      <c r="L162" s="14">
        <f>IF(OR('Data Entry'!A162="",$K162=""),"",$H162-$K162)</f>
        <v/>
      </c>
      <c r="M162" s="15">
        <f>IF(OR('Data Entry'!A162="",$K162="",$K162=0),"",$L162/$K162)</f>
        <v/>
      </c>
      <c r="N162" s="12">
        <f>IF('Data Entry'!A162="","",IF($L162="","New item",IF($L162&gt;0,"UP",IF($L162&lt;0,"down","same"))))</f>
        <v/>
      </c>
    </row>
    <row r="163">
      <c r="A163" s="11">
        <f>IF('Data Entry'!A163="","",'Data Entry'!A163)</f>
        <v/>
      </c>
      <c r="B163" s="12">
        <f>IF('Data Entry'!A163="","",'Data Entry'!B163)</f>
        <v/>
      </c>
      <c r="C163" s="12">
        <f>IF('Data Entry'!A163="","",'Data Entry'!C163)</f>
        <v/>
      </c>
      <c r="D163" s="12">
        <f>IF('Data Entry'!A163="","",'Data Entry'!D163)</f>
        <v/>
      </c>
      <c r="E163" s="12">
        <f>IF('Data Entry'!A163="","",'Data Entry'!E163)</f>
        <v/>
      </c>
      <c r="F163" s="12">
        <f>IF('Data Entry'!A163="","",'Data Entry'!F163)</f>
        <v/>
      </c>
      <c r="G163" s="13">
        <f>IF('Data Entry'!A163="","",'Data Entry'!G163)</f>
        <v/>
      </c>
      <c r="H163" s="10">
        <f>IF('Data Entry'!A163="","",'Data Entry'!H163)</f>
        <v/>
      </c>
      <c r="I163" s="10">
        <f>IF('Data Entry'!A163="","",'Data Entry'!I163)</f>
        <v/>
      </c>
      <c r="J163" s="12">
        <f>IF('Data Entry'!A163="","",IF('Data Entry'!D163&lt;&gt;"",'Data Entry'!D163,'Data Entry'!E163))</f>
        <v/>
      </c>
      <c r="K163" s="10">
        <f>IF('Data Entry'!A163="","",IFERROR(SUMIFS($H$5:$H$2001,$J$5:$J$2001,$J163,$B$5:$B$2001,$B163,$A$5:$A$2001,(MAXIFS($A$5:$A$2001,$J$5:$J$2001,$J163,$B$5:$B$2001,$B163,$A$5:$A$2001,"&lt;"&amp;$A163))),""))</f>
        <v/>
      </c>
      <c r="L163" s="14">
        <f>IF(OR('Data Entry'!A163="",$K163=""),"",$H163-$K163)</f>
        <v/>
      </c>
      <c r="M163" s="15">
        <f>IF(OR('Data Entry'!A163="",$K163="",$K163=0),"",$L163/$K163)</f>
        <v/>
      </c>
      <c r="N163" s="12">
        <f>IF('Data Entry'!A163="","",IF($L163="","New item",IF($L163&gt;0,"UP",IF($L163&lt;0,"down","same"))))</f>
        <v/>
      </c>
    </row>
    <row r="164">
      <c r="A164" s="11">
        <f>IF('Data Entry'!A164="","",'Data Entry'!A164)</f>
        <v/>
      </c>
      <c r="B164" s="12">
        <f>IF('Data Entry'!A164="","",'Data Entry'!B164)</f>
        <v/>
      </c>
      <c r="C164" s="12">
        <f>IF('Data Entry'!A164="","",'Data Entry'!C164)</f>
        <v/>
      </c>
      <c r="D164" s="12">
        <f>IF('Data Entry'!A164="","",'Data Entry'!D164)</f>
        <v/>
      </c>
      <c r="E164" s="12">
        <f>IF('Data Entry'!A164="","",'Data Entry'!E164)</f>
        <v/>
      </c>
      <c r="F164" s="12">
        <f>IF('Data Entry'!A164="","",'Data Entry'!F164)</f>
        <v/>
      </c>
      <c r="G164" s="13">
        <f>IF('Data Entry'!A164="","",'Data Entry'!G164)</f>
        <v/>
      </c>
      <c r="H164" s="10">
        <f>IF('Data Entry'!A164="","",'Data Entry'!H164)</f>
        <v/>
      </c>
      <c r="I164" s="10">
        <f>IF('Data Entry'!A164="","",'Data Entry'!I164)</f>
        <v/>
      </c>
      <c r="J164" s="12">
        <f>IF('Data Entry'!A164="","",IF('Data Entry'!D164&lt;&gt;"",'Data Entry'!D164,'Data Entry'!E164))</f>
        <v/>
      </c>
      <c r="K164" s="10">
        <f>IF('Data Entry'!A164="","",IFERROR(SUMIFS($H$5:$H$2001,$J$5:$J$2001,$J164,$B$5:$B$2001,$B164,$A$5:$A$2001,(MAXIFS($A$5:$A$2001,$J$5:$J$2001,$J164,$B$5:$B$2001,$B164,$A$5:$A$2001,"&lt;"&amp;$A164))),""))</f>
        <v/>
      </c>
      <c r="L164" s="14">
        <f>IF(OR('Data Entry'!A164="",$K164=""),"",$H164-$K164)</f>
        <v/>
      </c>
      <c r="M164" s="15">
        <f>IF(OR('Data Entry'!A164="",$K164="",$K164=0),"",$L164/$K164)</f>
        <v/>
      </c>
      <c r="N164" s="12">
        <f>IF('Data Entry'!A164="","",IF($L164="","New item",IF($L164&gt;0,"UP",IF($L164&lt;0,"down","same"))))</f>
        <v/>
      </c>
    </row>
    <row r="165">
      <c r="A165" s="11">
        <f>IF('Data Entry'!A165="","",'Data Entry'!A165)</f>
        <v/>
      </c>
      <c r="B165" s="12">
        <f>IF('Data Entry'!A165="","",'Data Entry'!B165)</f>
        <v/>
      </c>
      <c r="C165" s="12">
        <f>IF('Data Entry'!A165="","",'Data Entry'!C165)</f>
        <v/>
      </c>
      <c r="D165" s="12">
        <f>IF('Data Entry'!A165="","",'Data Entry'!D165)</f>
        <v/>
      </c>
      <c r="E165" s="12">
        <f>IF('Data Entry'!A165="","",'Data Entry'!E165)</f>
        <v/>
      </c>
      <c r="F165" s="12">
        <f>IF('Data Entry'!A165="","",'Data Entry'!F165)</f>
        <v/>
      </c>
      <c r="G165" s="13">
        <f>IF('Data Entry'!A165="","",'Data Entry'!G165)</f>
        <v/>
      </c>
      <c r="H165" s="10">
        <f>IF('Data Entry'!A165="","",'Data Entry'!H165)</f>
        <v/>
      </c>
      <c r="I165" s="10">
        <f>IF('Data Entry'!A165="","",'Data Entry'!I165)</f>
        <v/>
      </c>
      <c r="J165" s="12">
        <f>IF('Data Entry'!A165="","",IF('Data Entry'!D165&lt;&gt;"",'Data Entry'!D165,'Data Entry'!E165))</f>
        <v/>
      </c>
      <c r="K165" s="10">
        <f>IF('Data Entry'!A165="","",IFERROR(SUMIFS($H$5:$H$2001,$J$5:$J$2001,$J165,$B$5:$B$2001,$B165,$A$5:$A$2001,(MAXIFS($A$5:$A$2001,$J$5:$J$2001,$J165,$B$5:$B$2001,$B165,$A$5:$A$2001,"&lt;"&amp;$A165))),""))</f>
        <v/>
      </c>
      <c r="L165" s="14">
        <f>IF(OR('Data Entry'!A165="",$K165=""),"",$H165-$K165)</f>
        <v/>
      </c>
      <c r="M165" s="15">
        <f>IF(OR('Data Entry'!A165="",$K165="",$K165=0),"",$L165/$K165)</f>
        <v/>
      </c>
      <c r="N165" s="12">
        <f>IF('Data Entry'!A165="","",IF($L165="","New item",IF($L165&gt;0,"UP",IF($L165&lt;0,"down","same"))))</f>
        <v/>
      </c>
    </row>
    <row r="166">
      <c r="A166" s="11">
        <f>IF('Data Entry'!A166="","",'Data Entry'!A166)</f>
        <v/>
      </c>
      <c r="B166" s="12">
        <f>IF('Data Entry'!A166="","",'Data Entry'!B166)</f>
        <v/>
      </c>
      <c r="C166" s="12">
        <f>IF('Data Entry'!A166="","",'Data Entry'!C166)</f>
        <v/>
      </c>
      <c r="D166" s="12">
        <f>IF('Data Entry'!A166="","",'Data Entry'!D166)</f>
        <v/>
      </c>
      <c r="E166" s="12">
        <f>IF('Data Entry'!A166="","",'Data Entry'!E166)</f>
        <v/>
      </c>
      <c r="F166" s="12">
        <f>IF('Data Entry'!A166="","",'Data Entry'!F166)</f>
        <v/>
      </c>
      <c r="G166" s="13">
        <f>IF('Data Entry'!A166="","",'Data Entry'!G166)</f>
        <v/>
      </c>
      <c r="H166" s="10">
        <f>IF('Data Entry'!A166="","",'Data Entry'!H166)</f>
        <v/>
      </c>
      <c r="I166" s="10">
        <f>IF('Data Entry'!A166="","",'Data Entry'!I166)</f>
        <v/>
      </c>
      <c r="J166" s="12">
        <f>IF('Data Entry'!A166="","",IF('Data Entry'!D166&lt;&gt;"",'Data Entry'!D166,'Data Entry'!E166))</f>
        <v/>
      </c>
      <c r="K166" s="10">
        <f>IF('Data Entry'!A166="","",IFERROR(SUMIFS($H$5:$H$2001,$J$5:$J$2001,$J166,$B$5:$B$2001,$B166,$A$5:$A$2001,(MAXIFS($A$5:$A$2001,$J$5:$J$2001,$J166,$B$5:$B$2001,$B166,$A$5:$A$2001,"&lt;"&amp;$A166))),""))</f>
        <v/>
      </c>
      <c r="L166" s="14">
        <f>IF(OR('Data Entry'!A166="",$K166=""),"",$H166-$K166)</f>
        <v/>
      </c>
      <c r="M166" s="15">
        <f>IF(OR('Data Entry'!A166="",$K166="",$K166=0),"",$L166/$K166)</f>
        <v/>
      </c>
      <c r="N166" s="12">
        <f>IF('Data Entry'!A166="","",IF($L166="","New item",IF($L166&gt;0,"UP",IF($L166&lt;0,"down","same"))))</f>
        <v/>
      </c>
    </row>
    <row r="167">
      <c r="A167" s="11">
        <f>IF('Data Entry'!A167="","",'Data Entry'!A167)</f>
        <v/>
      </c>
      <c r="B167" s="12">
        <f>IF('Data Entry'!A167="","",'Data Entry'!B167)</f>
        <v/>
      </c>
      <c r="C167" s="12">
        <f>IF('Data Entry'!A167="","",'Data Entry'!C167)</f>
        <v/>
      </c>
      <c r="D167" s="12">
        <f>IF('Data Entry'!A167="","",'Data Entry'!D167)</f>
        <v/>
      </c>
      <c r="E167" s="12">
        <f>IF('Data Entry'!A167="","",'Data Entry'!E167)</f>
        <v/>
      </c>
      <c r="F167" s="12">
        <f>IF('Data Entry'!A167="","",'Data Entry'!F167)</f>
        <v/>
      </c>
      <c r="G167" s="13">
        <f>IF('Data Entry'!A167="","",'Data Entry'!G167)</f>
        <v/>
      </c>
      <c r="H167" s="10">
        <f>IF('Data Entry'!A167="","",'Data Entry'!H167)</f>
        <v/>
      </c>
      <c r="I167" s="10">
        <f>IF('Data Entry'!A167="","",'Data Entry'!I167)</f>
        <v/>
      </c>
      <c r="J167" s="12">
        <f>IF('Data Entry'!A167="","",IF('Data Entry'!D167&lt;&gt;"",'Data Entry'!D167,'Data Entry'!E167))</f>
        <v/>
      </c>
      <c r="K167" s="10">
        <f>IF('Data Entry'!A167="","",IFERROR(SUMIFS($H$5:$H$2001,$J$5:$J$2001,$J167,$B$5:$B$2001,$B167,$A$5:$A$2001,(MAXIFS($A$5:$A$2001,$J$5:$J$2001,$J167,$B$5:$B$2001,$B167,$A$5:$A$2001,"&lt;"&amp;$A167))),""))</f>
        <v/>
      </c>
      <c r="L167" s="14">
        <f>IF(OR('Data Entry'!A167="",$K167=""),"",$H167-$K167)</f>
        <v/>
      </c>
      <c r="M167" s="15">
        <f>IF(OR('Data Entry'!A167="",$K167="",$K167=0),"",$L167/$K167)</f>
        <v/>
      </c>
      <c r="N167" s="12">
        <f>IF('Data Entry'!A167="","",IF($L167="","New item",IF($L167&gt;0,"UP",IF($L167&lt;0,"down","same"))))</f>
        <v/>
      </c>
    </row>
    <row r="168">
      <c r="A168" s="11">
        <f>IF('Data Entry'!A168="","",'Data Entry'!A168)</f>
        <v/>
      </c>
      <c r="B168" s="12">
        <f>IF('Data Entry'!A168="","",'Data Entry'!B168)</f>
        <v/>
      </c>
      <c r="C168" s="12">
        <f>IF('Data Entry'!A168="","",'Data Entry'!C168)</f>
        <v/>
      </c>
      <c r="D168" s="12">
        <f>IF('Data Entry'!A168="","",'Data Entry'!D168)</f>
        <v/>
      </c>
      <c r="E168" s="12">
        <f>IF('Data Entry'!A168="","",'Data Entry'!E168)</f>
        <v/>
      </c>
      <c r="F168" s="12">
        <f>IF('Data Entry'!A168="","",'Data Entry'!F168)</f>
        <v/>
      </c>
      <c r="G168" s="13">
        <f>IF('Data Entry'!A168="","",'Data Entry'!G168)</f>
        <v/>
      </c>
      <c r="H168" s="10">
        <f>IF('Data Entry'!A168="","",'Data Entry'!H168)</f>
        <v/>
      </c>
      <c r="I168" s="10">
        <f>IF('Data Entry'!A168="","",'Data Entry'!I168)</f>
        <v/>
      </c>
      <c r="J168" s="12">
        <f>IF('Data Entry'!A168="","",IF('Data Entry'!D168&lt;&gt;"",'Data Entry'!D168,'Data Entry'!E168))</f>
        <v/>
      </c>
      <c r="K168" s="10">
        <f>IF('Data Entry'!A168="","",IFERROR(SUMIFS($H$5:$H$2001,$J$5:$J$2001,$J168,$B$5:$B$2001,$B168,$A$5:$A$2001,(MAXIFS($A$5:$A$2001,$J$5:$J$2001,$J168,$B$5:$B$2001,$B168,$A$5:$A$2001,"&lt;"&amp;$A168))),""))</f>
        <v/>
      </c>
      <c r="L168" s="14">
        <f>IF(OR('Data Entry'!A168="",$K168=""),"",$H168-$K168)</f>
        <v/>
      </c>
      <c r="M168" s="15">
        <f>IF(OR('Data Entry'!A168="",$K168="",$K168=0),"",$L168/$K168)</f>
        <v/>
      </c>
      <c r="N168" s="12">
        <f>IF('Data Entry'!A168="","",IF($L168="","New item",IF($L168&gt;0,"UP",IF($L168&lt;0,"down","same"))))</f>
        <v/>
      </c>
    </row>
    <row r="169">
      <c r="A169" s="11">
        <f>IF('Data Entry'!A169="","",'Data Entry'!A169)</f>
        <v/>
      </c>
      <c r="B169" s="12">
        <f>IF('Data Entry'!A169="","",'Data Entry'!B169)</f>
        <v/>
      </c>
      <c r="C169" s="12">
        <f>IF('Data Entry'!A169="","",'Data Entry'!C169)</f>
        <v/>
      </c>
      <c r="D169" s="12">
        <f>IF('Data Entry'!A169="","",'Data Entry'!D169)</f>
        <v/>
      </c>
      <c r="E169" s="12">
        <f>IF('Data Entry'!A169="","",'Data Entry'!E169)</f>
        <v/>
      </c>
      <c r="F169" s="12">
        <f>IF('Data Entry'!A169="","",'Data Entry'!F169)</f>
        <v/>
      </c>
      <c r="G169" s="13">
        <f>IF('Data Entry'!A169="","",'Data Entry'!G169)</f>
        <v/>
      </c>
      <c r="H169" s="10">
        <f>IF('Data Entry'!A169="","",'Data Entry'!H169)</f>
        <v/>
      </c>
      <c r="I169" s="10">
        <f>IF('Data Entry'!A169="","",'Data Entry'!I169)</f>
        <v/>
      </c>
      <c r="J169" s="12">
        <f>IF('Data Entry'!A169="","",IF('Data Entry'!D169&lt;&gt;"",'Data Entry'!D169,'Data Entry'!E169))</f>
        <v/>
      </c>
      <c r="K169" s="10">
        <f>IF('Data Entry'!A169="","",IFERROR(SUMIFS($H$5:$H$2001,$J$5:$J$2001,$J169,$B$5:$B$2001,$B169,$A$5:$A$2001,(MAXIFS($A$5:$A$2001,$J$5:$J$2001,$J169,$B$5:$B$2001,$B169,$A$5:$A$2001,"&lt;"&amp;$A169))),""))</f>
        <v/>
      </c>
      <c r="L169" s="14">
        <f>IF(OR('Data Entry'!A169="",$K169=""),"",$H169-$K169)</f>
        <v/>
      </c>
      <c r="M169" s="15">
        <f>IF(OR('Data Entry'!A169="",$K169="",$K169=0),"",$L169/$K169)</f>
        <v/>
      </c>
      <c r="N169" s="12">
        <f>IF('Data Entry'!A169="","",IF($L169="","New item",IF($L169&gt;0,"UP",IF($L169&lt;0,"down","same"))))</f>
        <v/>
      </c>
    </row>
    <row r="170">
      <c r="A170" s="11">
        <f>IF('Data Entry'!A170="","",'Data Entry'!A170)</f>
        <v/>
      </c>
      <c r="B170" s="12">
        <f>IF('Data Entry'!A170="","",'Data Entry'!B170)</f>
        <v/>
      </c>
      <c r="C170" s="12">
        <f>IF('Data Entry'!A170="","",'Data Entry'!C170)</f>
        <v/>
      </c>
      <c r="D170" s="12">
        <f>IF('Data Entry'!A170="","",'Data Entry'!D170)</f>
        <v/>
      </c>
      <c r="E170" s="12">
        <f>IF('Data Entry'!A170="","",'Data Entry'!E170)</f>
        <v/>
      </c>
      <c r="F170" s="12">
        <f>IF('Data Entry'!A170="","",'Data Entry'!F170)</f>
        <v/>
      </c>
      <c r="G170" s="13">
        <f>IF('Data Entry'!A170="","",'Data Entry'!G170)</f>
        <v/>
      </c>
      <c r="H170" s="10">
        <f>IF('Data Entry'!A170="","",'Data Entry'!H170)</f>
        <v/>
      </c>
      <c r="I170" s="10">
        <f>IF('Data Entry'!A170="","",'Data Entry'!I170)</f>
        <v/>
      </c>
      <c r="J170" s="12">
        <f>IF('Data Entry'!A170="","",IF('Data Entry'!D170&lt;&gt;"",'Data Entry'!D170,'Data Entry'!E170))</f>
        <v/>
      </c>
      <c r="K170" s="10">
        <f>IF('Data Entry'!A170="","",IFERROR(SUMIFS($H$5:$H$2001,$J$5:$J$2001,$J170,$B$5:$B$2001,$B170,$A$5:$A$2001,(MAXIFS($A$5:$A$2001,$J$5:$J$2001,$J170,$B$5:$B$2001,$B170,$A$5:$A$2001,"&lt;"&amp;$A170))),""))</f>
        <v/>
      </c>
      <c r="L170" s="14">
        <f>IF(OR('Data Entry'!A170="",$K170=""),"",$H170-$K170)</f>
        <v/>
      </c>
      <c r="M170" s="15">
        <f>IF(OR('Data Entry'!A170="",$K170="",$K170=0),"",$L170/$K170)</f>
        <v/>
      </c>
      <c r="N170" s="12">
        <f>IF('Data Entry'!A170="","",IF($L170="","New item",IF($L170&gt;0,"UP",IF($L170&lt;0,"down","same"))))</f>
        <v/>
      </c>
    </row>
    <row r="171">
      <c r="A171" s="11">
        <f>IF('Data Entry'!A171="","",'Data Entry'!A171)</f>
        <v/>
      </c>
      <c r="B171" s="12">
        <f>IF('Data Entry'!A171="","",'Data Entry'!B171)</f>
        <v/>
      </c>
      <c r="C171" s="12">
        <f>IF('Data Entry'!A171="","",'Data Entry'!C171)</f>
        <v/>
      </c>
      <c r="D171" s="12">
        <f>IF('Data Entry'!A171="","",'Data Entry'!D171)</f>
        <v/>
      </c>
      <c r="E171" s="12">
        <f>IF('Data Entry'!A171="","",'Data Entry'!E171)</f>
        <v/>
      </c>
      <c r="F171" s="12">
        <f>IF('Data Entry'!A171="","",'Data Entry'!F171)</f>
        <v/>
      </c>
      <c r="G171" s="13">
        <f>IF('Data Entry'!A171="","",'Data Entry'!G171)</f>
        <v/>
      </c>
      <c r="H171" s="10">
        <f>IF('Data Entry'!A171="","",'Data Entry'!H171)</f>
        <v/>
      </c>
      <c r="I171" s="10">
        <f>IF('Data Entry'!A171="","",'Data Entry'!I171)</f>
        <v/>
      </c>
      <c r="J171" s="12">
        <f>IF('Data Entry'!A171="","",IF('Data Entry'!D171&lt;&gt;"",'Data Entry'!D171,'Data Entry'!E171))</f>
        <v/>
      </c>
      <c r="K171" s="10">
        <f>IF('Data Entry'!A171="","",IFERROR(SUMIFS($H$5:$H$2001,$J$5:$J$2001,$J171,$B$5:$B$2001,$B171,$A$5:$A$2001,(MAXIFS($A$5:$A$2001,$J$5:$J$2001,$J171,$B$5:$B$2001,$B171,$A$5:$A$2001,"&lt;"&amp;$A171))),""))</f>
        <v/>
      </c>
      <c r="L171" s="14">
        <f>IF(OR('Data Entry'!A171="",$K171=""),"",$H171-$K171)</f>
        <v/>
      </c>
      <c r="M171" s="15">
        <f>IF(OR('Data Entry'!A171="",$K171="",$K171=0),"",$L171/$K171)</f>
        <v/>
      </c>
      <c r="N171" s="12">
        <f>IF('Data Entry'!A171="","",IF($L171="","New item",IF($L171&gt;0,"UP",IF($L171&lt;0,"down","same"))))</f>
        <v/>
      </c>
    </row>
    <row r="172">
      <c r="A172" s="11">
        <f>IF('Data Entry'!A172="","",'Data Entry'!A172)</f>
        <v/>
      </c>
      <c r="B172" s="12">
        <f>IF('Data Entry'!A172="","",'Data Entry'!B172)</f>
        <v/>
      </c>
      <c r="C172" s="12">
        <f>IF('Data Entry'!A172="","",'Data Entry'!C172)</f>
        <v/>
      </c>
      <c r="D172" s="12">
        <f>IF('Data Entry'!A172="","",'Data Entry'!D172)</f>
        <v/>
      </c>
      <c r="E172" s="12">
        <f>IF('Data Entry'!A172="","",'Data Entry'!E172)</f>
        <v/>
      </c>
      <c r="F172" s="12">
        <f>IF('Data Entry'!A172="","",'Data Entry'!F172)</f>
        <v/>
      </c>
      <c r="G172" s="13">
        <f>IF('Data Entry'!A172="","",'Data Entry'!G172)</f>
        <v/>
      </c>
      <c r="H172" s="10">
        <f>IF('Data Entry'!A172="","",'Data Entry'!H172)</f>
        <v/>
      </c>
      <c r="I172" s="10">
        <f>IF('Data Entry'!A172="","",'Data Entry'!I172)</f>
        <v/>
      </c>
      <c r="J172" s="12">
        <f>IF('Data Entry'!A172="","",IF('Data Entry'!D172&lt;&gt;"",'Data Entry'!D172,'Data Entry'!E172))</f>
        <v/>
      </c>
      <c r="K172" s="10">
        <f>IF('Data Entry'!A172="","",IFERROR(SUMIFS($H$5:$H$2001,$J$5:$J$2001,$J172,$B$5:$B$2001,$B172,$A$5:$A$2001,(MAXIFS($A$5:$A$2001,$J$5:$J$2001,$J172,$B$5:$B$2001,$B172,$A$5:$A$2001,"&lt;"&amp;$A172))),""))</f>
        <v/>
      </c>
      <c r="L172" s="14">
        <f>IF(OR('Data Entry'!A172="",$K172=""),"",$H172-$K172)</f>
        <v/>
      </c>
      <c r="M172" s="15">
        <f>IF(OR('Data Entry'!A172="",$K172="",$K172=0),"",$L172/$K172)</f>
        <v/>
      </c>
      <c r="N172" s="12">
        <f>IF('Data Entry'!A172="","",IF($L172="","New item",IF($L172&gt;0,"UP",IF($L172&lt;0,"down","same"))))</f>
        <v/>
      </c>
    </row>
    <row r="173">
      <c r="A173" s="11">
        <f>IF('Data Entry'!A173="","",'Data Entry'!A173)</f>
        <v/>
      </c>
      <c r="B173" s="12">
        <f>IF('Data Entry'!A173="","",'Data Entry'!B173)</f>
        <v/>
      </c>
      <c r="C173" s="12">
        <f>IF('Data Entry'!A173="","",'Data Entry'!C173)</f>
        <v/>
      </c>
      <c r="D173" s="12">
        <f>IF('Data Entry'!A173="","",'Data Entry'!D173)</f>
        <v/>
      </c>
      <c r="E173" s="12">
        <f>IF('Data Entry'!A173="","",'Data Entry'!E173)</f>
        <v/>
      </c>
      <c r="F173" s="12">
        <f>IF('Data Entry'!A173="","",'Data Entry'!F173)</f>
        <v/>
      </c>
      <c r="G173" s="13">
        <f>IF('Data Entry'!A173="","",'Data Entry'!G173)</f>
        <v/>
      </c>
      <c r="H173" s="10">
        <f>IF('Data Entry'!A173="","",'Data Entry'!H173)</f>
        <v/>
      </c>
      <c r="I173" s="10">
        <f>IF('Data Entry'!A173="","",'Data Entry'!I173)</f>
        <v/>
      </c>
      <c r="J173" s="12">
        <f>IF('Data Entry'!A173="","",IF('Data Entry'!D173&lt;&gt;"",'Data Entry'!D173,'Data Entry'!E173))</f>
        <v/>
      </c>
      <c r="K173" s="10">
        <f>IF('Data Entry'!A173="","",IFERROR(SUMIFS($H$5:$H$2001,$J$5:$J$2001,$J173,$B$5:$B$2001,$B173,$A$5:$A$2001,(MAXIFS($A$5:$A$2001,$J$5:$J$2001,$J173,$B$5:$B$2001,$B173,$A$5:$A$2001,"&lt;"&amp;$A173))),""))</f>
        <v/>
      </c>
      <c r="L173" s="14">
        <f>IF(OR('Data Entry'!A173="",$K173=""),"",$H173-$K173)</f>
        <v/>
      </c>
      <c r="M173" s="15">
        <f>IF(OR('Data Entry'!A173="",$K173="",$K173=0),"",$L173/$K173)</f>
        <v/>
      </c>
      <c r="N173" s="12">
        <f>IF('Data Entry'!A173="","",IF($L173="","New item",IF($L173&gt;0,"UP",IF($L173&lt;0,"down","same"))))</f>
        <v/>
      </c>
    </row>
    <row r="174">
      <c r="A174" s="11">
        <f>IF('Data Entry'!A174="","",'Data Entry'!A174)</f>
        <v/>
      </c>
      <c r="B174" s="12">
        <f>IF('Data Entry'!A174="","",'Data Entry'!B174)</f>
        <v/>
      </c>
      <c r="C174" s="12">
        <f>IF('Data Entry'!A174="","",'Data Entry'!C174)</f>
        <v/>
      </c>
      <c r="D174" s="12">
        <f>IF('Data Entry'!A174="","",'Data Entry'!D174)</f>
        <v/>
      </c>
      <c r="E174" s="12">
        <f>IF('Data Entry'!A174="","",'Data Entry'!E174)</f>
        <v/>
      </c>
      <c r="F174" s="12">
        <f>IF('Data Entry'!A174="","",'Data Entry'!F174)</f>
        <v/>
      </c>
      <c r="G174" s="13">
        <f>IF('Data Entry'!A174="","",'Data Entry'!G174)</f>
        <v/>
      </c>
      <c r="H174" s="10">
        <f>IF('Data Entry'!A174="","",'Data Entry'!H174)</f>
        <v/>
      </c>
      <c r="I174" s="10">
        <f>IF('Data Entry'!A174="","",'Data Entry'!I174)</f>
        <v/>
      </c>
      <c r="J174" s="12">
        <f>IF('Data Entry'!A174="","",IF('Data Entry'!D174&lt;&gt;"",'Data Entry'!D174,'Data Entry'!E174))</f>
        <v/>
      </c>
      <c r="K174" s="10">
        <f>IF('Data Entry'!A174="","",IFERROR(SUMIFS($H$5:$H$2001,$J$5:$J$2001,$J174,$B$5:$B$2001,$B174,$A$5:$A$2001,(MAXIFS($A$5:$A$2001,$J$5:$J$2001,$J174,$B$5:$B$2001,$B174,$A$5:$A$2001,"&lt;"&amp;$A174))),""))</f>
        <v/>
      </c>
      <c r="L174" s="14">
        <f>IF(OR('Data Entry'!A174="",$K174=""),"",$H174-$K174)</f>
        <v/>
      </c>
      <c r="M174" s="15">
        <f>IF(OR('Data Entry'!A174="",$K174="",$K174=0),"",$L174/$K174)</f>
        <v/>
      </c>
      <c r="N174" s="12">
        <f>IF('Data Entry'!A174="","",IF($L174="","New item",IF($L174&gt;0,"UP",IF($L174&lt;0,"down","same"))))</f>
        <v/>
      </c>
    </row>
    <row r="175">
      <c r="A175" s="11">
        <f>IF('Data Entry'!A175="","",'Data Entry'!A175)</f>
        <v/>
      </c>
      <c r="B175" s="12">
        <f>IF('Data Entry'!A175="","",'Data Entry'!B175)</f>
        <v/>
      </c>
      <c r="C175" s="12">
        <f>IF('Data Entry'!A175="","",'Data Entry'!C175)</f>
        <v/>
      </c>
      <c r="D175" s="12">
        <f>IF('Data Entry'!A175="","",'Data Entry'!D175)</f>
        <v/>
      </c>
      <c r="E175" s="12">
        <f>IF('Data Entry'!A175="","",'Data Entry'!E175)</f>
        <v/>
      </c>
      <c r="F175" s="12">
        <f>IF('Data Entry'!A175="","",'Data Entry'!F175)</f>
        <v/>
      </c>
      <c r="G175" s="13">
        <f>IF('Data Entry'!A175="","",'Data Entry'!G175)</f>
        <v/>
      </c>
      <c r="H175" s="10">
        <f>IF('Data Entry'!A175="","",'Data Entry'!H175)</f>
        <v/>
      </c>
      <c r="I175" s="10">
        <f>IF('Data Entry'!A175="","",'Data Entry'!I175)</f>
        <v/>
      </c>
      <c r="J175" s="12">
        <f>IF('Data Entry'!A175="","",IF('Data Entry'!D175&lt;&gt;"",'Data Entry'!D175,'Data Entry'!E175))</f>
        <v/>
      </c>
      <c r="K175" s="10">
        <f>IF('Data Entry'!A175="","",IFERROR(SUMIFS($H$5:$H$2001,$J$5:$J$2001,$J175,$B$5:$B$2001,$B175,$A$5:$A$2001,(MAXIFS($A$5:$A$2001,$J$5:$J$2001,$J175,$B$5:$B$2001,$B175,$A$5:$A$2001,"&lt;"&amp;$A175))),""))</f>
        <v/>
      </c>
      <c r="L175" s="14">
        <f>IF(OR('Data Entry'!A175="",$K175=""),"",$H175-$K175)</f>
        <v/>
      </c>
      <c r="M175" s="15">
        <f>IF(OR('Data Entry'!A175="",$K175="",$K175=0),"",$L175/$K175)</f>
        <v/>
      </c>
      <c r="N175" s="12">
        <f>IF('Data Entry'!A175="","",IF($L175="","New item",IF($L175&gt;0,"UP",IF($L175&lt;0,"down","same"))))</f>
        <v/>
      </c>
    </row>
    <row r="176">
      <c r="A176" s="11">
        <f>IF('Data Entry'!A176="","",'Data Entry'!A176)</f>
        <v/>
      </c>
      <c r="B176" s="12">
        <f>IF('Data Entry'!A176="","",'Data Entry'!B176)</f>
        <v/>
      </c>
      <c r="C176" s="12">
        <f>IF('Data Entry'!A176="","",'Data Entry'!C176)</f>
        <v/>
      </c>
      <c r="D176" s="12">
        <f>IF('Data Entry'!A176="","",'Data Entry'!D176)</f>
        <v/>
      </c>
      <c r="E176" s="12">
        <f>IF('Data Entry'!A176="","",'Data Entry'!E176)</f>
        <v/>
      </c>
      <c r="F176" s="12">
        <f>IF('Data Entry'!A176="","",'Data Entry'!F176)</f>
        <v/>
      </c>
      <c r="G176" s="13">
        <f>IF('Data Entry'!A176="","",'Data Entry'!G176)</f>
        <v/>
      </c>
      <c r="H176" s="10">
        <f>IF('Data Entry'!A176="","",'Data Entry'!H176)</f>
        <v/>
      </c>
      <c r="I176" s="10">
        <f>IF('Data Entry'!A176="","",'Data Entry'!I176)</f>
        <v/>
      </c>
      <c r="J176" s="12">
        <f>IF('Data Entry'!A176="","",IF('Data Entry'!D176&lt;&gt;"",'Data Entry'!D176,'Data Entry'!E176))</f>
        <v/>
      </c>
      <c r="K176" s="10">
        <f>IF('Data Entry'!A176="","",IFERROR(SUMIFS($H$5:$H$2001,$J$5:$J$2001,$J176,$B$5:$B$2001,$B176,$A$5:$A$2001,(MAXIFS($A$5:$A$2001,$J$5:$J$2001,$J176,$B$5:$B$2001,$B176,$A$5:$A$2001,"&lt;"&amp;$A176))),""))</f>
        <v/>
      </c>
      <c r="L176" s="14">
        <f>IF(OR('Data Entry'!A176="",$K176=""),"",$H176-$K176)</f>
        <v/>
      </c>
      <c r="M176" s="15">
        <f>IF(OR('Data Entry'!A176="",$K176="",$K176=0),"",$L176/$K176)</f>
        <v/>
      </c>
      <c r="N176" s="12">
        <f>IF('Data Entry'!A176="","",IF($L176="","New item",IF($L176&gt;0,"UP",IF($L176&lt;0,"down","same"))))</f>
        <v/>
      </c>
    </row>
    <row r="177">
      <c r="A177" s="11">
        <f>IF('Data Entry'!A177="","",'Data Entry'!A177)</f>
        <v/>
      </c>
      <c r="B177" s="12">
        <f>IF('Data Entry'!A177="","",'Data Entry'!B177)</f>
        <v/>
      </c>
      <c r="C177" s="12">
        <f>IF('Data Entry'!A177="","",'Data Entry'!C177)</f>
        <v/>
      </c>
      <c r="D177" s="12">
        <f>IF('Data Entry'!A177="","",'Data Entry'!D177)</f>
        <v/>
      </c>
      <c r="E177" s="12">
        <f>IF('Data Entry'!A177="","",'Data Entry'!E177)</f>
        <v/>
      </c>
      <c r="F177" s="12">
        <f>IF('Data Entry'!A177="","",'Data Entry'!F177)</f>
        <v/>
      </c>
      <c r="G177" s="13">
        <f>IF('Data Entry'!A177="","",'Data Entry'!G177)</f>
        <v/>
      </c>
      <c r="H177" s="10">
        <f>IF('Data Entry'!A177="","",'Data Entry'!H177)</f>
        <v/>
      </c>
      <c r="I177" s="10">
        <f>IF('Data Entry'!A177="","",'Data Entry'!I177)</f>
        <v/>
      </c>
      <c r="J177" s="12">
        <f>IF('Data Entry'!A177="","",IF('Data Entry'!D177&lt;&gt;"",'Data Entry'!D177,'Data Entry'!E177))</f>
        <v/>
      </c>
      <c r="K177" s="10">
        <f>IF('Data Entry'!A177="","",IFERROR(SUMIFS($H$5:$H$2001,$J$5:$J$2001,$J177,$B$5:$B$2001,$B177,$A$5:$A$2001,(MAXIFS($A$5:$A$2001,$J$5:$J$2001,$J177,$B$5:$B$2001,$B177,$A$5:$A$2001,"&lt;"&amp;$A177))),""))</f>
        <v/>
      </c>
      <c r="L177" s="14">
        <f>IF(OR('Data Entry'!A177="",$K177=""),"",$H177-$K177)</f>
        <v/>
      </c>
      <c r="M177" s="15">
        <f>IF(OR('Data Entry'!A177="",$K177="",$K177=0),"",$L177/$K177)</f>
        <v/>
      </c>
      <c r="N177" s="12">
        <f>IF('Data Entry'!A177="","",IF($L177="","New item",IF($L177&gt;0,"UP",IF($L177&lt;0,"down","same"))))</f>
        <v/>
      </c>
    </row>
    <row r="178">
      <c r="A178" s="11">
        <f>IF('Data Entry'!A178="","",'Data Entry'!A178)</f>
        <v/>
      </c>
      <c r="B178" s="12">
        <f>IF('Data Entry'!A178="","",'Data Entry'!B178)</f>
        <v/>
      </c>
      <c r="C178" s="12">
        <f>IF('Data Entry'!A178="","",'Data Entry'!C178)</f>
        <v/>
      </c>
      <c r="D178" s="12">
        <f>IF('Data Entry'!A178="","",'Data Entry'!D178)</f>
        <v/>
      </c>
      <c r="E178" s="12">
        <f>IF('Data Entry'!A178="","",'Data Entry'!E178)</f>
        <v/>
      </c>
      <c r="F178" s="12">
        <f>IF('Data Entry'!A178="","",'Data Entry'!F178)</f>
        <v/>
      </c>
      <c r="G178" s="13">
        <f>IF('Data Entry'!A178="","",'Data Entry'!G178)</f>
        <v/>
      </c>
      <c r="H178" s="10">
        <f>IF('Data Entry'!A178="","",'Data Entry'!H178)</f>
        <v/>
      </c>
      <c r="I178" s="10">
        <f>IF('Data Entry'!A178="","",'Data Entry'!I178)</f>
        <v/>
      </c>
      <c r="J178" s="12">
        <f>IF('Data Entry'!A178="","",IF('Data Entry'!D178&lt;&gt;"",'Data Entry'!D178,'Data Entry'!E178))</f>
        <v/>
      </c>
      <c r="K178" s="10">
        <f>IF('Data Entry'!A178="","",IFERROR(SUMIFS($H$5:$H$2001,$J$5:$J$2001,$J178,$B$5:$B$2001,$B178,$A$5:$A$2001,(MAXIFS($A$5:$A$2001,$J$5:$J$2001,$J178,$B$5:$B$2001,$B178,$A$5:$A$2001,"&lt;"&amp;$A178))),""))</f>
        <v/>
      </c>
      <c r="L178" s="14">
        <f>IF(OR('Data Entry'!A178="",$K178=""),"",$H178-$K178)</f>
        <v/>
      </c>
      <c r="M178" s="15">
        <f>IF(OR('Data Entry'!A178="",$K178="",$K178=0),"",$L178/$K178)</f>
        <v/>
      </c>
      <c r="N178" s="12">
        <f>IF('Data Entry'!A178="","",IF($L178="","New item",IF($L178&gt;0,"UP",IF($L178&lt;0,"down","same"))))</f>
        <v/>
      </c>
    </row>
    <row r="179">
      <c r="A179" s="11">
        <f>IF('Data Entry'!A179="","",'Data Entry'!A179)</f>
        <v/>
      </c>
      <c r="B179" s="12">
        <f>IF('Data Entry'!A179="","",'Data Entry'!B179)</f>
        <v/>
      </c>
      <c r="C179" s="12">
        <f>IF('Data Entry'!A179="","",'Data Entry'!C179)</f>
        <v/>
      </c>
      <c r="D179" s="12">
        <f>IF('Data Entry'!A179="","",'Data Entry'!D179)</f>
        <v/>
      </c>
      <c r="E179" s="12">
        <f>IF('Data Entry'!A179="","",'Data Entry'!E179)</f>
        <v/>
      </c>
      <c r="F179" s="12">
        <f>IF('Data Entry'!A179="","",'Data Entry'!F179)</f>
        <v/>
      </c>
      <c r="G179" s="13">
        <f>IF('Data Entry'!A179="","",'Data Entry'!G179)</f>
        <v/>
      </c>
      <c r="H179" s="10">
        <f>IF('Data Entry'!A179="","",'Data Entry'!H179)</f>
        <v/>
      </c>
      <c r="I179" s="10">
        <f>IF('Data Entry'!A179="","",'Data Entry'!I179)</f>
        <v/>
      </c>
      <c r="J179" s="12">
        <f>IF('Data Entry'!A179="","",IF('Data Entry'!D179&lt;&gt;"",'Data Entry'!D179,'Data Entry'!E179))</f>
        <v/>
      </c>
      <c r="K179" s="10">
        <f>IF('Data Entry'!A179="","",IFERROR(SUMIFS($H$5:$H$2001,$J$5:$J$2001,$J179,$B$5:$B$2001,$B179,$A$5:$A$2001,(MAXIFS($A$5:$A$2001,$J$5:$J$2001,$J179,$B$5:$B$2001,$B179,$A$5:$A$2001,"&lt;"&amp;$A179))),""))</f>
        <v/>
      </c>
      <c r="L179" s="14">
        <f>IF(OR('Data Entry'!A179="",$K179=""),"",$H179-$K179)</f>
        <v/>
      </c>
      <c r="M179" s="15">
        <f>IF(OR('Data Entry'!A179="",$K179="",$K179=0),"",$L179/$K179)</f>
        <v/>
      </c>
      <c r="N179" s="12">
        <f>IF('Data Entry'!A179="","",IF($L179="","New item",IF($L179&gt;0,"UP",IF($L179&lt;0,"down","same"))))</f>
        <v/>
      </c>
    </row>
    <row r="180">
      <c r="A180" s="11">
        <f>IF('Data Entry'!A180="","",'Data Entry'!A180)</f>
        <v/>
      </c>
      <c r="B180" s="12">
        <f>IF('Data Entry'!A180="","",'Data Entry'!B180)</f>
        <v/>
      </c>
      <c r="C180" s="12">
        <f>IF('Data Entry'!A180="","",'Data Entry'!C180)</f>
        <v/>
      </c>
      <c r="D180" s="12">
        <f>IF('Data Entry'!A180="","",'Data Entry'!D180)</f>
        <v/>
      </c>
      <c r="E180" s="12">
        <f>IF('Data Entry'!A180="","",'Data Entry'!E180)</f>
        <v/>
      </c>
      <c r="F180" s="12">
        <f>IF('Data Entry'!A180="","",'Data Entry'!F180)</f>
        <v/>
      </c>
      <c r="G180" s="13">
        <f>IF('Data Entry'!A180="","",'Data Entry'!G180)</f>
        <v/>
      </c>
      <c r="H180" s="10">
        <f>IF('Data Entry'!A180="","",'Data Entry'!H180)</f>
        <v/>
      </c>
      <c r="I180" s="10">
        <f>IF('Data Entry'!A180="","",'Data Entry'!I180)</f>
        <v/>
      </c>
      <c r="J180" s="12">
        <f>IF('Data Entry'!A180="","",IF('Data Entry'!D180&lt;&gt;"",'Data Entry'!D180,'Data Entry'!E180))</f>
        <v/>
      </c>
      <c r="K180" s="10">
        <f>IF('Data Entry'!A180="","",IFERROR(SUMIFS($H$5:$H$2001,$J$5:$J$2001,$J180,$B$5:$B$2001,$B180,$A$5:$A$2001,(MAXIFS($A$5:$A$2001,$J$5:$J$2001,$J180,$B$5:$B$2001,$B180,$A$5:$A$2001,"&lt;"&amp;$A180))),""))</f>
        <v/>
      </c>
      <c r="L180" s="14">
        <f>IF(OR('Data Entry'!A180="",$K180=""),"",$H180-$K180)</f>
        <v/>
      </c>
      <c r="M180" s="15">
        <f>IF(OR('Data Entry'!A180="",$K180="",$K180=0),"",$L180/$K180)</f>
        <v/>
      </c>
      <c r="N180" s="12">
        <f>IF('Data Entry'!A180="","",IF($L180="","New item",IF($L180&gt;0,"UP",IF($L180&lt;0,"down","same"))))</f>
        <v/>
      </c>
    </row>
    <row r="181">
      <c r="A181" s="11">
        <f>IF('Data Entry'!A181="","",'Data Entry'!A181)</f>
        <v/>
      </c>
      <c r="B181" s="12">
        <f>IF('Data Entry'!A181="","",'Data Entry'!B181)</f>
        <v/>
      </c>
      <c r="C181" s="12">
        <f>IF('Data Entry'!A181="","",'Data Entry'!C181)</f>
        <v/>
      </c>
      <c r="D181" s="12">
        <f>IF('Data Entry'!A181="","",'Data Entry'!D181)</f>
        <v/>
      </c>
      <c r="E181" s="12">
        <f>IF('Data Entry'!A181="","",'Data Entry'!E181)</f>
        <v/>
      </c>
      <c r="F181" s="12">
        <f>IF('Data Entry'!A181="","",'Data Entry'!F181)</f>
        <v/>
      </c>
      <c r="G181" s="13">
        <f>IF('Data Entry'!A181="","",'Data Entry'!G181)</f>
        <v/>
      </c>
      <c r="H181" s="10">
        <f>IF('Data Entry'!A181="","",'Data Entry'!H181)</f>
        <v/>
      </c>
      <c r="I181" s="10">
        <f>IF('Data Entry'!A181="","",'Data Entry'!I181)</f>
        <v/>
      </c>
      <c r="J181" s="12">
        <f>IF('Data Entry'!A181="","",IF('Data Entry'!D181&lt;&gt;"",'Data Entry'!D181,'Data Entry'!E181))</f>
        <v/>
      </c>
      <c r="K181" s="10">
        <f>IF('Data Entry'!A181="","",IFERROR(SUMIFS($H$5:$H$2001,$J$5:$J$2001,$J181,$B$5:$B$2001,$B181,$A$5:$A$2001,(MAXIFS($A$5:$A$2001,$J$5:$J$2001,$J181,$B$5:$B$2001,$B181,$A$5:$A$2001,"&lt;"&amp;$A181))),""))</f>
        <v/>
      </c>
      <c r="L181" s="14">
        <f>IF(OR('Data Entry'!A181="",$K181=""),"",$H181-$K181)</f>
        <v/>
      </c>
      <c r="M181" s="15">
        <f>IF(OR('Data Entry'!A181="",$K181="",$K181=0),"",$L181/$K181)</f>
        <v/>
      </c>
      <c r="N181" s="12">
        <f>IF('Data Entry'!A181="","",IF($L181="","New item",IF($L181&gt;0,"UP",IF($L181&lt;0,"down","same"))))</f>
        <v/>
      </c>
    </row>
    <row r="182">
      <c r="A182" s="11">
        <f>IF('Data Entry'!A182="","",'Data Entry'!A182)</f>
        <v/>
      </c>
      <c r="B182" s="12">
        <f>IF('Data Entry'!A182="","",'Data Entry'!B182)</f>
        <v/>
      </c>
      <c r="C182" s="12">
        <f>IF('Data Entry'!A182="","",'Data Entry'!C182)</f>
        <v/>
      </c>
      <c r="D182" s="12">
        <f>IF('Data Entry'!A182="","",'Data Entry'!D182)</f>
        <v/>
      </c>
      <c r="E182" s="12">
        <f>IF('Data Entry'!A182="","",'Data Entry'!E182)</f>
        <v/>
      </c>
      <c r="F182" s="12">
        <f>IF('Data Entry'!A182="","",'Data Entry'!F182)</f>
        <v/>
      </c>
      <c r="G182" s="13">
        <f>IF('Data Entry'!A182="","",'Data Entry'!G182)</f>
        <v/>
      </c>
      <c r="H182" s="10">
        <f>IF('Data Entry'!A182="","",'Data Entry'!H182)</f>
        <v/>
      </c>
      <c r="I182" s="10">
        <f>IF('Data Entry'!A182="","",'Data Entry'!I182)</f>
        <v/>
      </c>
      <c r="J182" s="12">
        <f>IF('Data Entry'!A182="","",IF('Data Entry'!D182&lt;&gt;"",'Data Entry'!D182,'Data Entry'!E182))</f>
        <v/>
      </c>
      <c r="K182" s="10">
        <f>IF('Data Entry'!A182="","",IFERROR(SUMIFS($H$5:$H$2001,$J$5:$J$2001,$J182,$B$5:$B$2001,$B182,$A$5:$A$2001,(MAXIFS($A$5:$A$2001,$J$5:$J$2001,$J182,$B$5:$B$2001,$B182,$A$5:$A$2001,"&lt;"&amp;$A182))),""))</f>
        <v/>
      </c>
      <c r="L182" s="14">
        <f>IF(OR('Data Entry'!A182="",$K182=""),"",$H182-$K182)</f>
        <v/>
      </c>
      <c r="M182" s="15">
        <f>IF(OR('Data Entry'!A182="",$K182="",$K182=0),"",$L182/$K182)</f>
        <v/>
      </c>
      <c r="N182" s="12">
        <f>IF('Data Entry'!A182="","",IF($L182="","New item",IF($L182&gt;0,"UP",IF($L182&lt;0,"down","same"))))</f>
        <v/>
      </c>
    </row>
    <row r="183">
      <c r="A183" s="11">
        <f>IF('Data Entry'!A183="","",'Data Entry'!A183)</f>
        <v/>
      </c>
      <c r="B183" s="12">
        <f>IF('Data Entry'!A183="","",'Data Entry'!B183)</f>
        <v/>
      </c>
      <c r="C183" s="12">
        <f>IF('Data Entry'!A183="","",'Data Entry'!C183)</f>
        <v/>
      </c>
      <c r="D183" s="12">
        <f>IF('Data Entry'!A183="","",'Data Entry'!D183)</f>
        <v/>
      </c>
      <c r="E183" s="12">
        <f>IF('Data Entry'!A183="","",'Data Entry'!E183)</f>
        <v/>
      </c>
      <c r="F183" s="12">
        <f>IF('Data Entry'!A183="","",'Data Entry'!F183)</f>
        <v/>
      </c>
      <c r="G183" s="13">
        <f>IF('Data Entry'!A183="","",'Data Entry'!G183)</f>
        <v/>
      </c>
      <c r="H183" s="10">
        <f>IF('Data Entry'!A183="","",'Data Entry'!H183)</f>
        <v/>
      </c>
      <c r="I183" s="10">
        <f>IF('Data Entry'!A183="","",'Data Entry'!I183)</f>
        <v/>
      </c>
      <c r="J183" s="12">
        <f>IF('Data Entry'!A183="","",IF('Data Entry'!D183&lt;&gt;"",'Data Entry'!D183,'Data Entry'!E183))</f>
        <v/>
      </c>
      <c r="K183" s="10">
        <f>IF('Data Entry'!A183="","",IFERROR(SUMIFS($H$5:$H$2001,$J$5:$J$2001,$J183,$B$5:$B$2001,$B183,$A$5:$A$2001,(MAXIFS($A$5:$A$2001,$J$5:$J$2001,$J183,$B$5:$B$2001,$B183,$A$5:$A$2001,"&lt;"&amp;$A183))),""))</f>
        <v/>
      </c>
      <c r="L183" s="14">
        <f>IF(OR('Data Entry'!A183="",$K183=""),"",$H183-$K183)</f>
        <v/>
      </c>
      <c r="M183" s="15">
        <f>IF(OR('Data Entry'!A183="",$K183="",$K183=0),"",$L183/$K183)</f>
        <v/>
      </c>
      <c r="N183" s="12">
        <f>IF('Data Entry'!A183="","",IF($L183="","New item",IF($L183&gt;0,"UP",IF($L183&lt;0,"down","same"))))</f>
        <v/>
      </c>
    </row>
    <row r="184">
      <c r="A184" s="11">
        <f>IF('Data Entry'!A184="","",'Data Entry'!A184)</f>
        <v/>
      </c>
      <c r="B184" s="12">
        <f>IF('Data Entry'!A184="","",'Data Entry'!B184)</f>
        <v/>
      </c>
      <c r="C184" s="12">
        <f>IF('Data Entry'!A184="","",'Data Entry'!C184)</f>
        <v/>
      </c>
      <c r="D184" s="12">
        <f>IF('Data Entry'!A184="","",'Data Entry'!D184)</f>
        <v/>
      </c>
      <c r="E184" s="12">
        <f>IF('Data Entry'!A184="","",'Data Entry'!E184)</f>
        <v/>
      </c>
      <c r="F184" s="12">
        <f>IF('Data Entry'!A184="","",'Data Entry'!F184)</f>
        <v/>
      </c>
      <c r="G184" s="13">
        <f>IF('Data Entry'!A184="","",'Data Entry'!G184)</f>
        <v/>
      </c>
      <c r="H184" s="10">
        <f>IF('Data Entry'!A184="","",'Data Entry'!H184)</f>
        <v/>
      </c>
      <c r="I184" s="10">
        <f>IF('Data Entry'!A184="","",'Data Entry'!I184)</f>
        <v/>
      </c>
      <c r="J184" s="12">
        <f>IF('Data Entry'!A184="","",IF('Data Entry'!D184&lt;&gt;"",'Data Entry'!D184,'Data Entry'!E184))</f>
        <v/>
      </c>
      <c r="K184" s="10">
        <f>IF('Data Entry'!A184="","",IFERROR(SUMIFS($H$5:$H$2001,$J$5:$J$2001,$J184,$B$5:$B$2001,$B184,$A$5:$A$2001,(MAXIFS($A$5:$A$2001,$J$5:$J$2001,$J184,$B$5:$B$2001,$B184,$A$5:$A$2001,"&lt;"&amp;$A184))),""))</f>
        <v/>
      </c>
      <c r="L184" s="14">
        <f>IF(OR('Data Entry'!A184="",$K184=""),"",$H184-$K184)</f>
        <v/>
      </c>
      <c r="M184" s="15">
        <f>IF(OR('Data Entry'!A184="",$K184="",$K184=0),"",$L184/$K184)</f>
        <v/>
      </c>
      <c r="N184" s="12">
        <f>IF('Data Entry'!A184="","",IF($L184="","New item",IF($L184&gt;0,"UP",IF($L184&lt;0,"down","same"))))</f>
        <v/>
      </c>
    </row>
    <row r="185">
      <c r="A185" s="11">
        <f>IF('Data Entry'!A185="","",'Data Entry'!A185)</f>
        <v/>
      </c>
      <c r="B185" s="12">
        <f>IF('Data Entry'!A185="","",'Data Entry'!B185)</f>
        <v/>
      </c>
      <c r="C185" s="12">
        <f>IF('Data Entry'!A185="","",'Data Entry'!C185)</f>
        <v/>
      </c>
      <c r="D185" s="12">
        <f>IF('Data Entry'!A185="","",'Data Entry'!D185)</f>
        <v/>
      </c>
      <c r="E185" s="12">
        <f>IF('Data Entry'!A185="","",'Data Entry'!E185)</f>
        <v/>
      </c>
      <c r="F185" s="12">
        <f>IF('Data Entry'!A185="","",'Data Entry'!F185)</f>
        <v/>
      </c>
      <c r="G185" s="13">
        <f>IF('Data Entry'!A185="","",'Data Entry'!G185)</f>
        <v/>
      </c>
      <c r="H185" s="10">
        <f>IF('Data Entry'!A185="","",'Data Entry'!H185)</f>
        <v/>
      </c>
      <c r="I185" s="10">
        <f>IF('Data Entry'!A185="","",'Data Entry'!I185)</f>
        <v/>
      </c>
      <c r="J185" s="12">
        <f>IF('Data Entry'!A185="","",IF('Data Entry'!D185&lt;&gt;"",'Data Entry'!D185,'Data Entry'!E185))</f>
        <v/>
      </c>
      <c r="K185" s="10">
        <f>IF('Data Entry'!A185="","",IFERROR(SUMIFS($H$5:$H$2001,$J$5:$J$2001,$J185,$B$5:$B$2001,$B185,$A$5:$A$2001,(MAXIFS($A$5:$A$2001,$J$5:$J$2001,$J185,$B$5:$B$2001,$B185,$A$5:$A$2001,"&lt;"&amp;$A185))),""))</f>
        <v/>
      </c>
      <c r="L185" s="14">
        <f>IF(OR('Data Entry'!A185="",$K185=""),"",$H185-$K185)</f>
        <v/>
      </c>
      <c r="M185" s="15">
        <f>IF(OR('Data Entry'!A185="",$K185="",$K185=0),"",$L185/$K185)</f>
        <v/>
      </c>
      <c r="N185" s="12">
        <f>IF('Data Entry'!A185="","",IF($L185="","New item",IF($L185&gt;0,"UP",IF($L185&lt;0,"down","same"))))</f>
        <v/>
      </c>
    </row>
    <row r="186">
      <c r="A186" s="11">
        <f>IF('Data Entry'!A186="","",'Data Entry'!A186)</f>
        <v/>
      </c>
      <c r="B186" s="12">
        <f>IF('Data Entry'!A186="","",'Data Entry'!B186)</f>
        <v/>
      </c>
      <c r="C186" s="12">
        <f>IF('Data Entry'!A186="","",'Data Entry'!C186)</f>
        <v/>
      </c>
      <c r="D186" s="12">
        <f>IF('Data Entry'!A186="","",'Data Entry'!D186)</f>
        <v/>
      </c>
      <c r="E186" s="12">
        <f>IF('Data Entry'!A186="","",'Data Entry'!E186)</f>
        <v/>
      </c>
      <c r="F186" s="12">
        <f>IF('Data Entry'!A186="","",'Data Entry'!F186)</f>
        <v/>
      </c>
      <c r="G186" s="13">
        <f>IF('Data Entry'!A186="","",'Data Entry'!G186)</f>
        <v/>
      </c>
      <c r="H186" s="10">
        <f>IF('Data Entry'!A186="","",'Data Entry'!H186)</f>
        <v/>
      </c>
      <c r="I186" s="10">
        <f>IF('Data Entry'!A186="","",'Data Entry'!I186)</f>
        <v/>
      </c>
      <c r="J186" s="12">
        <f>IF('Data Entry'!A186="","",IF('Data Entry'!D186&lt;&gt;"",'Data Entry'!D186,'Data Entry'!E186))</f>
        <v/>
      </c>
      <c r="K186" s="10">
        <f>IF('Data Entry'!A186="","",IFERROR(SUMIFS($H$5:$H$2001,$J$5:$J$2001,$J186,$B$5:$B$2001,$B186,$A$5:$A$2001,(MAXIFS($A$5:$A$2001,$J$5:$J$2001,$J186,$B$5:$B$2001,$B186,$A$5:$A$2001,"&lt;"&amp;$A186))),""))</f>
        <v/>
      </c>
      <c r="L186" s="14">
        <f>IF(OR('Data Entry'!A186="",$K186=""),"",$H186-$K186)</f>
        <v/>
      </c>
      <c r="M186" s="15">
        <f>IF(OR('Data Entry'!A186="",$K186="",$K186=0),"",$L186/$K186)</f>
        <v/>
      </c>
      <c r="N186" s="12">
        <f>IF('Data Entry'!A186="","",IF($L186="","New item",IF($L186&gt;0,"UP",IF($L186&lt;0,"down","same"))))</f>
        <v/>
      </c>
    </row>
    <row r="187">
      <c r="A187" s="11">
        <f>IF('Data Entry'!A187="","",'Data Entry'!A187)</f>
        <v/>
      </c>
      <c r="B187" s="12">
        <f>IF('Data Entry'!A187="","",'Data Entry'!B187)</f>
        <v/>
      </c>
      <c r="C187" s="12">
        <f>IF('Data Entry'!A187="","",'Data Entry'!C187)</f>
        <v/>
      </c>
      <c r="D187" s="12">
        <f>IF('Data Entry'!A187="","",'Data Entry'!D187)</f>
        <v/>
      </c>
      <c r="E187" s="12">
        <f>IF('Data Entry'!A187="","",'Data Entry'!E187)</f>
        <v/>
      </c>
      <c r="F187" s="12">
        <f>IF('Data Entry'!A187="","",'Data Entry'!F187)</f>
        <v/>
      </c>
      <c r="G187" s="13">
        <f>IF('Data Entry'!A187="","",'Data Entry'!G187)</f>
        <v/>
      </c>
      <c r="H187" s="10">
        <f>IF('Data Entry'!A187="","",'Data Entry'!H187)</f>
        <v/>
      </c>
      <c r="I187" s="10">
        <f>IF('Data Entry'!A187="","",'Data Entry'!I187)</f>
        <v/>
      </c>
      <c r="J187" s="12">
        <f>IF('Data Entry'!A187="","",IF('Data Entry'!D187&lt;&gt;"",'Data Entry'!D187,'Data Entry'!E187))</f>
        <v/>
      </c>
      <c r="K187" s="10">
        <f>IF('Data Entry'!A187="","",IFERROR(SUMIFS($H$5:$H$2001,$J$5:$J$2001,$J187,$B$5:$B$2001,$B187,$A$5:$A$2001,(MAXIFS($A$5:$A$2001,$J$5:$J$2001,$J187,$B$5:$B$2001,$B187,$A$5:$A$2001,"&lt;"&amp;$A187))),""))</f>
        <v/>
      </c>
      <c r="L187" s="14">
        <f>IF(OR('Data Entry'!A187="",$K187=""),"",$H187-$K187)</f>
        <v/>
      </c>
      <c r="M187" s="15">
        <f>IF(OR('Data Entry'!A187="",$K187="",$K187=0),"",$L187/$K187)</f>
        <v/>
      </c>
      <c r="N187" s="12">
        <f>IF('Data Entry'!A187="","",IF($L187="","New item",IF($L187&gt;0,"UP",IF($L187&lt;0,"down","same"))))</f>
        <v/>
      </c>
    </row>
    <row r="188">
      <c r="A188" s="11">
        <f>IF('Data Entry'!A188="","",'Data Entry'!A188)</f>
        <v/>
      </c>
      <c r="B188" s="12">
        <f>IF('Data Entry'!A188="","",'Data Entry'!B188)</f>
        <v/>
      </c>
      <c r="C188" s="12">
        <f>IF('Data Entry'!A188="","",'Data Entry'!C188)</f>
        <v/>
      </c>
      <c r="D188" s="12">
        <f>IF('Data Entry'!A188="","",'Data Entry'!D188)</f>
        <v/>
      </c>
      <c r="E188" s="12">
        <f>IF('Data Entry'!A188="","",'Data Entry'!E188)</f>
        <v/>
      </c>
      <c r="F188" s="12">
        <f>IF('Data Entry'!A188="","",'Data Entry'!F188)</f>
        <v/>
      </c>
      <c r="G188" s="13">
        <f>IF('Data Entry'!A188="","",'Data Entry'!G188)</f>
        <v/>
      </c>
      <c r="H188" s="10">
        <f>IF('Data Entry'!A188="","",'Data Entry'!H188)</f>
        <v/>
      </c>
      <c r="I188" s="10">
        <f>IF('Data Entry'!A188="","",'Data Entry'!I188)</f>
        <v/>
      </c>
      <c r="J188" s="12">
        <f>IF('Data Entry'!A188="","",IF('Data Entry'!D188&lt;&gt;"",'Data Entry'!D188,'Data Entry'!E188))</f>
        <v/>
      </c>
      <c r="K188" s="10">
        <f>IF('Data Entry'!A188="","",IFERROR(SUMIFS($H$5:$H$2001,$J$5:$J$2001,$J188,$B$5:$B$2001,$B188,$A$5:$A$2001,(MAXIFS($A$5:$A$2001,$J$5:$J$2001,$J188,$B$5:$B$2001,$B188,$A$5:$A$2001,"&lt;"&amp;$A188))),""))</f>
        <v/>
      </c>
      <c r="L188" s="14">
        <f>IF(OR('Data Entry'!A188="",$K188=""),"",$H188-$K188)</f>
        <v/>
      </c>
      <c r="M188" s="15">
        <f>IF(OR('Data Entry'!A188="",$K188="",$K188=0),"",$L188/$K188)</f>
        <v/>
      </c>
      <c r="N188" s="12">
        <f>IF('Data Entry'!A188="","",IF($L188="","New item",IF($L188&gt;0,"UP",IF($L188&lt;0,"down","same"))))</f>
        <v/>
      </c>
    </row>
    <row r="189">
      <c r="A189" s="11">
        <f>IF('Data Entry'!A189="","",'Data Entry'!A189)</f>
        <v/>
      </c>
      <c r="B189" s="12">
        <f>IF('Data Entry'!A189="","",'Data Entry'!B189)</f>
        <v/>
      </c>
      <c r="C189" s="12">
        <f>IF('Data Entry'!A189="","",'Data Entry'!C189)</f>
        <v/>
      </c>
      <c r="D189" s="12">
        <f>IF('Data Entry'!A189="","",'Data Entry'!D189)</f>
        <v/>
      </c>
      <c r="E189" s="12">
        <f>IF('Data Entry'!A189="","",'Data Entry'!E189)</f>
        <v/>
      </c>
      <c r="F189" s="12">
        <f>IF('Data Entry'!A189="","",'Data Entry'!F189)</f>
        <v/>
      </c>
      <c r="G189" s="13">
        <f>IF('Data Entry'!A189="","",'Data Entry'!G189)</f>
        <v/>
      </c>
      <c r="H189" s="10">
        <f>IF('Data Entry'!A189="","",'Data Entry'!H189)</f>
        <v/>
      </c>
      <c r="I189" s="10">
        <f>IF('Data Entry'!A189="","",'Data Entry'!I189)</f>
        <v/>
      </c>
      <c r="J189" s="12">
        <f>IF('Data Entry'!A189="","",IF('Data Entry'!D189&lt;&gt;"",'Data Entry'!D189,'Data Entry'!E189))</f>
        <v/>
      </c>
      <c r="K189" s="10">
        <f>IF('Data Entry'!A189="","",IFERROR(SUMIFS($H$5:$H$2001,$J$5:$J$2001,$J189,$B$5:$B$2001,$B189,$A$5:$A$2001,(MAXIFS($A$5:$A$2001,$J$5:$J$2001,$J189,$B$5:$B$2001,$B189,$A$5:$A$2001,"&lt;"&amp;$A189))),""))</f>
        <v/>
      </c>
      <c r="L189" s="14">
        <f>IF(OR('Data Entry'!A189="",$K189=""),"",$H189-$K189)</f>
        <v/>
      </c>
      <c r="M189" s="15">
        <f>IF(OR('Data Entry'!A189="",$K189="",$K189=0),"",$L189/$K189)</f>
        <v/>
      </c>
      <c r="N189" s="12">
        <f>IF('Data Entry'!A189="","",IF($L189="","New item",IF($L189&gt;0,"UP",IF($L189&lt;0,"down","same"))))</f>
        <v/>
      </c>
    </row>
    <row r="190">
      <c r="A190" s="11">
        <f>IF('Data Entry'!A190="","",'Data Entry'!A190)</f>
        <v/>
      </c>
      <c r="B190" s="12">
        <f>IF('Data Entry'!A190="","",'Data Entry'!B190)</f>
        <v/>
      </c>
      <c r="C190" s="12">
        <f>IF('Data Entry'!A190="","",'Data Entry'!C190)</f>
        <v/>
      </c>
      <c r="D190" s="12">
        <f>IF('Data Entry'!A190="","",'Data Entry'!D190)</f>
        <v/>
      </c>
      <c r="E190" s="12">
        <f>IF('Data Entry'!A190="","",'Data Entry'!E190)</f>
        <v/>
      </c>
      <c r="F190" s="12">
        <f>IF('Data Entry'!A190="","",'Data Entry'!F190)</f>
        <v/>
      </c>
      <c r="G190" s="13">
        <f>IF('Data Entry'!A190="","",'Data Entry'!G190)</f>
        <v/>
      </c>
      <c r="H190" s="10">
        <f>IF('Data Entry'!A190="","",'Data Entry'!H190)</f>
        <v/>
      </c>
      <c r="I190" s="10">
        <f>IF('Data Entry'!A190="","",'Data Entry'!I190)</f>
        <v/>
      </c>
      <c r="J190" s="12">
        <f>IF('Data Entry'!A190="","",IF('Data Entry'!D190&lt;&gt;"",'Data Entry'!D190,'Data Entry'!E190))</f>
        <v/>
      </c>
      <c r="K190" s="10">
        <f>IF('Data Entry'!A190="","",IFERROR(SUMIFS($H$5:$H$2001,$J$5:$J$2001,$J190,$B$5:$B$2001,$B190,$A$5:$A$2001,(MAXIFS($A$5:$A$2001,$J$5:$J$2001,$J190,$B$5:$B$2001,$B190,$A$5:$A$2001,"&lt;"&amp;$A190))),""))</f>
        <v/>
      </c>
      <c r="L190" s="14">
        <f>IF(OR('Data Entry'!A190="",$K190=""),"",$H190-$K190)</f>
        <v/>
      </c>
      <c r="M190" s="15">
        <f>IF(OR('Data Entry'!A190="",$K190="",$K190=0),"",$L190/$K190)</f>
        <v/>
      </c>
      <c r="N190" s="12">
        <f>IF('Data Entry'!A190="","",IF($L190="","New item",IF($L190&gt;0,"UP",IF($L190&lt;0,"down","same"))))</f>
        <v/>
      </c>
    </row>
    <row r="191">
      <c r="A191" s="11">
        <f>IF('Data Entry'!A191="","",'Data Entry'!A191)</f>
        <v/>
      </c>
      <c r="B191" s="12">
        <f>IF('Data Entry'!A191="","",'Data Entry'!B191)</f>
        <v/>
      </c>
      <c r="C191" s="12">
        <f>IF('Data Entry'!A191="","",'Data Entry'!C191)</f>
        <v/>
      </c>
      <c r="D191" s="12">
        <f>IF('Data Entry'!A191="","",'Data Entry'!D191)</f>
        <v/>
      </c>
      <c r="E191" s="12">
        <f>IF('Data Entry'!A191="","",'Data Entry'!E191)</f>
        <v/>
      </c>
      <c r="F191" s="12">
        <f>IF('Data Entry'!A191="","",'Data Entry'!F191)</f>
        <v/>
      </c>
      <c r="G191" s="13">
        <f>IF('Data Entry'!A191="","",'Data Entry'!G191)</f>
        <v/>
      </c>
      <c r="H191" s="10">
        <f>IF('Data Entry'!A191="","",'Data Entry'!H191)</f>
        <v/>
      </c>
      <c r="I191" s="10">
        <f>IF('Data Entry'!A191="","",'Data Entry'!I191)</f>
        <v/>
      </c>
      <c r="J191" s="12">
        <f>IF('Data Entry'!A191="","",IF('Data Entry'!D191&lt;&gt;"",'Data Entry'!D191,'Data Entry'!E191))</f>
        <v/>
      </c>
      <c r="K191" s="10">
        <f>IF('Data Entry'!A191="","",IFERROR(SUMIFS($H$5:$H$2001,$J$5:$J$2001,$J191,$B$5:$B$2001,$B191,$A$5:$A$2001,(MAXIFS($A$5:$A$2001,$J$5:$J$2001,$J191,$B$5:$B$2001,$B191,$A$5:$A$2001,"&lt;"&amp;$A191))),""))</f>
        <v/>
      </c>
      <c r="L191" s="14">
        <f>IF(OR('Data Entry'!A191="",$K191=""),"",$H191-$K191)</f>
        <v/>
      </c>
      <c r="M191" s="15">
        <f>IF(OR('Data Entry'!A191="",$K191="",$K191=0),"",$L191/$K191)</f>
        <v/>
      </c>
      <c r="N191" s="12">
        <f>IF('Data Entry'!A191="","",IF($L191="","New item",IF($L191&gt;0,"UP",IF($L191&lt;0,"down","same"))))</f>
        <v/>
      </c>
    </row>
    <row r="192">
      <c r="A192" s="11">
        <f>IF('Data Entry'!A192="","",'Data Entry'!A192)</f>
        <v/>
      </c>
      <c r="B192" s="12">
        <f>IF('Data Entry'!A192="","",'Data Entry'!B192)</f>
        <v/>
      </c>
      <c r="C192" s="12">
        <f>IF('Data Entry'!A192="","",'Data Entry'!C192)</f>
        <v/>
      </c>
      <c r="D192" s="12">
        <f>IF('Data Entry'!A192="","",'Data Entry'!D192)</f>
        <v/>
      </c>
      <c r="E192" s="12">
        <f>IF('Data Entry'!A192="","",'Data Entry'!E192)</f>
        <v/>
      </c>
      <c r="F192" s="12">
        <f>IF('Data Entry'!A192="","",'Data Entry'!F192)</f>
        <v/>
      </c>
      <c r="G192" s="13">
        <f>IF('Data Entry'!A192="","",'Data Entry'!G192)</f>
        <v/>
      </c>
      <c r="H192" s="10">
        <f>IF('Data Entry'!A192="","",'Data Entry'!H192)</f>
        <v/>
      </c>
      <c r="I192" s="10">
        <f>IF('Data Entry'!A192="","",'Data Entry'!I192)</f>
        <v/>
      </c>
      <c r="J192" s="12">
        <f>IF('Data Entry'!A192="","",IF('Data Entry'!D192&lt;&gt;"",'Data Entry'!D192,'Data Entry'!E192))</f>
        <v/>
      </c>
      <c r="K192" s="10">
        <f>IF('Data Entry'!A192="","",IFERROR(SUMIFS($H$5:$H$2001,$J$5:$J$2001,$J192,$B$5:$B$2001,$B192,$A$5:$A$2001,(MAXIFS($A$5:$A$2001,$J$5:$J$2001,$J192,$B$5:$B$2001,$B192,$A$5:$A$2001,"&lt;"&amp;$A192))),""))</f>
        <v/>
      </c>
      <c r="L192" s="14">
        <f>IF(OR('Data Entry'!A192="",$K192=""),"",$H192-$K192)</f>
        <v/>
      </c>
      <c r="M192" s="15">
        <f>IF(OR('Data Entry'!A192="",$K192="",$K192=0),"",$L192/$K192)</f>
        <v/>
      </c>
      <c r="N192" s="12">
        <f>IF('Data Entry'!A192="","",IF($L192="","New item",IF($L192&gt;0,"UP",IF($L192&lt;0,"down","same"))))</f>
        <v/>
      </c>
    </row>
    <row r="193">
      <c r="A193" s="11">
        <f>IF('Data Entry'!A193="","",'Data Entry'!A193)</f>
        <v/>
      </c>
      <c r="B193" s="12">
        <f>IF('Data Entry'!A193="","",'Data Entry'!B193)</f>
        <v/>
      </c>
      <c r="C193" s="12">
        <f>IF('Data Entry'!A193="","",'Data Entry'!C193)</f>
        <v/>
      </c>
      <c r="D193" s="12">
        <f>IF('Data Entry'!A193="","",'Data Entry'!D193)</f>
        <v/>
      </c>
      <c r="E193" s="12">
        <f>IF('Data Entry'!A193="","",'Data Entry'!E193)</f>
        <v/>
      </c>
      <c r="F193" s="12">
        <f>IF('Data Entry'!A193="","",'Data Entry'!F193)</f>
        <v/>
      </c>
      <c r="G193" s="13">
        <f>IF('Data Entry'!A193="","",'Data Entry'!G193)</f>
        <v/>
      </c>
      <c r="H193" s="10">
        <f>IF('Data Entry'!A193="","",'Data Entry'!H193)</f>
        <v/>
      </c>
      <c r="I193" s="10">
        <f>IF('Data Entry'!A193="","",'Data Entry'!I193)</f>
        <v/>
      </c>
      <c r="J193" s="12">
        <f>IF('Data Entry'!A193="","",IF('Data Entry'!D193&lt;&gt;"",'Data Entry'!D193,'Data Entry'!E193))</f>
        <v/>
      </c>
      <c r="K193" s="10">
        <f>IF('Data Entry'!A193="","",IFERROR(SUMIFS($H$5:$H$2001,$J$5:$J$2001,$J193,$B$5:$B$2001,$B193,$A$5:$A$2001,(MAXIFS($A$5:$A$2001,$J$5:$J$2001,$J193,$B$5:$B$2001,$B193,$A$5:$A$2001,"&lt;"&amp;$A193))),""))</f>
        <v/>
      </c>
      <c r="L193" s="14">
        <f>IF(OR('Data Entry'!A193="",$K193=""),"",$H193-$K193)</f>
        <v/>
      </c>
      <c r="M193" s="15">
        <f>IF(OR('Data Entry'!A193="",$K193="",$K193=0),"",$L193/$K193)</f>
        <v/>
      </c>
      <c r="N193" s="12">
        <f>IF('Data Entry'!A193="","",IF($L193="","New item",IF($L193&gt;0,"UP",IF($L193&lt;0,"down","same"))))</f>
        <v/>
      </c>
    </row>
    <row r="194">
      <c r="A194" s="11">
        <f>IF('Data Entry'!A194="","",'Data Entry'!A194)</f>
        <v/>
      </c>
      <c r="B194" s="12">
        <f>IF('Data Entry'!A194="","",'Data Entry'!B194)</f>
        <v/>
      </c>
      <c r="C194" s="12">
        <f>IF('Data Entry'!A194="","",'Data Entry'!C194)</f>
        <v/>
      </c>
      <c r="D194" s="12">
        <f>IF('Data Entry'!A194="","",'Data Entry'!D194)</f>
        <v/>
      </c>
      <c r="E194" s="12">
        <f>IF('Data Entry'!A194="","",'Data Entry'!E194)</f>
        <v/>
      </c>
      <c r="F194" s="12">
        <f>IF('Data Entry'!A194="","",'Data Entry'!F194)</f>
        <v/>
      </c>
      <c r="G194" s="13">
        <f>IF('Data Entry'!A194="","",'Data Entry'!G194)</f>
        <v/>
      </c>
      <c r="H194" s="10">
        <f>IF('Data Entry'!A194="","",'Data Entry'!H194)</f>
        <v/>
      </c>
      <c r="I194" s="10">
        <f>IF('Data Entry'!A194="","",'Data Entry'!I194)</f>
        <v/>
      </c>
      <c r="J194" s="12">
        <f>IF('Data Entry'!A194="","",IF('Data Entry'!D194&lt;&gt;"",'Data Entry'!D194,'Data Entry'!E194))</f>
        <v/>
      </c>
      <c r="K194" s="10">
        <f>IF('Data Entry'!A194="","",IFERROR(SUMIFS($H$5:$H$2001,$J$5:$J$2001,$J194,$B$5:$B$2001,$B194,$A$5:$A$2001,(MAXIFS($A$5:$A$2001,$J$5:$J$2001,$J194,$B$5:$B$2001,$B194,$A$5:$A$2001,"&lt;"&amp;$A194))),""))</f>
        <v/>
      </c>
      <c r="L194" s="14">
        <f>IF(OR('Data Entry'!A194="",$K194=""),"",$H194-$K194)</f>
        <v/>
      </c>
      <c r="M194" s="15">
        <f>IF(OR('Data Entry'!A194="",$K194="",$K194=0),"",$L194/$K194)</f>
        <v/>
      </c>
      <c r="N194" s="12">
        <f>IF('Data Entry'!A194="","",IF($L194="","New item",IF($L194&gt;0,"UP",IF($L194&lt;0,"down","same"))))</f>
        <v/>
      </c>
    </row>
    <row r="195">
      <c r="A195" s="11">
        <f>IF('Data Entry'!A195="","",'Data Entry'!A195)</f>
        <v/>
      </c>
      <c r="B195" s="12">
        <f>IF('Data Entry'!A195="","",'Data Entry'!B195)</f>
        <v/>
      </c>
      <c r="C195" s="12">
        <f>IF('Data Entry'!A195="","",'Data Entry'!C195)</f>
        <v/>
      </c>
      <c r="D195" s="12">
        <f>IF('Data Entry'!A195="","",'Data Entry'!D195)</f>
        <v/>
      </c>
      <c r="E195" s="12">
        <f>IF('Data Entry'!A195="","",'Data Entry'!E195)</f>
        <v/>
      </c>
      <c r="F195" s="12">
        <f>IF('Data Entry'!A195="","",'Data Entry'!F195)</f>
        <v/>
      </c>
      <c r="G195" s="13">
        <f>IF('Data Entry'!A195="","",'Data Entry'!G195)</f>
        <v/>
      </c>
      <c r="H195" s="10">
        <f>IF('Data Entry'!A195="","",'Data Entry'!H195)</f>
        <v/>
      </c>
      <c r="I195" s="10">
        <f>IF('Data Entry'!A195="","",'Data Entry'!I195)</f>
        <v/>
      </c>
      <c r="J195" s="12">
        <f>IF('Data Entry'!A195="","",IF('Data Entry'!D195&lt;&gt;"",'Data Entry'!D195,'Data Entry'!E195))</f>
        <v/>
      </c>
      <c r="K195" s="10">
        <f>IF('Data Entry'!A195="","",IFERROR(SUMIFS($H$5:$H$2001,$J$5:$J$2001,$J195,$B$5:$B$2001,$B195,$A$5:$A$2001,(MAXIFS($A$5:$A$2001,$J$5:$J$2001,$J195,$B$5:$B$2001,$B195,$A$5:$A$2001,"&lt;"&amp;$A195))),""))</f>
        <v/>
      </c>
      <c r="L195" s="14">
        <f>IF(OR('Data Entry'!A195="",$K195=""),"",$H195-$K195)</f>
        <v/>
      </c>
      <c r="M195" s="15">
        <f>IF(OR('Data Entry'!A195="",$K195="",$K195=0),"",$L195/$K195)</f>
        <v/>
      </c>
      <c r="N195" s="12">
        <f>IF('Data Entry'!A195="","",IF($L195="","New item",IF($L195&gt;0,"UP",IF($L195&lt;0,"down","same"))))</f>
        <v/>
      </c>
    </row>
    <row r="196">
      <c r="A196" s="11">
        <f>IF('Data Entry'!A196="","",'Data Entry'!A196)</f>
        <v/>
      </c>
      <c r="B196" s="12">
        <f>IF('Data Entry'!A196="","",'Data Entry'!B196)</f>
        <v/>
      </c>
      <c r="C196" s="12">
        <f>IF('Data Entry'!A196="","",'Data Entry'!C196)</f>
        <v/>
      </c>
      <c r="D196" s="12">
        <f>IF('Data Entry'!A196="","",'Data Entry'!D196)</f>
        <v/>
      </c>
      <c r="E196" s="12">
        <f>IF('Data Entry'!A196="","",'Data Entry'!E196)</f>
        <v/>
      </c>
      <c r="F196" s="12">
        <f>IF('Data Entry'!A196="","",'Data Entry'!F196)</f>
        <v/>
      </c>
      <c r="G196" s="13">
        <f>IF('Data Entry'!A196="","",'Data Entry'!G196)</f>
        <v/>
      </c>
      <c r="H196" s="10">
        <f>IF('Data Entry'!A196="","",'Data Entry'!H196)</f>
        <v/>
      </c>
      <c r="I196" s="10">
        <f>IF('Data Entry'!A196="","",'Data Entry'!I196)</f>
        <v/>
      </c>
      <c r="J196" s="12">
        <f>IF('Data Entry'!A196="","",IF('Data Entry'!D196&lt;&gt;"",'Data Entry'!D196,'Data Entry'!E196))</f>
        <v/>
      </c>
      <c r="K196" s="10">
        <f>IF('Data Entry'!A196="","",IFERROR(SUMIFS($H$5:$H$2001,$J$5:$J$2001,$J196,$B$5:$B$2001,$B196,$A$5:$A$2001,(MAXIFS($A$5:$A$2001,$J$5:$J$2001,$J196,$B$5:$B$2001,$B196,$A$5:$A$2001,"&lt;"&amp;$A196))),""))</f>
        <v/>
      </c>
      <c r="L196" s="14">
        <f>IF(OR('Data Entry'!A196="",$K196=""),"",$H196-$K196)</f>
        <v/>
      </c>
      <c r="M196" s="15">
        <f>IF(OR('Data Entry'!A196="",$K196="",$K196=0),"",$L196/$K196)</f>
        <v/>
      </c>
      <c r="N196" s="12">
        <f>IF('Data Entry'!A196="","",IF($L196="","New item",IF($L196&gt;0,"UP",IF($L196&lt;0,"down","same"))))</f>
        <v/>
      </c>
    </row>
    <row r="197">
      <c r="A197" s="11">
        <f>IF('Data Entry'!A197="","",'Data Entry'!A197)</f>
        <v/>
      </c>
      <c r="B197" s="12">
        <f>IF('Data Entry'!A197="","",'Data Entry'!B197)</f>
        <v/>
      </c>
      <c r="C197" s="12">
        <f>IF('Data Entry'!A197="","",'Data Entry'!C197)</f>
        <v/>
      </c>
      <c r="D197" s="12">
        <f>IF('Data Entry'!A197="","",'Data Entry'!D197)</f>
        <v/>
      </c>
      <c r="E197" s="12">
        <f>IF('Data Entry'!A197="","",'Data Entry'!E197)</f>
        <v/>
      </c>
      <c r="F197" s="12">
        <f>IF('Data Entry'!A197="","",'Data Entry'!F197)</f>
        <v/>
      </c>
      <c r="G197" s="13">
        <f>IF('Data Entry'!A197="","",'Data Entry'!G197)</f>
        <v/>
      </c>
      <c r="H197" s="10">
        <f>IF('Data Entry'!A197="","",'Data Entry'!H197)</f>
        <v/>
      </c>
      <c r="I197" s="10">
        <f>IF('Data Entry'!A197="","",'Data Entry'!I197)</f>
        <v/>
      </c>
      <c r="J197" s="12">
        <f>IF('Data Entry'!A197="","",IF('Data Entry'!D197&lt;&gt;"",'Data Entry'!D197,'Data Entry'!E197))</f>
        <v/>
      </c>
      <c r="K197" s="10">
        <f>IF('Data Entry'!A197="","",IFERROR(SUMIFS($H$5:$H$2001,$J$5:$J$2001,$J197,$B$5:$B$2001,$B197,$A$5:$A$2001,(MAXIFS($A$5:$A$2001,$J$5:$J$2001,$J197,$B$5:$B$2001,$B197,$A$5:$A$2001,"&lt;"&amp;$A197))),""))</f>
        <v/>
      </c>
      <c r="L197" s="14">
        <f>IF(OR('Data Entry'!A197="",$K197=""),"",$H197-$K197)</f>
        <v/>
      </c>
      <c r="M197" s="15">
        <f>IF(OR('Data Entry'!A197="",$K197="",$K197=0),"",$L197/$K197)</f>
        <v/>
      </c>
      <c r="N197" s="12">
        <f>IF('Data Entry'!A197="","",IF($L197="","New item",IF($L197&gt;0,"UP",IF($L197&lt;0,"down","same"))))</f>
        <v/>
      </c>
    </row>
    <row r="198">
      <c r="A198" s="11">
        <f>IF('Data Entry'!A198="","",'Data Entry'!A198)</f>
        <v/>
      </c>
      <c r="B198" s="12">
        <f>IF('Data Entry'!A198="","",'Data Entry'!B198)</f>
        <v/>
      </c>
      <c r="C198" s="12">
        <f>IF('Data Entry'!A198="","",'Data Entry'!C198)</f>
        <v/>
      </c>
      <c r="D198" s="12">
        <f>IF('Data Entry'!A198="","",'Data Entry'!D198)</f>
        <v/>
      </c>
      <c r="E198" s="12">
        <f>IF('Data Entry'!A198="","",'Data Entry'!E198)</f>
        <v/>
      </c>
      <c r="F198" s="12">
        <f>IF('Data Entry'!A198="","",'Data Entry'!F198)</f>
        <v/>
      </c>
      <c r="G198" s="13">
        <f>IF('Data Entry'!A198="","",'Data Entry'!G198)</f>
        <v/>
      </c>
      <c r="H198" s="10">
        <f>IF('Data Entry'!A198="","",'Data Entry'!H198)</f>
        <v/>
      </c>
      <c r="I198" s="10">
        <f>IF('Data Entry'!A198="","",'Data Entry'!I198)</f>
        <v/>
      </c>
      <c r="J198" s="12">
        <f>IF('Data Entry'!A198="","",IF('Data Entry'!D198&lt;&gt;"",'Data Entry'!D198,'Data Entry'!E198))</f>
        <v/>
      </c>
      <c r="K198" s="10">
        <f>IF('Data Entry'!A198="","",IFERROR(SUMIFS($H$5:$H$2001,$J$5:$J$2001,$J198,$B$5:$B$2001,$B198,$A$5:$A$2001,(MAXIFS($A$5:$A$2001,$J$5:$J$2001,$J198,$B$5:$B$2001,$B198,$A$5:$A$2001,"&lt;"&amp;$A198))),""))</f>
        <v/>
      </c>
      <c r="L198" s="14">
        <f>IF(OR('Data Entry'!A198="",$K198=""),"",$H198-$K198)</f>
        <v/>
      </c>
      <c r="M198" s="15">
        <f>IF(OR('Data Entry'!A198="",$K198="",$K198=0),"",$L198/$K198)</f>
        <v/>
      </c>
      <c r="N198" s="12">
        <f>IF('Data Entry'!A198="","",IF($L198="","New item",IF($L198&gt;0,"UP",IF($L198&lt;0,"down","same"))))</f>
        <v/>
      </c>
    </row>
    <row r="199">
      <c r="A199" s="11">
        <f>IF('Data Entry'!A199="","",'Data Entry'!A199)</f>
        <v/>
      </c>
      <c r="B199" s="12">
        <f>IF('Data Entry'!A199="","",'Data Entry'!B199)</f>
        <v/>
      </c>
      <c r="C199" s="12">
        <f>IF('Data Entry'!A199="","",'Data Entry'!C199)</f>
        <v/>
      </c>
      <c r="D199" s="12">
        <f>IF('Data Entry'!A199="","",'Data Entry'!D199)</f>
        <v/>
      </c>
      <c r="E199" s="12">
        <f>IF('Data Entry'!A199="","",'Data Entry'!E199)</f>
        <v/>
      </c>
      <c r="F199" s="12">
        <f>IF('Data Entry'!A199="","",'Data Entry'!F199)</f>
        <v/>
      </c>
      <c r="G199" s="13">
        <f>IF('Data Entry'!A199="","",'Data Entry'!G199)</f>
        <v/>
      </c>
      <c r="H199" s="10">
        <f>IF('Data Entry'!A199="","",'Data Entry'!H199)</f>
        <v/>
      </c>
      <c r="I199" s="10">
        <f>IF('Data Entry'!A199="","",'Data Entry'!I199)</f>
        <v/>
      </c>
      <c r="J199" s="12">
        <f>IF('Data Entry'!A199="","",IF('Data Entry'!D199&lt;&gt;"",'Data Entry'!D199,'Data Entry'!E199))</f>
        <v/>
      </c>
      <c r="K199" s="10">
        <f>IF('Data Entry'!A199="","",IFERROR(SUMIFS($H$5:$H$2001,$J$5:$J$2001,$J199,$B$5:$B$2001,$B199,$A$5:$A$2001,(MAXIFS($A$5:$A$2001,$J$5:$J$2001,$J199,$B$5:$B$2001,$B199,$A$5:$A$2001,"&lt;"&amp;$A199))),""))</f>
        <v/>
      </c>
      <c r="L199" s="14">
        <f>IF(OR('Data Entry'!A199="",$K199=""),"",$H199-$K199)</f>
        <v/>
      </c>
      <c r="M199" s="15">
        <f>IF(OR('Data Entry'!A199="",$K199="",$K199=0),"",$L199/$K199)</f>
        <v/>
      </c>
      <c r="N199" s="12">
        <f>IF('Data Entry'!A199="","",IF($L199="","New item",IF($L199&gt;0,"UP",IF($L199&lt;0,"down","same"))))</f>
        <v/>
      </c>
    </row>
    <row r="200">
      <c r="A200" s="11">
        <f>IF('Data Entry'!A200="","",'Data Entry'!A200)</f>
        <v/>
      </c>
      <c r="B200" s="12">
        <f>IF('Data Entry'!A200="","",'Data Entry'!B200)</f>
        <v/>
      </c>
      <c r="C200" s="12">
        <f>IF('Data Entry'!A200="","",'Data Entry'!C200)</f>
        <v/>
      </c>
      <c r="D200" s="12">
        <f>IF('Data Entry'!A200="","",'Data Entry'!D200)</f>
        <v/>
      </c>
      <c r="E200" s="12">
        <f>IF('Data Entry'!A200="","",'Data Entry'!E200)</f>
        <v/>
      </c>
      <c r="F200" s="12">
        <f>IF('Data Entry'!A200="","",'Data Entry'!F200)</f>
        <v/>
      </c>
      <c r="G200" s="13">
        <f>IF('Data Entry'!A200="","",'Data Entry'!G200)</f>
        <v/>
      </c>
      <c r="H200" s="10">
        <f>IF('Data Entry'!A200="","",'Data Entry'!H200)</f>
        <v/>
      </c>
      <c r="I200" s="10">
        <f>IF('Data Entry'!A200="","",'Data Entry'!I200)</f>
        <v/>
      </c>
      <c r="J200" s="12">
        <f>IF('Data Entry'!A200="","",IF('Data Entry'!D200&lt;&gt;"",'Data Entry'!D200,'Data Entry'!E200))</f>
        <v/>
      </c>
      <c r="K200" s="10">
        <f>IF('Data Entry'!A200="","",IFERROR(SUMIFS($H$5:$H$2001,$J$5:$J$2001,$J200,$B$5:$B$2001,$B200,$A$5:$A$2001,(MAXIFS($A$5:$A$2001,$J$5:$J$2001,$J200,$B$5:$B$2001,$B200,$A$5:$A$2001,"&lt;"&amp;$A200))),""))</f>
        <v/>
      </c>
      <c r="L200" s="14">
        <f>IF(OR('Data Entry'!A200="",$K200=""),"",$H200-$K200)</f>
        <v/>
      </c>
      <c r="M200" s="15">
        <f>IF(OR('Data Entry'!A200="",$K200="",$K200=0),"",$L200/$K200)</f>
        <v/>
      </c>
      <c r="N200" s="12">
        <f>IF('Data Entry'!A200="","",IF($L200="","New item",IF($L200&gt;0,"UP",IF($L200&lt;0,"down","same"))))</f>
        <v/>
      </c>
    </row>
    <row r="201">
      <c r="A201" s="11">
        <f>IF('Data Entry'!A201="","",'Data Entry'!A201)</f>
        <v/>
      </c>
      <c r="B201" s="12">
        <f>IF('Data Entry'!A201="","",'Data Entry'!B201)</f>
        <v/>
      </c>
      <c r="C201" s="12">
        <f>IF('Data Entry'!A201="","",'Data Entry'!C201)</f>
        <v/>
      </c>
      <c r="D201" s="12">
        <f>IF('Data Entry'!A201="","",'Data Entry'!D201)</f>
        <v/>
      </c>
      <c r="E201" s="12">
        <f>IF('Data Entry'!A201="","",'Data Entry'!E201)</f>
        <v/>
      </c>
      <c r="F201" s="12">
        <f>IF('Data Entry'!A201="","",'Data Entry'!F201)</f>
        <v/>
      </c>
      <c r="G201" s="13">
        <f>IF('Data Entry'!A201="","",'Data Entry'!G201)</f>
        <v/>
      </c>
      <c r="H201" s="10">
        <f>IF('Data Entry'!A201="","",'Data Entry'!H201)</f>
        <v/>
      </c>
      <c r="I201" s="10">
        <f>IF('Data Entry'!A201="","",'Data Entry'!I201)</f>
        <v/>
      </c>
      <c r="J201" s="12">
        <f>IF('Data Entry'!A201="","",IF('Data Entry'!D201&lt;&gt;"",'Data Entry'!D201,'Data Entry'!E201))</f>
        <v/>
      </c>
      <c r="K201" s="10">
        <f>IF('Data Entry'!A201="","",IFERROR(SUMIFS($H$5:$H$2001,$J$5:$J$2001,$J201,$B$5:$B$2001,$B201,$A$5:$A$2001,(MAXIFS($A$5:$A$2001,$J$5:$J$2001,$J201,$B$5:$B$2001,$B201,$A$5:$A$2001,"&lt;"&amp;$A201))),""))</f>
        <v/>
      </c>
      <c r="L201" s="14">
        <f>IF(OR('Data Entry'!A201="",$K201=""),"",$H201-$K201)</f>
        <v/>
      </c>
      <c r="M201" s="15">
        <f>IF(OR('Data Entry'!A201="",$K201="",$K201=0),"",$L201/$K201)</f>
        <v/>
      </c>
      <c r="N201" s="12">
        <f>IF('Data Entry'!A201="","",IF($L201="","New item",IF($L201&gt;0,"UP",IF($L201&lt;0,"down","same"))))</f>
        <v/>
      </c>
    </row>
    <row r="202">
      <c r="A202" s="11">
        <f>IF('Data Entry'!A202="","",'Data Entry'!A202)</f>
        <v/>
      </c>
      <c r="B202" s="12">
        <f>IF('Data Entry'!A202="","",'Data Entry'!B202)</f>
        <v/>
      </c>
      <c r="C202" s="12">
        <f>IF('Data Entry'!A202="","",'Data Entry'!C202)</f>
        <v/>
      </c>
      <c r="D202" s="12">
        <f>IF('Data Entry'!A202="","",'Data Entry'!D202)</f>
        <v/>
      </c>
      <c r="E202" s="12">
        <f>IF('Data Entry'!A202="","",'Data Entry'!E202)</f>
        <v/>
      </c>
      <c r="F202" s="12">
        <f>IF('Data Entry'!A202="","",'Data Entry'!F202)</f>
        <v/>
      </c>
      <c r="G202" s="13">
        <f>IF('Data Entry'!A202="","",'Data Entry'!G202)</f>
        <v/>
      </c>
      <c r="H202" s="10">
        <f>IF('Data Entry'!A202="","",'Data Entry'!H202)</f>
        <v/>
      </c>
      <c r="I202" s="10">
        <f>IF('Data Entry'!A202="","",'Data Entry'!I202)</f>
        <v/>
      </c>
      <c r="J202" s="12">
        <f>IF('Data Entry'!A202="","",IF('Data Entry'!D202&lt;&gt;"",'Data Entry'!D202,'Data Entry'!E202))</f>
        <v/>
      </c>
      <c r="K202" s="10">
        <f>IF('Data Entry'!A202="","",IFERROR(SUMIFS($H$5:$H$2001,$J$5:$J$2001,$J202,$B$5:$B$2001,$B202,$A$5:$A$2001,(MAXIFS($A$5:$A$2001,$J$5:$J$2001,$J202,$B$5:$B$2001,$B202,$A$5:$A$2001,"&lt;"&amp;$A202))),""))</f>
        <v/>
      </c>
      <c r="L202" s="14">
        <f>IF(OR('Data Entry'!A202="",$K202=""),"",$H202-$K202)</f>
        <v/>
      </c>
      <c r="M202" s="15">
        <f>IF(OR('Data Entry'!A202="",$K202="",$K202=0),"",$L202/$K202)</f>
        <v/>
      </c>
      <c r="N202" s="12">
        <f>IF('Data Entry'!A202="","",IF($L202="","New item",IF($L202&gt;0,"UP",IF($L202&lt;0,"down","same"))))</f>
        <v/>
      </c>
    </row>
    <row r="203">
      <c r="A203" s="11">
        <f>IF('Data Entry'!A203="","",'Data Entry'!A203)</f>
        <v/>
      </c>
      <c r="B203" s="12">
        <f>IF('Data Entry'!A203="","",'Data Entry'!B203)</f>
        <v/>
      </c>
      <c r="C203" s="12">
        <f>IF('Data Entry'!A203="","",'Data Entry'!C203)</f>
        <v/>
      </c>
      <c r="D203" s="12">
        <f>IF('Data Entry'!A203="","",'Data Entry'!D203)</f>
        <v/>
      </c>
      <c r="E203" s="12">
        <f>IF('Data Entry'!A203="","",'Data Entry'!E203)</f>
        <v/>
      </c>
      <c r="F203" s="12">
        <f>IF('Data Entry'!A203="","",'Data Entry'!F203)</f>
        <v/>
      </c>
      <c r="G203" s="13">
        <f>IF('Data Entry'!A203="","",'Data Entry'!G203)</f>
        <v/>
      </c>
      <c r="H203" s="10">
        <f>IF('Data Entry'!A203="","",'Data Entry'!H203)</f>
        <v/>
      </c>
      <c r="I203" s="10">
        <f>IF('Data Entry'!A203="","",'Data Entry'!I203)</f>
        <v/>
      </c>
      <c r="J203" s="12">
        <f>IF('Data Entry'!A203="","",IF('Data Entry'!D203&lt;&gt;"",'Data Entry'!D203,'Data Entry'!E203))</f>
        <v/>
      </c>
      <c r="K203" s="10">
        <f>IF('Data Entry'!A203="","",IFERROR(SUMIFS($H$5:$H$2001,$J$5:$J$2001,$J203,$B$5:$B$2001,$B203,$A$5:$A$2001,(MAXIFS($A$5:$A$2001,$J$5:$J$2001,$J203,$B$5:$B$2001,$B203,$A$5:$A$2001,"&lt;"&amp;$A203))),""))</f>
        <v/>
      </c>
      <c r="L203" s="14">
        <f>IF(OR('Data Entry'!A203="",$K203=""),"",$H203-$K203)</f>
        <v/>
      </c>
      <c r="M203" s="15">
        <f>IF(OR('Data Entry'!A203="",$K203="",$K203=0),"",$L203/$K203)</f>
        <v/>
      </c>
      <c r="N203" s="12">
        <f>IF('Data Entry'!A203="","",IF($L203="","New item",IF($L203&gt;0,"UP",IF($L203&lt;0,"down","same"))))</f>
        <v/>
      </c>
    </row>
    <row r="204">
      <c r="A204" s="11">
        <f>IF('Data Entry'!A204="","",'Data Entry'!A204)</f>
        <v/>
      </c>
      <c r="B204" s="12">
        <f>IF('Data Entry'!A204="","",'Data Entry'!B204)</f>
        <v/>
      </c>
      <c r="C204" s="12">
        <f>IF('Data Entry'!A204="","",'Data Entry'!C204)</f>
        <v/>
      </c>
      <c r="D204" s="12">
        <f>IF('Data Entry'!A204="","",'Data Entry'!D204)</f>
        <v/>
      </c>
      <c r="E204" s="12">
        <f>IF('Data Entry'!A204="","",'Data Entry'!E204)</f>
        <v/>
      </c>
      <c r="F204" s="12">
        <f>IF('Data Entry'!A204="","",'Data Entry'!F204)</f>
        <v/>
      </c>
      <c r="G204" s="13">
        <f>IF('Data Entry'!A204="","",'Data Entry'!G204)</f>
        <v/>
      </c>
      <c r="H204" s="10">
        <f>IF('Data Entry'!A204="","",'Data Entry'!H204)</f>
        <v/>
      </c>
      <c r="I204" s="10">
        <f>IF('Data Entry'!A204="","",'Data Entry'!I204)</f>
        <v/>
      </c>
      <c r="J204" s="12">
        <f>IF('Data Entry'!A204="","",IF('Data Entry'!D204&lt;&gt;"",'Data Entry'!D204,'Data Entry'!E204))</f>
        <v/>
      </c>
      <c r="K204" s="10">
        <f>IF('Data Entry'!A204="","",IFERROR(SUMIFS($H$5:$H$2001,$J$5:$J$2001,$J204,$B$5:$B$2001,$B204,$A$5:$A$2001,(MAXIFS($A$5:$A$2001,$J$5:$J$2001,$J204,$B$5:$B$2001,$B204,$A$5:$A$2001,"&lt;"&amp;$A204))),""))</f>
        <v/>
      </c>
      <c r="L204" s="14">
        <f>IF(OR('Data Entry'!A204="",$K204=""),"",$H204-$K204)</f>
        <v/>
      </c>
      <c r="M204" s="15">
        <f>IF(OR('Data Entry'!A204="",$K204="",$K204=0),"",$L204/$K204)</f>
        <v/>
      </c>
      <c r="N204" s="12">
        <f>IF('Data Entry'!A204="","",IF($L204="","New item",IF($L204&gt;0,"UP",IF($L204&lt;0,"down","same"))))</f>
        <v/>
      </c>
    </row>
    <row r="205">
      <c r="A205" s="11">
        <f>IF('Data Entry'!A205="","",'Data Entry'!A205)</f>
        <v/>
      </c>
      <c r="B205" s="12">
        <f>IF('Data Entry'!A205="","",'Data Entry'!B205)</f>
        <v/>
      </c>
      <c r="C205" s="12">
        <f>IF('Data Entry'!A205="","",'Data Entry'!C205)</f>
        <v/>
      </c>
      <c r="D205" s="12">
        <f>IF('Data Entry'!A205="","",'Data Entry'!D205)</f>
        <v/>
      </c>
      <c r="E205" s="12">
        <f>IF('Data Entry'!A205="","",'Data Entry'!E205)</f>
        <v/>
      </c>
      <c r="F205" s="12">
        <f>IF('Data Entry'!A205="","",'Data Entry'!F205)</f>
        <v/>
      </c>
      <c r="G205" s="13">
        <f>IF('Data Entry'!A205="","",'Data Entry'!G205)</f>
        <v/>
      </c>
      <c r="H205" s="10">
        <f>IF('Data Entry'!A205="","",'Data Entry'!H205)</f>
        <v/>
      </c>
      <c r="I205" s="10">
        <f>IF('Data Entry'!A205="","",'Data Entry'!I205)</f>
        <v/>
      </c>
      <c r="J205" s="12">
        <f>IF('Data Entry'!A205="","",IF('Data Entry'!D205&lt;&gt;"",'Data Entry'!D205,'Data Entry'!E205))</f>
        <v/>
      </c>
      <c r="K205" s="10">
        <f>IF('Data Entry'!A205="","",IFERROR(SUMIFS($H$5:$H$2001,$J$5:$J$2001,$J205,$B$5:$B$2001,$B205,$A$5:$A$2001,(MAXIFS($A$5:$A$2001,$J$5:$J$2001,$J205,$B$5:$B$2001,$B205,$A$5:$A$2001,"&lt;"&amp;$A205))),""))</f>
        <v/>
      </c>
      <c r="L205" s="14">
        <f>IF(OR('Data Entry'!A205="",$K205=""),"",$H205-$K205)</f>
        <v/>
      </c>
      <c r="M205" s="15">
        <f>IF(OR('Data Entry'!A205="",$K205="",$K205=0),"",$L205/$K205)</f>
        <v/>
      </c>
      <c r="N205" s="12">
        <f>IF('Data Entry'!A205="","",IF($L205="","New item",IF($L205&gt;0,"UP",IF($L205&lt;0,"down","same"))))</f>
        <v/>
      </c>
    </row>
    <row r="206">
      <c r="A206" s="11">
        <f>IF('Data Entry'!A206="","",'Data Entry'!A206)</f>
        <v/>
      </c>
      <c r="B206" s="12">
        <f>IF('Data Entry'!A206="","",'Data Entry'!B206)</f>
        <v/>
      </c>
      <c r="C206" s="12">
        <f>IF('Data Entry'!A206="","",'Data Entry'!C206)</f>
        <v/>
      </c>
      <c r="D206" s="12">
        <f>IF('Data Entry'!A206="","",'Data Entry'!D206)</f>
        <v/>
      </c>
      <c r="E206" s="12">
        <f>IF('Data Entry'!A206="","",'Data Entry'!E206)</f>
        <v/>
      </c>
      <c r="F206" s="12">
        <f>IF('Data Entry'!A206="","",'Data Entry'!F206)</f>
        <v/>
      </c>
      <c r="G206" s="13">
        <f>IF('Data Entry'!A206="","",'Data Entry'!G206)</f>
        <v/>
      </c>
      <c r="H206" s="10">
        <f>IF('Data Entry'!A206="","",'Data Entry'!H206)</f>
        <v/>
      </c>
      <c r="I206" s="10">
        <f>IF('Data Entry'!A206="","",'Data Entry'!I206)</f>
        <v/>
      </c>
      <c r="J206" s="12">
        <f>IF('Data Entry'!A206="","",IF('Data Entry'!D206&lt;&gt;"",'Data Entry'!D206,'Data Entry'!E206))</f>
        <v/>
      </c>
      <c r="K206" s="10">
        <f>IF('Data Entry'!A206="","",IFERROR(SUMIFS($H$5:$H$2001,$J$5:$J$2001,$J206,$B$5:$B$2001,$B206,$A$5:$A$2001,(MAXIFS($A$5:$A$2001,$J$5:$J$2001,$J206,$B$5:$B$2001,$B206,$A$5:$A$2001,"&lt;"&amp;$A206))),""))</f>
        <v/>
      </c>
      <c r="L206" s="14">
        <f>IF(OR('Data Entry'!A206="",$K206=""),"",$H206-$K206)</f>
        <v/>
      </c>
      <c r="M206" s="15">
        <f>IF(OR('Data Entry'!A206="",$K206="",$K206=0),"",$L206/$K206)</f>
        <v/>
      </c>
      <c r="N206" s="12">
        <f>IF('Data Entry'!A206="","",IF($L206="","New item",IF($L206&gt;0,"UP",IF($L206&lt;0,"down","same"))))</f>
        <v/>
      </c>
    </row>
    <row r="207">
      <c r="A207" s="11">
        <f>IF('Data Entry'!A207="","",'Data Entry'!A207)</f>
        <v/>
      </c>
      <c r="B207" s="12">
        <f>IF('Data Entry'!A207="","",'Data Entry'!B207)</f>
        <v/>
      </c>
      <c r="C207" s="12">
        <f>IF('Data Entry'!A207="","",'Data Entry'!C207)</f>
        <v/>
      </c>
      <c r="D207" s="12">
        <f>IF('Data Entry'!A207="","",'Data Entry'!D207)</f>
        <v/>
      </c>
      <c r="E207" s="12">
        <f>IF('Data Entry'!A207="","",'Data Entry'!E207)</f>
        <v/>
      </c>
      <c r="F207" s="12">
        <f>IF('Data Entry'!A207="","",'Data Entry'!F207)</f>
        <v/>
      </c>
      <c r="G207" s="13">
        <f>IF('Data Entry'!A207="","",'Data Entry'!G207)</f>
        <v/>
      </c>
      <c r="H207" s="10">
        <f>IF('Data Entry'!A207="","",'Data Entry'!H207)</f>
        <v/>
      </c>
      <c r="I207" s="10">
        <f>IF('Data Entry'!A207="","",'Data Entry'!I207)</f>
        <v/>
      </c>
      <c r="J207" s="12">
        <f>IF('Data Entry'!A207="","",IF('Data Entry'!D207&lt;&gt;"",'Data Entry'!D207,'Data Entry'!E207))</f>
        <v/>
      </c>
      <c r="K207" s="10">
        <f>IF('Data Entry'!A207="","",IFERROR(SUMIFS($H$5:$H$2001,$J$5:$J$2001,$J207,$B$5:$B$2001,$B207,$A$5:$A$2001,(MAXIFS($A$5:$A$2001,$J$5:$J$2001,$J207,$B$5:$B$2001,$B207,$A$5:$A$2001,"&lt;"&amp;$A207))),""))</f>
        <v/>
      </c>
      <c r="L207" s="14">
        <f>IF(OR('Data Entry'!A207="",$K207=""),"",$H207-$K207)</f>
        <v/>
      </c>
      <c r="M207" s="15">
        <f>IF(OR('Data Entry'!A207="",$K207="",$K207=0),"",$L207/$K207)</f>
        <v/>
      </c>
      <c r="N207" s="12">
        <f>IF('Data Entry'!A207="","",IF($L207="","New item",IF($L207&gt;0,"UP",IF($L207&lt;0,"down","same"))))</f>
        <v/>
      </c>
    </row>
    <row r="208">
      <c r="A208" s="11">
        <f>IF('Data Entry'!A208="","",'Data Entry'!A208)</f>
        <v/>
      </c>
      <c r="B208" s="12">
        <f>IF('Data Entry'!A208="","",'Data Entry'!B208)</f>
        <v/>
      </c>
      <c r="C208" s="12">
        <f>IF('Data Entry'!A208="","",'Data Entry'!C208)</f>
        <v/>
      </c>
      <c r="D208" s="12">
        <f>IF('Data Entry'!A208="","",'Data Entry'!D208)</f>
        <v/>
      </c>
      <c r="E208" s="12">
        <f>IF('Data Entry'!A208="","",'Data Entry'!E208)</f>
        <v/>
      </c>
      <c r="F208" s="12">
        <f>IF('Data Entry'!A208="","",'Data Entry'!F208)</f>
        <v/>
      </c>
      <c r="G208" s="13">
        <f>IF('Data Entry'!A208="","",'Data Entry'!G208)</f>
        <v/>
      </c>
      <c r="H208" s="10">
        <f>IF('Data Entry'!A208="","",'Data Entry'!H208)</f>
        <v/>
      </c>
      <c r="I208" s="10">
        <f>IF('Data Entry'!A208="","",'Data Entry'!I208)</f>
        <v/>
      </c>
      <c r="J208" s="12">
        <f>IF('Data Entry'!A208="","",IF('Data Entry'!D208&lt;&gt;"",'Data Entry'!D208,'Data Entry'!E208))</f>
        <v/>
      </c>
      <c r="K208" s="10">
        <f>IF('Data Entry'!A208="","",IFERROR(SUMIFS($H$5:$H$2001,$J$5:$J$2001,$J208,$B$5:$B$2001,$B208,$A$5:$A$2001,(MAXIFS($A$5:$A$2001,$J$5:$J$2001,$J208,$B$5:$B$2001,$B208,$A$5:$A$2001,"&lt;"&amp;$A208))),""))</f>
        <v/>
      </c>
      <c r="L208" s="14">
        <f>IF(OR('Data Entry'!A208="",$K208=""),"",$H208-$K208)</f>
        <v/>
      </c>
      <c r="M208" s="15">
        <f>IF(OR('Data Entry'!A208="",$K208="",$K208=0),"",$L208/$K208)</f>
        <v/>
      </c>
      <c r="N208" s="12">
        <f>IF('Data Entry'!A208="","",IF($L208="","New item",IF($L208&gt;0,"UP",IF($L208&lt;0,"down","same"))))</f>
        <v/>
      </c>
    </row>
    <row r="209">
      <c r="A209" s="11">
        <f>IF('Data Entry'!A209="","",'Data Entry'!A209)</f>
        <v/>
      </c>
      <c r="B209" s="12">
        <f>IF('Data Entry'!A209="","",'Data Entry'!B209)</f>
        <v/>
      </c>
      <c r="C209" s="12">
        <f>IF('Data Entry'!A209="","",'Data Entry'!C209)</f>
        <v/>
      </c>
      <c r="D209" s="12">
        <f>IF('Data Entry'!A209="","",'Data Entry'!D209)</f>
        <v/>
      </c>
      <c r="E209" s="12">
        <f>IF('Data Entry'!A209="","",'Data Entry'!E209)</f>
        <v/>
      </c>
      <c r="F209" s="12">
        <f>IF('Data Entry'!A209="","",'Data Entry'!F209)</f>
        <v/>
      </c>
      <c r="G209" s="13">
        <f>IF('Data Entry'!A209="","",'Data Entry'!G209)</f>
        <v/>
      </c>
      <c r="H209" s="10">
        <f>IF('Data Entry'!A209="","",'Data Entry'!H209)</f>
        <v/>
      </c>
      <c r="I209" s="10">
        <f>IF('Data Entry'!A209="","",'Data Entry'!I209)</f>
        <v/>
      </c>
      <c r="J209" s="12">
        <f>IF('Data Entry'!A209="","",IF('Data Entry'!D209&lt;&gt;"",'Data Entry'!D209,'Data Entry'!E209))</f>
        <v/>
      </c>
      <c r="K209" s="10">
        <f>IF('Data Entry'!A209="","",IFERROR(SUMIFS($H$5:$H$2001,$J$5:$J$2001,$J209,$B$5:$B$2001,$B209,$A$5:$A$2001,(MAXIFS($A$5:$A$2001,$J$5:$J$2001,$J209,$B$5:$B$2001,$B209,$A$5:$A$2001,"&lt;"&amp;$A209))),""))</f>
        <v/>
      </c>
      <c r="L209" s="14">
        <f>IF(OR('Data Entry'!A209="",$K209=""),"",$H209-$K209)</f>
        <v/>
      </c>
      <c r="M209" s="15">
        <f>IF(OR('Data Entry'!A209="",$K209="",$K209=0),"",$L209/$K209)</f>
        <v/>
      </c>
      <c r="N209" s="12">
        <f>IF('Data Entry'!A209="","",IF($L209="","New item",IF($L209&gt;0,"UP",IF($L209&lt;0,"down","same"))))</f>
        <v/>
      </c>
    </row>
    <row r="210">
      <c r="A210" s="11">
        <f>IF('Data Entry'!A210="","",'Data Entry'!A210)</f>
        <v/>
      </c>
      <c r="B210" s="12">
        <f>IF('Data Entry'!A210="","",'Data Entry'!B210)</f>
        <v/>
      </c>
      <c r="C210" s="12">
        <f>IF('Data Entry'!A210="","",'Data Entry'!C210)</f>
        <v/>
      </c>
      <c r="D210" s="12">
        <f>IF('Data Entry'!A210="","",'Data Entry'!D210)</f>
        <v/>
      </c>
      <c r="E210" s="12">
        <f>IF('Data Entry'!A210="","",'Data Entry'!E210)</f>
        <v/>
      </c>
      <c r="F210" s="12">
        <f>IF('Data Entry'!A210="","",'Data Entry'!F210)</f>
        <v/>
      </c>
      <c r="G210" s="13">
        <f>IF('Data Entry'!A210="","",'Data Entry'!G210)</f>
        <v/>
      </c>
      <c r="H210" s="10">
        <f>IF('Data Entry'!A210="","",'Data Entry'!H210)</f>
        <v/>
      </c>
      <c r="I210" s="10">
        <f>IF('Data Entry'!A210="","",'Data Entry'!I210)</f>
        <v/>
      </c>
      <c r="J210" s="12">
        <f>IF('Data Entry'!A210="","",IF('Data Entry'!D210&lt;&gt;"",'Data Entry'!D210,'Data Entry'!E210))</f>
        <v/>
      </c>
      <c r="K210" s="10">
        <f>IF('Data Entry'!A210="","",IFERROR(SUMIFS($H$5:$H$2001,$J$5:$J$2001,$J210,$B$5:$B$2001,$B210,$A$5:$A$2001,(MAXIFS($A$5:$A$2001,$J$5:$J$2001,$J210,$B$5:$B$2001,$B210,$A$5:$A$2001,"&lt;"&amp;$A210))),""))</f>
        <v/>
      </c>
      <c r="L210" s="14">
        <f>IF(OR('Data Entry'!A210="",$K210=""),"",$H210-$K210)</f>
        <v/>
      </c>
      <c r="M210" s="15">
        <f>IF(OR('Data Entry'!A210="",$K210="",$K210=0),"",$L210/$K210)</f>
        <v/>
      </c>
      <c r="N210" s="12">
        <f>IF('Data Entry'!A210="","",IF($L210="","New item",IF($L210&gt;0,"UP",IF($L210&lt;0,"down","same"))))</f>
        <v/>
      </c>
    </row>
    <row r="211">
      <c r="A211" s="11">
        <f>IF('Data Entry'!A211="","",'Data Entry'!A211)</f>
        <v/>
      </c>
      <c r="B211" s="12">
        <f>IF('Data Entry'!A211="","",'Data Entry'!B211)</f>
        <v/>
      </c>
      <c r="C211" s="12">
        <f>IF('Data Entry'!A211="","",'Data Entry'!C211)</f>
        <v/>
      </c>
      <c r="D211" s="12">
        <f>IF('Data Entry'!A211="","",'Data Entry'!D211)</f>
        <v/>
      </c>
      <c r="E211" s="12">
        <f>IF('Data Entry'!A211="","",'Data Entry'!E211)</f>
        <v/>
      </c>
      <c r="F211" s="12">
        <f>IF('Data Entry'!A211="","",'Data Entry'!F211)</f>
        <v/>
      </c>
      <c r="G211" s="13">
        <f>IF('Data Entry'!A211="","",'Data Entry'!G211)</f>
        <v/>
      </c>
      <c r="H211" s="10">
        <f>IF('Data Entry'!A211="","",'Data Entry'!H211)</f>
        <v/>
      </c>
      <c r="I211" s="10">
        <f>IF('Data Entry'!A211="","",'Data Entry'!I211)</f>
        <v/>
      </c>
      <c r="J211" s="12">
        <f>IF('Data Entry'!A211="","",IF('Data Entry'!D211&lt;&gt;"",'Data Entry'!D211,'Data Entry'!E211))</f>
        <v/>
      </c>
      <c r="K211" s="10">
        <f>IF('Data Entry'!A211="","",IFERROR(SUMIFS($H$5:$H$2001,$J$5:$J$2001,$J211,$B$5:$B$2001,$B211,$A$5:$A$2001,(MAXIFS($A$5:$A$2001,$J$5:$J$2001,$J211,$B$5:$B$2001,$B211,$A$5:$A$2001,"&lt;"&amp;$A211))),""))</f>
        <v/>
      </c>
      <c r="L211" s="14">
        <f>IF(OR('Data Entry'!A211="",$K211=""),"",$H211-$K211)</f>
        <v/>
      </c>
      <c r="M211" s="15">
        <f>IF(OR('Data Entry'!A211="",$K211="",$K211=0),"",$L211/$K211)</f>
        <v/>
      </c>
      <c r="N211" s="12">
        <f>IF('Data Entry'!A211="","",IF($L211="","New item",IF($L211&gt;0,"UP",IF($L211&lt;0,"down","same"))))</f>
        <v/>
      </c>
    </row>
    <row r="212">
      <c r="A212" s="11">
        <f>IF('Data Entry'!A212="","",'Data Entry'!A212)</f>
        <v/>
      </c>
      <c r="B212" s="12">
        <f>IF('Data Entry'!A212="","",'Data Entry'!B212)</f>
        <v/>
      </c>
      <c r="C212" s="12">
        <f>IF('Data Entry'!A212="","",'Data Entry'!C212)</f>
        <v/>
      </c>
      <c r="D212" s="12">
        <f>IF('Data Entry'!A212="","",'Data Entry'!D212)</f>
        <v/>
      </c>
      <c r="E212" s="12">
        <f>IF('Data Entry'!A212="","",'Data Entry'!E212)</f>
        <v/>
      </c>
      <c r="F212" s="12">
        <f>IF('Data Entry'!A212="","",'Data Entry'!F212)</f>
        <v/>
      </c>
      <c r="G212" s="13">
        <f>IF('Data Entry'!A212="","",'Data Entry'!G212)</f>
        <v/>
      </c>
      <c r="H212" s="10">
        <f>IF('Data Entry'!A212="","",'Data Entry'!H212)</f>
        <v/>
      </c>
      <c r="I212" s="10">
        <f>IF('Data Entry'!A212="","",'Data Entry'!I212)</f>
        <v/>
      </c>
      <c r="J212" s="12">
        <f>IF('Data Entry'!A212="","",IF('Data Entry'!D212&lt;&gt;"",'Data Entry'!D212,'Data Entry'!E212))</f>
        <v/>
      </c>
      <c r="K212" s="10">
        <f>IF('Data Entry'!A212="","",IFERROR(SUMIFS($H$5:$H$2001,$J$5:$J$2001,$J212,$B$5:$B$2001,$B212,$A$5:$A$2001,(MAXIFS($A$5:$A$2001,$J$5:$J$2001,$J212,$B$5:$B$2001,$B212,$A$5:$A$2001,"&lt;"&amp;$A212))),""))</f>
        <v/>
      </c>
      <c r="L212" s="14">
        <f>IF(OR('Data Entry'!A212="",$K212=""),"",$H212-$K212)</f>
        <v/>
      </c>
      <c r="M212" s="15">
        <f>IF(OR('Data Entry'!A212="",$K212="",$K212=0),"",$L212/$K212)</f>
        <v/>
      </c>
      <c r="N212" s="12">
        <f>IF('Data Entry'!A212="","",IF($L212="","New item",IF($L212&gt;0,"UP",IF($L212&lt;0,"down","same"))))</f>
        <v/>
      </c>
    </row>
    <row r="213">
      <c r="A213" s="11">
        <f>IF('Data Entry'!A213="","",'Data Entry'!A213)</f>
        <v/>
      </c>
      <c r="B213" s="12">
        <f>IF('Data Entry'!A213="","",'Data Entry'!B213)</f>
        <v/>
      </c>
      <c r="C213" s="12">
        <f>IF('Data Entry'!A213="","",'Data Entry'!C213)</f>
        <v/>
      </c>
      <c r="D213" s="12">
        <f>IF('Data Entry'!A213="","",'Data Entry'!D213)</f>
        <v/>
      </c>
      <c r="E213" s="12">
        <f>IF('Data Entry'!A213="","",'Data Entry'!E213)</f>
        <v/>
      </c>
      <c r="F213" s="12">
        <f>IF('Data Entry'!A213="","",'Data Entry'!F213)</f>
        <v/>
      </c>
      <c r="G213" s="13">
        <f>IF('Data Entry'!A213="","",'Data Entry'!G213)</f>
        <v/>
      </c>
      <c r="H213" s="10">
        <f>IF('Data Entry'!A213="","",'Data Entry'!H213)</f>
        <v/>
      </c>
      <c r="I213" s="10">
        <f>IF('Data Entry'!A213="","",'Data Entry'!I213)</f>
        <v/>
      </c>
      <c r="J213" s="12">
        <f>IF('Data Entry'!A213="","",IF('Data Entry'!D213&lt;&gt;"",'Data Entry'!D213,'Data Entry'!E213))</f>
        <v/>
      </c>
      <c r="K213" s="10">
        <f>IF('Data Entry'!A213="","",IFERROR(SUMIFS($H$5:$H$2001,$J$5:$J$2001,$J213,$B$5:$B$2001,$B213,$A$5:$A$2001,(MAXIFS($A$5:$A$2001,$J$5:$J$2001,$J213,$B$5:$B$2001,$B213,$A$5:$A$2001,"&lt;"&amp;$A213))),""))</f>
        <v/>
      </c>
      <c r="L213" s="14">
        <f>IF(OR('Data Entry'!A213="",$K213=""),"",$H213-$K213)</f>
        <v/>
      </c>
      <c r="M213" s="15">
        <f>IF(OR('Data Entry'!A213="",$K213="",$K213=0),"",$L213/$K213)</f>
        <v/>
      </c>
      <c r="N213" s="12">
        <f>IF('Data Entry'!A213="","",IF($L213="","New item",IF($L213&gt;0,"UP",IF($L213&lt;0,"down","same"))))</f>
        <v/>
      </c>
    </row>
    <row r="214">
      <c r="A214" s="11">
        <f>IF('Data Entry'!A214="","",'Data Entry'!A214)</f>
        <v/>
      </c>
      <c r="B214" s="12">
        <f>IF('Data Entry'!A214="","",'Data Entry'!B214)</f>
        <v/>
      </c>
      <c r="C214" s="12">
        <f>IF('Data Entry'!A214="","",'Data Entry'!C214)</f>
        <v/>
      </c>
      <c r="D214" s="12">
        <f>IF('Data Entry'!A214="","",'Data Entry'!D214)</f>
        <v/>
      </c>
      <c r="E214" s="12">
        <f>IF('Data Entry'!A214="","",'Data Entry'!E214)</f>
        <v/>
      </c>
      <c r="F214" s="12">
        <f>IF('Data Entry'!A214="","",'Data Entry'!F214)</f>
        <v/>
      </c>
      <c r="G214" s="13">
        <f>IF('Data Entry'!A214="","",'Data Entry'!G214)</f>
        <v/>
      </c>
      <c r="H214" s="10">
        <f>IF('Data Entry'!A214="","",'Data Entry'!H214)</f>
        <v/>
      </c>
      <c r="I214" s="10">
        <f>IF('Data Entry'!A214="","",'Data Entry'!I214)</f>
        <v/>
      </c>
      <c r="J214" s="12">
        <f>IF('Data Entry'!A214="","",IF('Data Entry'!D214&lt;&gt;"",'Data Entry'!D214,'Data Entry'!E214))</f>
        <v/>
      </c>
      <c r="K214" s="10">
        <f>IF('Data Entry'!A214="","",IFERROR(SUMIFS($H$5:$H$2001,$J$5:$J$2001,$J214,$B$5:$B$2001,$B214,$A$5:$A$2001,(MAXIFS($A$5:$A$2001,$J$5:$J$2001,$J214,$B$5:$B$2001,$B214,$A$5:$A$2001,"&lt;"&amp;$A214))),""))</f>
        <v/>
      </c>
      <c r="L214" s="14">
        <f>IF(OR('Data Entry'!A214="",$K214=""),"",$H214-$K214)</f>
        <v/>
      </c>
      <c r="M214" s="15">
        <f>IF(OR('Data Entry'!A214="",$K214="",$K214=0),"",$L214/$K214)</f>
        <v/>
      </c>
      <c r="N214" s="12">
        <f>IF('Data Entry'!A214="","",IF($L214="","New item",IF($L214&gt;0,"UP",IF($L214&lt;0,"down","same"))))</f>
        <v/>
      </c>
    </row>
    <row r="215">
      <c r="A215" s="11">
        <f>IF('Data Entry'!A215="","",'Data Entry'!A215)</f>
        <v/>
      </c>
      <c r="B215" s="12">
        <f>IF('Data Entry'!A215="","",'Data Entry'!B215)</f>
        <v/>
      </c>
      <c r="C215" s="12">
        <f>IF('Data Entry'!A215="","",'Data Entry'!C215)</f>
        <v/>
      </c>
      <c r="D215" s="12">
        <f>IF('Data Entry'!A215="","",'Data Entry'!D215)</f>
        <v/>
      </c>
      <c r="E215" s="12">
        <f>IF('Data Entry'!A215="","",'Data Entry'!E215)</f>
        <v/>
      </c>
      <c r="F215" s="12">
        <f>IF('Data Entry'!A215="","",'Data Entry'!F215)</f>
        <v/>
      </c>
      <c r="G215" s="13">
        <f>IF('Data Entry'!A215="","",'Data Entry'!G215)</f>
        <v/>
      </c>
      <c r="H215" s="10">
        <f>IF('Data Entry'!A215="","",'Data Entry'!H215)</f>
        <v/>
      </c>
      <c r="I215" s="10">
        <f>IF('Data Entry'!A215="","",'Data Entry'!I215)</f>
        <v/>
      </c>
      <c r="J215" s="12">
        <f>IF('Data Entry'!A215="","",IF('Data Entry'!D215&lt;&gt;"",'Data Entry'!D215,'Data Entry'!E215))</f>
        <v/>
      </c>
      <c r="K215" s="10">
        <f>IF('Data Entry'!A215="","",IFERROR(SUMIFS($H$5:$H$2001,$J$5:$J$2001,$J215,$B$5:$B$2001,$B215,$A$5:$A$2001,(MAXIFS($A$5:$A$2001,$J$5:$J$2001,$J215,$B$5:$B$2001,$B215,$A$5:$A$2001,"&lt;"&amp;$A215))),""))</f>
        <v/>
      </c>
      <c r="L215" s="14">
        <f>IF(OR('Data Entry'!A215="",$K215=""),"",$H215-$K215)</f>
        <v/>
      </c>
      <c r="M215" s="15">
        <f>IF(OR('Data Entry'!A215="",$K215="",$K215=0),"",$L215/$K215)</f>
        <v/>
      </c>
      <c r="N215" s="12">
        <f>IF('Data Entry'!A215="","",IF($L215="","New item",IF($L215&gt;0,"UP",IF($L215&lt;0,"down","same"))))</f>
        <v/>
      </c>
    </row>
    <row r="216">
      <c r="A216" s="11">
        <f>IF('Data Entry'!A216="","",'Data Entry'!A216)</f>
        <v/>
      </c>
      <c r="B216" s="12">
        <f>IF('Data Entry'!A216="","",'Data Entry'!B216)</f>
        <v/>
      </c>
      <c r="C216" s="12">
        <f>IF('Data Entry'!A216="","",'Data Entry'!C216)</f>
        <v/>
      </c>
      <c r="D216" s="12">
        <f>IF('Data Entry'!A216="","",'Data Entry'!D216)</f>
        <v/>
      </c>
      <c r="E216" s="12">
        <f>IF('Data Entry'!A216="","",'Data Entry'!E216)</f>
        <v/>
      </c>
      <c r="F216" s="12">
        <f>IF('Data Entry'!A216="","",'Data Entry'!F216)</f>
        <v/>
      </c>
      <c r="G216" s="13">
        <f>IF('Data Entry'!A216="","",'Data Entry'!G216)</f>
        <v/>
      </c>
      <c r="H216" s="10">
        <f>IF('Data Entry'!A216="","",'Data Entry'!H216)</f>
        <v/>
      </c>
      <c r="I216" s="10">
        <f>IF('Data Entry'!A216="","",'Data Entry'!I216)</f>
        <v/>
      </c>
      <c r="J216" s="12">
        <f>IF('Data Entry'!A216="","",IF('Data Entry'!D216&lt;&gt;"",'Data Entry'!D216,'Data Entry'!E216))</f>
        <v/>
      </c>
      <c r="K216" s="10">
        <f>IF('Data Entry'!A216="","",IFERROR(SUMIFS($H$5:$H$2001,$J$5:$J$2001,$J216,$B$5:$B$2001,$B216,$A$5:$A$2001,(MAXIFS($A$5:$A$2001,$J$5:$J$2001,$J216,$B$5:$B$2001,$B216,$A$5:$A$2001,"&lt;"&amp;$A216))),""))</f>
        <v/>
      </c>
      <c r="L216" s="14">
        <f>IF(OR('Data Entry'!A216="",$K216=""),"",$H216-$K216)</f>
        <v/>
      </c>
      <c r="M216" s="15">
        <f>IF(OR('Data Entry'!A216="",$K216="",$K216=0),"",$L216/$K216)</f>
        <v/>
      </c>
      <c r="N216" s="12">
        <f>IF('Data Entry'!A216="","",IF($L216="","New item",IF($L216&gt;0,"UP",IF($L216&lt;0,"down","same"))))</f>
        <v/>
      </c>
    </row>
    <row r="217">
      <c r="A217" s="11">
        <f>IF('Data Entry'!A217="","",'Data Entry'!A217)</f>
        <v/>
      </c>
      <c r="B217" s="12">
        <f>IF('Data Entry'!A217="","",'Data Entry'!B217)</f>
        <v/>
      </c>
      <c r="C217" s="12">
        <f>IF('Data Entry'!A217="","",'Data Entry'!C217)</f>
        <v/>
      </c>
      <c r="D217" s="12">
        <f>IF('Data Entry'!A217="","",'Data Entry'!D217)</f>
        <v/>
      </c>
      <c r="E217" s="12">
        <f>IF('Data Entry'!A217="","",'Data Entry'!E217)</f>
        <v/>
      </c>
      <c r="F217" s="12">
        <f>IF('Data Entry'!A217="","",'Data Entry'!F217)</f>
        <v/>
      </c>
      <c r="G217" s="13">
        <f>IF('Data Entry'!A217="","",'Data Entry'!G217)</f>
        <v/>
      </c>
      <c r="H217" s="10">
        <f>IF('Data Entry'!A217="","",'Data Entry'!H217)</f>
        <v/>
      </c>
      <c r="I217" s="10">
        <f>IF('Data Entry'!A217="","",'Data Entry'!I217)</f>
        <v/>
      </c>
      <c r="J217" s="12">
        <f>IF('Data Entry'!A217="","",IF('Data Entry'!D217&lt;&gt;"",'Data Entry'!D217,'Data Entry'!E217))</f>
        <v/>
      </c>
      <c r="K217" s="10">
        <f>IF('Data Entry'!A217="","",IFERROR(SUMIFS($H$5:$H$2001,$J$5:$J$2001,$J217,$B$5:$B$2001,$B217,$A$5:$A$2001,(MAXIFS($A$5:$A$2001,$J$5:$J$2001,$J217,$B$5:$B$2001,$B217,$A$5:$A$2001,"&lt;"&amp;$A217))),""))</f>
        <v/>
      </c>
      <c r="L217" s="14">
        <f>IF(OR('Data Entry'!A217="",$K217=""),"",$H217-$K217)</f>
        <v/>
      </c>
      <c r="M217" s="15">
        <f>IF(OR('Data Entry'!A217="",$K217="",$K217=0),"",$L217/$K217)</f>
        <v/>
      </c>
      <c r="N217" s="12">
        <f>IF('Data Entry'!A217="","",IF($L217="","New item",IF($L217&gt;0,"UP",IF($L217&lt;0,"down","same"))))</f>
        <v/>
      </c>
    </row>
    <row r="218">
      <c r="A218" s="11">
        <f>IF('Data Entry'!A218="","",'Data Entry'!A218)</f>
        <v/>
      </c>
      <c r="B218" s="12">
        <f>IF('Data Entry'!A218="","",'Data Entry'!B218)</f>
        <v/>
      </c>
      <c r="C218" s="12">
        <f>IF('Data Entry'!A218="","",'Data Entry'!C218)</f>
        <v/>
      </c>
      <c r="D218" s="12">
        <f>IF('Data Entry'!A218="","",'Data Entry'!D218)</f>
        <v/>
      </c>
      <c r="E218" s="12">
        <f>IF('Data Entry'!A218="","",'Data Entry'!E218)</f>
        <v/>
      </c>
      <c r="F218" s="12">
        <f>IF('Data Entry'!A218="","",'Data Entry'!F218)</f>
        <v/>
      </c>
      <c r="G218" s="13">
        <f>IF('Data Entry'!A218="","",'Data Entry'!G218)</f>
        <v/>
      </c>
      <c r="H218" s="10">
        <f>IF('Data Entry'!A218="","",'Data Entry'!H218)</f>
        <v/>
      </c>
      <c r="I218" s="10">
        <f>IF('Data Entry'!A218="","",'Data Entry'!I218)</f>
        <v/>
      </c>
      <c r="J218" s="12">
        <f>IF('Data Entry'!A218="","",IF('Data Entry'!D218&lt;&gt;"",'Data Entry'!D218,'Data Entry'!E218))</f>
        <v/>
      </c>
      <c r="K218" s="10">
        <f>IF('Data Entry'!A218="","",IFERROR(SUMIFS($H$5:$H$2001,$J$5:$J$2001,$J218,$B$5:$B$2001,$B218,$A$5:$A$2001,(MAXIFS($A$5:$A$2001,$J$5:$J$2001,$J218,$B$5:$B$2001,$B218,$A$5:$A$2001,"&lt;"&amp;$A218))),""))</f>
        <v/>
      </c>
      <c r="L218" s="14">
        <f>IF(OR('Data Entry'!A218="",$K218=""),"",$H218-$K218)</f>
        <v/>
      </c>
      <c r="M218" s="15">
        <f>IF(OR('Data Entry'!A218="",$K218="",$K218=0),"",$L218/$K218)</f>
        <v/>
      </c>
      <c r="N218" s="12">
        <f>IF('Data Entry'!A218="","",IF($L218="","New item",IF($L218&gt;0,"UP",IF($L218&lt;0,"down","same"))))</f>
        <v/>
      </c>
    </row>
    <row r="219">
      <c r="A219" s="11">
        <f>IF('Data Entry'!A219="","",'Data Entry'!A219)</f>
        <v/>
      </c>
      <c r="B219" s="12">
        <f>IF('Data Entry'!A219="","",'Data Entry'!B219)</f>
        <v/>
      </c>
      <c r="C219" s="12">
        <f>IF('Data Entry'!A219="","",'Data Entry'!C219)</f>
        <v/>
      </c>
      <c r="D219" s="12">
        <f>IF('Data Entry'!A219="","",'Data Entry'!D219)</f>
        <v/>
      </c>
      <c r="E219" s="12">
        <f>IF('Data Entry'!A219="","",'Data Entry'!E219)</f>
        <v/>
      </c>
      <c r="F219" s="12">
        <f>IF('Data Entry'!A219="","",'Data Entry'!F219)</f>
        <v/>
      </c>
      <c r="G219" s="13">
        <f>IF('Data Entry'!A219="","",'Data Entry'!G219)</f>
        <v/>
      </c>
      <c r="H219" s="10">
        <f>IF('Data Entry'!A219="","",'Data Entry'!H219)</f>
        <v/>
      </c>
      <c r="I219" s="10">
        <f>IF('Data Entry'!A219="","",'Data Entry'!I219)</f>
        <v/>
      </c>
      <c r="J219" s="12">
        <f>IF('Data Entry'!A219="","",IF('Data Entry'!D219&lt;&gt;"",'Data Entry'!D219,'Data Entry'!E219))</f>
        <v/>
      </c>
      <c r="K219" s="10">
        <f>IF('Data Entry'!A219="","",IFERROR(SUMIFS($H$5:$H$2001,$J$5:$J$2001,$J219,$B$5:$B$2001,$B219,$A$5:$A$2001,(MAXIFS($A$5:$A$2001,$J$5:$J$2001,$J219,$B$5:$B$2001,$B219,$A$5:$A$2001,"&lt;"&amp;$A219))),""))</f>
        <v/>
      </c>
      <c r="L219" s="14">
        <f>IF(OR('Data Entry'!A219="",$K219=""),"",$H219-$K219)</f>
        <v/>
      </c>
      <c r="M219" s="15">
        <f>IF(OR('Data Entry'!A219="",$K219="",$K219=0),"",$L219/$K219)</f>
        <v/>
      </c>
      <c r="N219" s="12">
        <f>IF('Data Entry'!A219="","",IF($L219="","New item",IF($L219&gt;0,"UP",IF($L219&lt;0,"down","same"))))</f>
        <v/>
      </c>
    </row>
    <row r="220">
      <c r="A220" s="11">
        <f>IF('Data Entry'!A220="","",'Data Entry'!A220)</f>
        <v/>
      </c>
      <c r="B220" s="12">
        <f>IF('Data Entry'!A220="","",'Data Entry'!B220)</f>
        <v/>
      </c>
      <c r="C220" s="12">
        <f>IF('Data Entry'!A220="","",'Data Entry'!C220)</f>
        <v/>
      </c>
      <c r="D220" s="12">
        <f>IF('Data Entry'!A220="","",'Data Entry'!D220)</f>
        <v/>
      </c>
      <c r="E220" s="12">
        <f>IF('Data Entry'!A220="","",'Data Entry'!E220)</f>
        <v/>
      </c>
      <c r="F220" s="12">
        <f>IF('Data Entry'!A220="","",'Data Entry'!F220)</f>
        <v/>
      </c>
      <c r="G220" s="13">
        <f>IF('Data Entry'!A220="","",'Data Entry'!G220)</f>
        <v/>
      </c>
      <c r="H220" s="10">
        <f>IF('Data Entry'!A220="","",'Data Entry'!H220)</f>
        <v/>
      </c>
      <c r="I220" s="10">
        <f>IF('Data Entry'!A220="","",'Data Entry'!I220)</f>
        <v/>
      </c>
      <c r="J220" s="12">
        <f>IF('Data Entry'!A220="","",IF('Data Entry'!D220&lt;&gt;"",'Data Entry'!D220,'Data Entry'!E220))</f>
        <v/>
      </c>
      <c r="K220" s="10">
        <f>IF('Data Entry'!A220="","",IFERROR(SUMIFS($H$5:$H$2001,$J$5:$J$2001,$J220,$B$5:$B$2001,$B220,$A$5:$A$2001,(MAXIFS($A$5:$A$2001,$J$5:$J$2001,$J220,$B$5:$B$2001,$B220,$A$5:$A$2001,"&lt;"&amp;$A220))),""))</f>
        <v/>
      </c>
      <c r="L220" s="14">
        <f>IF(OR('Data Entry'!A220="",$K220=""),"",$H220-$K220)</f>
        <v/>
      </c>
      <c r="M220" s="15">
        <f>IF(OR('Data Entry'!A220="",$K220="",$K220=0),"",$L220/$K220)</f>
        <v/>
      </c>
      <c r="N220" s="12">
        <f>IF('Data Entry'!A220="","",IF($L220="","New item",IF($L220&gt;0,"UP",IF($L220&lt;0,"down","same"))))</f>
        <v/>
      </c>
    </row>
    <row r="221">
      <c r="A221" s="11">
        <f>IF('Data Entry'!A221="","",'Data Entry'!A221)</f>
        <v/>
      </c>
      <c r="B221" s="12">
        <f>IF('Data Entry'!A221="","",'Data Entry'!B221)</f>
        <v/>
      </c>
      <c r="C221" s="12">
        <f>IF('Data Entry'!A221="","",'Data Entry'!C221)</f>
        <v/>
      </c>
      <c r="D221" s="12">
        <f>IF('Data Entry'!A221="","",'Data Entry'!D221)</f>
        <v/>
      </c>
      <c r="E221" s="12">
        <f>IF('Data Entry'!A221="","",'Data Entry'!E221)</f>
        <v/>
      </c>
      <c r="F221" s="12">
        <f>IF('Data Entry'!A221="","",'Data Entry'!F221)</f>
        <v/>
      </c>
      <c r="G221" s="13">
        <f>IF('Data Entry'!A221="","",'Data Entry'!G221)</f>
        <v/>
      </c>
      <c r="H221" s="10">
        <f>IF('Data Entry'!A221="","",'Data Entry'!H221)</f>
        <v/>
      </c>
      <c r="I221" s="10">
        <f>IF('Data Entry'!A221="","",'Data Entry'!I221)</f>
        <v/>
      </c>
      <c r="J221" s="12">
        <f>IF('Data Entry'!A221="","",IF('Data Entry'!D221&lt;&gt;"",'Data Entry'!D221,'Data Entry'!E221))</f>
        <v/>
      </c>
      <c r="K221" s="10">
        <f>IF('Data Entry'!A221="","",IFERROR(SUMIFS($H$5:$H$2001,$J$5:$J$2001,$J221,$B$5:$B$2001,$B221,$A$5:$A$2001,(MAXIFS($A$5:$A$2001,$J$5:$J$2001,$J221,$B$5:$B$2001,$B221,$A$5:$A$2001,"&lt;"&amp;$A221))),""))</f>
        <v/>
      </c>
      <c r="L221" s="14">
        <f>IF(OR('Data Entry'!A221="",$K221=""),"",$H221-$K221)</f>
        <v/>
      </c>
      <c r="M221" s="15">
        <f>IF(OR('Data Entry'!A221="",$K221="",$K221=0),"",$L221/$K221)</f>
        <v/>
      </c>
      <c r="N221" s="12">
        <f>IF('Data Entry'!A221="","",IF($L221="","New item",IF($L221&gt;0,"UP",IF($L221&lt;0,"down","same"))))</f>
        <v/>
      </c>
    </row>
    <row r="222">
      <c r="A222" s="11">
        <f>IF('Data Entry'!A222="","",'Data Entry'!A222)</f>
        <v/>
      </c>
      <c r="B222" s="12">
        <f>IF('Data Entry'!A222="","",'Data Entry'!B222)</f>
        <v/>
      </c>
      <c r="C222" s="12">
        <f>IF('Data Entry'!A222="","",'Data Entry'!C222)</f>
        <v/>
      </c>
      <c r="D222" s="12">
        <f>IF('Data Entry'!A222="","",'Data Entry'!D222)</f>
        <v/>
      </c>
      <c r="E222" s="12">
        <f>IF('Data Entry'!A222="","",'Data Entry'!E222)</f>
        <v/>
      </c>
      <c r="F222" s="12">
        <f>IF('Data Entry'!A222="","",'Data Entry'!F222)</f>
        <v/>
      </c>
      <c r="G222" s="13">
        <f>IF('Data Entry'!A222="","",'Data Entry'!G222)</f>
        <v/>
      </c>
      <c r="H222" s="10">
        <f>IF('Data Entry'!A222="","",'Data Entry'!H222)</f>
        <v/>
      </c>
      <c r="I222" s="10">
        <f>IF('Data Entry'!A222="","",'Data Entry'!I222)</f>
        <v/>
      </c>
      <c r="J222" s="12">
        <f>IF('Data Entry'!A222="","",IF('Data Entry'!D222&lt;&gt;"",'Data Entry'!D222,'Data Entry'!E222))</f>
        <v/>
      </c>
      <c r="K222" s="10">
        <f>IF('Data Entry'!A222="","",IFERROR(SUMIFS($H$5:$H$2001,$J$5:$J$2001,$J222,$B$5:$B$2001,$B222,$A$5:$A$2001,(MAXIFS($A$5:$A$2001,$J$5:$J$2001,$J222,$B$5:$B$2001,$B222,$A$5:$A$2001,"&lt;"&amp;$A222))),""))</f>
        <v/>
      </c>
      <c r="L222" s="14">
        <f>IF(OR('Data Entry'!A222="",$K222=""),"",$H222-$K222)</f>
        <v/>
      </c>
      <c r="M222" s="15">
        <f>IF(OR('Data Entry'!A222="",$K222="",$K222=0),"",$L222/$K222)</f>
        <v/>
      </c>
      <c r="N222" s="12">
        <f>IF('Data Entry'!A222="","",IF($L222="","New item",IF($L222&gt;0,"UP",IF($L222&lt;0,"down","same"))))</f>
        <v/>
      </c>
    </row>
    <row r="223">
      <c r="A223" s="11">
        <f>IF('Data Entry'!A223="","",'Data Entry'!A223)</f>
        <v/>
      </c>
      <c r="B223" s="12">
        <f>IF('Data Entry'!A223="","",'Data Entry'!B223)</f>
        <v/>
      </c>
      <c r="C223" s="12">
        <f>IF('Data Entry'!A223="","",'Data Entry'!C223)</f>
        <v/>
      </c>
      <c r="D223" s="12">
        <f>IF('Data Entry'!A223="","",'Data Entry'!D223)</f>
        <v/>
      </c>
      <c r="E223" s="12">
        <f>IF('Data Entry'!A223="","",'Data Entry'!E223)</f>
        <v/>
      </c>
      <c r="F223" s="12">
        <f>IF('Data Entry'!A223="","",'Data Entry'!F223)</f>
        <v/>
      </c>
      <c r="G223" s="13">
        <f>IF('Data Entry'!A223="","",'Data Entry'!G223)</f>
        <v/>
      </c>
      <c r="H223" s="10">
        <f>IF('Data Entry'!A223="","",'Data Entry'!H223)</f>
        <v/>
      </c>
      <c r="I223" s="10">
        <f>IF('Data Entry'!A223="","",'Data Entry'!I223)</f>
        <v/>
      </c>
      <c r="J223" s="12">
        <f>IF('Data Entry'!A223="","",IF('Data Entry'!D223&lt;&gt;"",'Data Entry'!D223,'Data Entry'!E223))</f>
        <v/>
      </c>
      <c r="K223" s="10">
        <f>IF('Data Entry'!A223="","",IFERROR(SUMIFS($H$5:$H$2001,$J$5:$J$2001,$J223,$B$5:$B$2001,$B223,$A$5:$A$2001,(MAXIFS($A$5:$A$2001,$J$5:$J$2001,$J223,$B$5:$B$2001,$B223,$A$5:$A$2001,"&lt;"&amp;$A223))),""))</f>
        <v/>
      </c>
      <c r="L223" s="14">
        <f>IF(OR('Data Entry'!A223="",$K223=""),"",$H223-$K223)</f>
        <v/>
      </c>
      <c r="M223" s="15">
        <f>IF(OR('Data Entry'!A223="",$K223="",$K223=0),"",$L223/$K223)</f>
        <v/>
      </c>
      <c r="N223" s="12">
        <f>IF('Data Entry'!A223="","",IF($L223="","New item",IF($L223&gt;0,"UP",IF($L223&lt;0,"down","same"))))</f>
        <v/>
      </c>
    </row>
    <row r="224">
      <c r="A224" s="11">
        <f>IF('Data Entry'!A224="","",'Data Entry'!A224)</f>
        <v/>
      </c>
      <c r="B224" s="12">
        <f>IF('Data Entry'!A224="","",'Data Entry'!B224)</f>
        <v/>
      </c>
      <c r="C224" s="12">
        <f>IF('Data Entry'!A224="","",'Data Entry'!C224)</f>
        <v/>
      </c>
      <c r="D224" s="12">
        <f>IF('Data Entry'!A224="","",'Data Entry'!D224)</f>
        <v/>
      </c>
      <c r="E224" s="12">
        <f>IF('Data Entry'!A224="","",'Data Entry'!E224)</f>
        <v/>
      </c>
      <c r="F224" s="12">
        <f>IF('Data Entry'!A224="","",'Data Entry'!F224)</f>
        <v/>
      </c>
      <c r="G224" s="13">
        <f>IF('Data Entry'!A224="","",'Data Entry'!G224)</f>
        <v/>
      </c>
      <c r="H224" s="10">
        <f>IF('Data Entry'!A224="","",'Data Entry'!H224)</f>
        <v/>
      </c>
      <c r="I224" s="10">
        <f>IF('Data Entry'!A224="","",'Data Entry'!I224)</f>
        <v/>
      </c>
      <c r="J224" s="12">
        <f>IF('Data Entry'!A224="","",IF('Data Entry'!D224&lt;&gt;"",'Data Entry'!D224,'Data Entry'!E224))</f>
        <v/>
      </c>
      <c r="K224" s="10">
        <f>IF('Data Entry'!A224="","",IFERROR(SUMIFS($H$5:$H$2001,$J$5:$J$2001,$J224,$B$5:$B$2001,$B224,$A$5:$A$2001,(MAXIFS($A$5:$A$2001,$J$5:$J$2001,$J224,$B$5:$B$2001,$B224,$A$5:$A$2001,"&lt;"&amp;$A224))),""))</f>
        <v/>
      </c>
      <c r="L224" s="14">
        <f>IF(OR('Data Entry'!A224="",$K224=""),"",$H224-$K224)</f>
        <v/>
      </c>
      <c r="M224" s="15">
        <f>IF(OR('Data Entry'!A224="",$K224="",$K224=0),"",$L224/$K224)</f>
        <v/>
      </c>
      <c r="N224" s="12">
        <f>IF('Data Entry'!A224="","",IF($L224="","New item",IF($L224&gt;0,"UP",IF($L224&lt;0,"down","same"))))</f>
        <v/>
      </c>
    </row>
    <row r="225">
      <c r="A225" s="11">
        <f>IF('Data Entry'!A225="","",'Data Entry'!A225)</f>
        <v/>
      </c>
      <c r="B225" s="12">
        <f>IF('Data Entry'!A225="","",'Data Entry'!B225)</f>
        <v/>
      </c>
      <c r="C225" s="12">
        <f>IF('Data Entry'!A225="","",'Data Entry'!C225)</f>
        <v/>
      </c>
      <c r="D225" s="12">
        <f>IF('Data Entry'!A225="","",'Data Entry'!D225)</f>
        <v/>
      </c>
      <c r="E225" s="12">
        <f>IF('Data Entry'!A225="","",'Data Entry'!E225)</f>
        <v/>
      </c>
      <c r="F225" s="12">
        <f>IF('Data Entry'!A225="","",'Data Entry'!F225)</f>
        <v/>
      </c>
      <c r="G225" s="13">
        <f>IF('Data Entry'!A225="","",'Data Entry'!G225)</f>
        <v/>
      </c>
      <c r="H225" s="10">
        <f>IF('Data Entry'!A225="","",'Data Entry'!H225)</f>
        <v/>
      </c>
      <c r="I225" s="10">
        <f>IF('Data Entry'!A225="","",'Data Entry'!I225)</f>
        <v/>
      </c>
      <c r="J225" s="12">
        <f>IF('Data Entry'!A225="","",IF('Data Entry'!D225&lt;&gt;"",'Data Entry'!D225,'Data Entry'!E225))</f>
        <v/>
      </c>
      <c r="K225" s="10">
        <f>IF('Data Entry'!A225="","",IFERROR(SUMIFS($H$5:$H$2001,$J$5:$J$2001,$J225,$B$5:$B$2001,$B225,$A$5:$A$2001,(MAXIFS($A$5:$A$2001,$J$5:$J$2001,$J225,$B$5:$B$2001,$B225,$A$5:$A$2001,"&lt;"&amp;$A225))),""))</f>
        <v/>
      </c>
      <c r="L225" s="14">
        <f>IF(OR('Data Entry'!A225="",$K225=""),"",$H225-$K225)</f>
        <v/>
      </c>
      <c r="M225" s="15">
        <f>IF(OR('Data Entry'!A225="",$K225="",$K225=0),"",$L225/$K225)</f>
        <v/>
      </c>
      <c r="N225" s="12">
        <f>IF('Data Entry'!A225="","",IF($L225="","New item",IF($L225&gt;0,"UP",IF($L225&lt;0,"down","same"))))</f>
        <v/>
      </c>
    </row>
    <row r="226">
      <c r="A226" s="11">
        <f>IF('Data Entry'!A226="","",'Data Entry'!A226)</f>
        <v/>
      </c>
      <c r="B226" s="12">
        <f>IF('Data Entry'!A226="","",'Data Entry'!B226)</f>
        <v/>
      </c>
      <c r="C226" s="12">
        <f>IF('Data Entry'!A226="","",'Data Entry'!C226)</f>
        <v/>
      </c>
      <c r="D226" s="12">
        <f>IF('Data Entry'!A226="","",'Data Entry'!D226)</f>
        <v/>
      </c>
      <c r="E226" s="12">
        <f>IF('Data Entry'!A226="","",'Data Entry'!E226)</f>
        <v/>
      </c>
      <c r="F226" s="12">
        <f>IF('Data Entry'!A226="","",'Data Entry'!F226)</f>
        <v/>
      </c>
      <c r="G226" s="13">
        <f>IF('Data Entry'!A226="","",'Data Entry'!G226)</f>
        <v/>
      </c>
      <c r="H226" s="10">
        <f>IF('Data Entry'!A226="","",'Data Entry'!H226)</f>
        <v/>
      </c>
      <c r="I226" s="10">
        <f>IF('Data Entry'!A226="","",'Data Entry'!I226)</f>
        <v/>
      </c>
      <c r="J226" s="12">
        <f>IF('Data Entry'!A226="","",IF('Data Entry'!D226&lt;&gt;"",'Data Entry'!D226,'Data Entry'!E226))</f>
        <v/>
      </c>
      <c r="K226" s="10">
        <f>IF('Data Entry'!A226="","",IFERROR(SUMIFS($H$5:$H$2001,$J$5:$J$2001,$J226,$B$5:$B$2001,$B226,$A$5:$A$2001,(MAXIFS($A$5:$A$2001,$J$5:$J$2001,$J226,$B$5:$B$2001,$B226,$A$5:$A$2001,"&lt;"&amp;$A226))),""))</f>
        <v/>
      </c>
      <c r="L226" s="14">
        <f>IF(OR('Data Entry'!A226="",$K226=""),"",$H226-$K226)</f>
        <v/>
      </c>
      <c r="M226" s="15">
        <f>IF(OR('Data Entry'!A226="",$K226="",$K226=0),"",$L226/$K226)</f>
        <v/>
      </c>
      <c r="N226" s="12">
        <f>IF('Data Entry'!A226="","",IF($L226="","New item",IF($L226&gt;0,"UP",IF($L226&lt;0,"down","same"))))</f>
        <v/>
      </c>
    </row>
    <row r="227">
      <c r="A227" s="11">
        <f>IF('Data Entry'!A227="","",'Data Entry'!A227)</f>
        <v/>
      </c>
      <c r="B227" s="12">
        <f>IF('Data Entry'!A227="","",'Data Entry'!B227)</f>
        <v/>
      </c>
      <c r="C227" s="12">
        <f>IF('Data Entry'!A227="","",'Data Entry'!C227)</f>
        <v/>
      </c>
      <c r="D227" s="12">
        <f>IF('Data Entry'!A227="","",'Data Entry'!D227)</f>
        <v/>
      </c>
      <c r="E227" s="12">
        <f>IF('Data Entry'!A227="","",'Data Entry'!E227)</f>
        <v/>
      </c>
      <c r="F227" s="12">
        <f>IF('Data Entry'!A227="","",'Data Entry'!F227)</f>
        <v/>
      </c>
      <c r="G227" s="13">
        <f>IF('Data Entry'!A227="","",'Data Entry'!G227)</f>
        <v/>
      </c>
      <c r="H227" s="10">
        <f>IF('Data Entry'!A227="","",'Data Entry'!H227)</f>
        <v/>
      </c>
      <c r="I227" s="10">
        <f>IF('Data Entry'!A227="","",'Data Entry'!I227)</f>
        <v/>
      </c>
      <c r="J227" s="12">
        <f>IF('Data Entry'!A227="","",IF('Data Entry'!D227&lt;&gt;"",'Data Entry'!D227,'Data Entry'!E227))</f>
        <v/>
      </c>
      <c r="K227" s="10">
        <f>IF('Data Entry'!A227="","",IFERROR(SUMIFS($H$5:$H$2001,$J$5:$J$2001,$J227,$B$5:$B$2001,$B227,$A$5:$A$2001,(MAXIFS($A$5:$A$2001,$J$5:$J$2001,$J227,$B$5:$B$2001,$B227,$A$5:$A$2001,"&lt;"&amp;$A227))),""))</f>
        <v/>
      </c>
      <c r="L227" s="14">
        <f>IF(OR('Data Entry'!A227="",$K227=""),"",$H227-$K227)</f>
        <v/>
      </c>
      <c r="M227" s="15">
        <f>IF(OR('Data Entry'!A227="",$K227="",$K227=0),"",$L227/$K227)</f>
        <v/>
      </c>
      <c r="N227" s="12">
        <f>IF('Data Entry'!A227="","",IF($L227="","New item",IF($L227&gt;0,"UP",IF($L227&lt;0,"down","same"))))</f>
        <v/>
      </c>
    </row>
    <row r="228">
      <c r="A228" s="11">
        <f>IF('Data Entry'!A228="","",'Data Entry'!A228)</f>
        <v/>
      </c>
      <c r="B228" s="12">
        <f>IF('Data Entry'!A228="","",'Data Entry'!B228)</f>
        <v/>
      </c>
      <c r="C228" s="12">
        <f>IF('Data Entry'!A228="","",'Data Entry'!C228)</f>
        <v/>
      </c>
      <c r="D228" s="12">
        <f>IF('Data Entry'!A228="","",'Data Entry'!D228)</f>
        <v/>
      </c>
      <c r="E228" s="12">
        <f>IF('Data Entry'!A228="","",'Data Entry'!E228)</f>
        <v/>
      </c>
      <c r="F228" s="12">
        <f>IF('Data Entry'!A228="","",'Data Entry'!F228)</f>
        <v/>
      </c>
      <c r="G228" s="13">
        <f>IF('Data Entry'!A228="","",'Data Entry'!G228)</f>
        <v/>
      </c>
      <c r="H228" s="10">
        <f>IF('Data Entry'!A228="","",'Data Entry'!H228)</f>
        <v/>
      </c>
      <c r="I228" s="10">
        <f>IF('Data Entry'!A228="","",'Data Entry'!I228)</f>
        <v/>
      </c>
      <c r="J228" s="12">
        <f>IF('Data Entry'!A228="","",IF('Data Entry'!D228&lt;&gt;"",'Data Entry'!D228,'Data Entry'!E228))</f>
        <v/>
      </c>
      <c r="K228" s="10">
        <f>IF('Data Entry'!A228="","",IFERROR(SUMIFS($H$5:$H$2001,$J$5:$J$2001,$J228,$B$5:$B$2001,$B228,$A$5:$A$2001,(MAXIFS($A$5:$A$2001,$J$5:$J$2001,$J228,$B$5:$B$2001,$B228,$A$5:$A$2001,"&lt;"&amp;$A228))),""))</f>
        <v/>
      </c>
      <c r="L228" s="14">
        <f>IF(OR('Data Entry'!A228="",$K228=""),"",$H228-$K228)</f>
        <v/>
      </c>
      <c r="M228" s="15">
        <f>IF(OR('Data Entry'!A228="",$K228="",$K228=0),"",$L228/$K228)</f>
        <v/>
      </c>
      <c r="N228" s="12">
        <f>IF('Data Entry'!A228="","",IF($L228="","New item",IF($L228&gt;0,"UP",IF($L228&lt;0,"down","same"))))</f>
        <v/>
      </c>
    </row>
    <row r="229">
      <c r="A229" s="11">
        <f>IF('Data Entry'!A229="","",'Data Entry'!A229)</f>
        <v/>
      </c>
      <c r="B229" s="12">
        <f>IF('Data Entry'!A229="","",'Data Entry'!B229)</f>
        <v/>
      </c>
      <c r="C229" s="12">
        <f>IF('Data Entry'!A229="","",'Data Entry'!C229)</f>
        <v/>
      </c>
      <c r="D229" s="12">
        <f>IF('Data Entry'!A229="","",'Data Entry'!D229)</f>
        <v/>
      </c>
      <c r="E229" s="12">
        <f>IF('Data Entry'!A229="","",'Data Entry'!E229)</f>
        <v/>
      </c>
      <c r="F229" s="12">
        <f>IF('Data Entry'!A229="","",'Data Entry'!F229)</f>
        <v/>
      </c>
      <c r="G229" s="13">
        <f>IF('Data Entry'!A229="","",'Data Entry'!G229)</f>
        <v/>
      </c>
      <c r="H229" s="10">
        <f>IF('Data Entry'!A229="","",'Data Entry'!H229)</f>
        <v/>
      </c>
      <c r="I229" s="10">
        <f>IF('Data Entry'!A229="","",'Data Entry'!I229)</f>
        <v/>
      </c>
      <c r="J229" s="12">
        <f>IF('Data Entry'!A229="","",IF('Data Entry'!D229&lt;&gt;"",'Data Entry'!D229,'Data Entry'!E229))</f>
        <v/>
      </c>
      <c r="K229" s="10">
        <f>IF('Data Entry'!A229="","",IFERROR(SUMIFS($H$5:$H$2001,$J$5:$J$2001,$J229,$B$5:$B$2001,$B229,$A$5:$A$2001,(MAXIFS($A$5:$A$2001,$J$5:$J$2001,$J229,$B$5:$B$2001,$B229,$A$5:$A$2001,"&lt;"&amp;$A229))),""))</f>
        <v/>
      </c>
      <c r="L229" s="14">
        <f>IF(OR('Data Entry'!A229="",$K229=""),"",$H229-$K229)</f>
        <v/>
      </c>
      <c r="M229" s="15">
        <f>IF(OR('Data Entry'!A229="",$K229="",$K229=0),"",$L229/$K229)</f>
        <v/>
      </c>
      <c r="N229" s="12">
        <f>IF('Data Entry'!A229="","",IF($L229="","New item",IF($L229&gt;0,"UP",IF($L229&lt;0,"down","same"))))</f>
        <v/>
      </c>
    </row>
    <row r="230">
      <c r="A230" s="11">
        <f>IF('Data Entry'!A230="","",'Data Entry'!A230)</f>
        <v/>
      </c>
      <c r="B230" s="12">
        <f>IF('Data Entry'!A230="","",'Data Entry'!B230)</f>
        <v/>
      </c>
      <c r="C230" s="12">
        <f>IF('Data Entry'!A230="","",'Data Entry'!C230)</f>
        <v/>
      </c>
      <c r="D230" s="12">
        <f>IF('Data Entry'!A230="","",'Data Entry'!D230)</f>
        <v/>
      </c>
      <c r="E230" s="12">
        <f>IF('Data Entry'!A230="","",'Data Entry'!E230)</f>
        <v/>
      </c>
      <c r="F230" s="12">
        <f>IF('Data Entry'!A230="","",'Data Entry'!F230)</f>
        <v/>
      </c>
      <c r="G230" s="13">
        <f>IF('Data Entry'!A230="","",'Data Entry'!G230)</f>
        <v/>
      </c>
      <c r="H230" s="10">
        <f>IF('Data Entry'!A230="","",'Data Entry'!H230)</f>
        <v/>
      </c>
      <c r="I230" s="10">
        <f>IF('Data Entry'!A230="","",'Data Entry'!I230)</f>
        <v/>
      </c>
      <c r="J230" s="12">
        <f>IF('Data Entry'!A230="","",IF('Data Entry'!D230&lt;&gt;"",'Data Entry'!D230,'Data Entry'!E230))</f>
        <v/>
      </c>
      <c r="K230" s="10">
        <f>IF('Data Entry'!A230="","",IFERROR(SUMIFS($H$5:$H$2001,$J$5:$J$2001,$J230,$B$5:$B$2001,$B230,$A$5:$A$2001,(MAXIFS($A$5:$A$2001,$J$5:$J$2001,$J230,$B$5:$B$2001,$B230,$A$5:$A$2001,"&lt;"&amp;$A230))),""))</f>
        <v/>
      </c>
      <c r="L230" s="14">
        <f>IF(OR('Data Entry'!A230="",$K230=""),"",$H230-$K230)</f>
        <v/>
      </c>
      <c r="M230" s="15">
        <f>IF(OR('Data Entry'!A230="",$K230="",$K230=0),"",$L230/$K230)</f>
        <v/>
      </c>
      <c r="N230" s="12">
        <f>IF('Data Entry'!A230="","",IF($L230="","New item",IF($L230&gt;0,"UP",IF($L230&lt;0,"down","same"))))</f>
        <v/>
      </c>
    </row>
    <row r="231">
      <c r="A231" s="11">
        <f>IF('Data Entry'!A231="","",'Data Entry'!A231)</f>
        <v/>
      </c>
      <c r="B231" s="12">
        <f>IF('Data Entry'!A231="","",'Data Entry'!B231)</f>
        <v/>
      </c>
      <c r="C231" s="12">
        <f>IF('Data Entry'!A231="","",'Data Entry'!C231)</f>
        <v/>
      </c>
      <c r="D231" s="12">
        <f>IF('Data Entry'!A231="","",'Data Entry'!D231)</f>
        <v/>
      </c>
      <c r="E231" s="12">
        <f>IF('Data Entry'!A231="","",'Data Entry'!E231)</f>
        <v/>
      </c>
      <c r="F231" s="12">
        <f>IF('Data Entry'!A231="","",'Data Entry'!F231)</f>
        <v/>
      </c>
      <c r="G231" s="13">
        <f>IF('Data Entry'!A231="","",'Data Entry'!G231)</f>
        <v/>
      </c>
      <c r="H231" s="10">
        <f>IF('Data Entry'!A231="","",'Data Entry'!H231)</f>
        <v/>
      </c>
      <c r="I231" s="10">
        <f>IF('Data Entry'!A231="","",'Data Entry'!I231)</f>
        <v/>
      </c>
      <c r="J231" s="12">
        <f>IF('Data Entry'!A231="","",IF('Data Entry'!D231&lt;&gt;"",'Data Entry'!D231,'Data Entry'!E231))</f>
        <v/>
      </c>
      <c r="K231" s="10">
        <f>IF('Data Entry'!A231="","",IFERROR(SUMIFS($H$5:$H$2001,$J$5:$J$2001,$J231,$B$5:$B$2001,$B231,$A$5:$A$2001,(MAXIFS($A$5:$A$2001,$J$5:$J$2001,$J231,$B$5:$B$2001,$B231,$A$5:$A$2001,"&lt;"&amp;$A231))),""))</f>
        <v/>
      </c>
      <c r="L231" s="14">
        <f>IF(OR('Data Entry'!A231="",$K231=""),"",$H231-$K231)</f>
        <v/>
      </c>
      <c r="M231" s="15">
        <f>IF(OR('Data Entry'!A231="",$K231="",$K231=0),"",$L231/$K231)</f>
        <v/>
      </c>
      <c r="N231" s="12">
        <f>IF('Data Entry'!A231="","",IF($L231="","New item",IF($L231&gt;0,"UP",IF($L231&lt;0,"down","same"))))</f>
        <v/>
      </c>
    </row>
    <row r="232">
      <c r="A232" s="11">
        <f>IF('Data Entry'!A232="","",'Data Entry'!A232)</f>
        <v/>
      </c>
      <c r="B232" s="12">
        <f>IF('Data Entry'!A232="","",'Data Entry'!B232)</f>
        <v/>
      </c>
      <c r="C232" s="12">
        <f>IF('Data Entry'!A232="","",'Data Entry'!C232)</f>
        <v/>
      </c>
      <c r="D232" s="12">
        <f>IF('Data Entry'!A232="","",'Data Entry'!D232)</f>
        <v/>
      </c>
      <c r="E232" s="12">
        <f>IF('Data Entry'!A232="","",'Data Entry'!E232)</f>
        <v/>
      </c>
      <c r="F232" s="12">
        <f>IF('Data Entry'!A232="","",'Data Entry'!F232)</f>
        <v/>
      </c>
      <c r="G232" s="13">
        <f>IF('Data Entry'!A232="","",'Data Entry'!G232)</f>
        <v/>
      </c>
      <c r="H232" s="10">
        <f>IF('Data Entry'!A232="","",'Data Entry'!H232)</f>
        <v/>
      </c>
      <c r="I232" s="10">
        <f>IF('Data Entry'!A232="","",'Data Entry'!I232)</f>
        <v/>
      </c>
      <c r="J232" s="12">
        <f>IF('Data Entry'!A232="","",IF('Data Entry'!D232&lt;&gt;"",'Data Entry'!D232,'Data Entry'!E232))</f>
        <v/>
      </c>
      <c r="K232" s="10">
        <f>IF('Data Entry'!A232="","",IFERROR(SUMIFS($H$5:$H$2001,$J$5:$J$2001,$J232,$B$5:$B$2001,$B232,$A$5:$A$2001,(MAXIFS($A$5:$A$2001,$J$5:$J$2001,$J232,$B$5:$B$2001,$B232,$A$5:$A$2001,"&lt;"&amp;$A232))),""))</f>
        <v/>
      </c>
      <c r="L232" s="14">
        <f>IF(OR('Data Entry'!A232="",$K232=""),"",$H232-$K232)</f>
        <v/>
      </c>
      <c r="M232" s="15">
        <f>IF(OR('Data Entry'!A232="",$K232="",$K232=0),"",$L232/$K232)</f>
        <v/>
      </c>
      <c r="N232" s="12">
        <f>IF('Data Entry'!A232="","",IF($L232="","New item",IF($L232&gt;0,"UP",IF($L232&lt;0,"down","same"))))</f>
        <v/>
      </c>
    </row>
    <row r="233">
      <c r="A233" s="11">
        <f>IF('Data Entry'!A233="","",'Data Entry'!A233)</f>
        <v/>
      </c>
      <c r="B233" s="12">
        <f>IF('Data Entry'!A233="","",'Data Entry'!B233)</f>
        <v/>
      </c>
      <c r="C233" s="12">
        <f>IF('Data Entry'!A233="","",'Data Entry'!C233)</f>
        <v/>
      </c>
      <c r="D233" s="12">
        <f>IF('Data Entry'!A233="","",'Data Entry'!D233)</f>
        <v/>
      </c>
      <c r="E233" s="12">
        <f>IF('Data Entry'!A233="","",'Data Entry'!E233)</f>
        <v/>
      </c>
      <c r="F233" s="12">
        <f>IF('Data Entry'!A233="","",'Data Entry'!F233)</f>
        <v/>
      </c>
      <c r="G233" s="13">
        <f>IF('Data Entry'!A233="","",'Data Entry'!G233)</f>
        <v/>
      </c>
      <c r="H233" s="10">
        <f>IF('Data Entry'!A233="","",'Data Entry'!H233)</f>
        <v/>
      </c>
      <c r="I233" s="10">
        <f>IF('Data Entry'!A233="","",'Data Entry'!I233)</f>
        <v/>
      </c>
      <c r="J233" s="12">
        <f>IF('Data Entry'!A233="","",IF('Data Entry'!D233&lt;&gt;"",'Data Entry'!D233,'Data Entry'!E233))</f>
        <v/>
      </c>
      <c r="K233" s="10">
        <f>IF('Data Entry'!A233="","",IFERROR(SUMIFS($H$5:$H$2001,$J$5:$J$2001,$J233,$B$5:$B$2001,$B233,$A$5:$A$2001,(MAXIFS($A$5:$A$2001,$J$5:$J$2001,$J233,$B$5:$B$2001,$B233,$A$5:$A$2001,"&lt;"&amp;$A233))),""))</f>
        <v/>
      </c>
      <c r="L233" s="14">
        <f>IF(OR('Data Entry'!A233="",$K233=""),"",$H233-$K233)</f>
        <v/>
      </c>
      <c r="M233" s="15">
        <f>IF(OR('Data Entry'!A233="",$K233="",$K233=0),"",$L233/$K233)</f>
        <v/>
      </c>
      <c r="N233" s="12">
        <f>IF('Data Entry'!A233="","",IF($L233="","New item",IF($L233&gt;0,"UP",IF($L233&lt;0,"down","same"))))</f>
        <v/>
      </c>
    </row>
    <row r="234">
      <c r="A234" s="11">
        <f>IF('Data Entry'!A234="","",'Data Entry'!A234)</f>
        <v/>
      </c>
      <c r="B234" s="12">
        <f>IF('Data Entry'!A234="","",'Data Entry'!B234)</f>
        <v/>
      </c>
      <c r="C234" s="12">
        <f>IF('Data Entry'!A234="","",'Data Entry'!C234)</f>
        <v/>
      </c>
      <c r="D234" s="12">
        <f>IF('Data Entry'!A234="","",'Data Entry'!D234)</f>
        <v/>
      </c>
      <c r="E234" s="12">
        <f>IF('Data Entry'!A234="","",'Data Entry'!E234)</f>
        <v/>
      </c>
      <c r="F234" s="12">
        <f>IF('Data Entry'!A234="","",'Data Entry'!F234)</f>
        <v/>
      </c>
      <c r="G234" s="13">
        <f>IF('Data Entry'!A234="","",'Data Entry'!G234)</f>
        <v/>
      </c>
      <c r="H234" s="10">
        <f>IF('Data Entry'!A234="","",'Data Entry'!H234)</f>
        <v/>
      </c>
      <c r="I234" s="10">
        <f>IF('Data Entry'!A234="","",'Data Entry'!I234)</f>
        <v/>
      </c>
      <c r="J234" s="12">
        <f>IF('Data Entry'!A234="","",IF('Data Entry'!D234&lt;&gt;"",'Data Entry'!D234,'Data Entry'!E234))</f>
        <v/>
      </c>
      <c r="K234" s="10">
        <f>IF('Data Entry'!A234="","",IFERROR(SUMIFS($H$5:$H$2001,$J$5:$J$2001,$J234,$B$5:$B$2001,$B234,$A$5:$A$2001,(MAXIFS($A$5:$A$2001,$J$5:$J$2001,$J234,$B$5:$B$2001,$B234,$A$5:$A$2001,"&lt;"&amp;$A234))),""))</f>
        <v/>
      </c>
      <c r="L234" s="14">
        <f>IF(OR('Data Entry'!A234="",$K234=""),"",$H234-$K234)</f>
        <v/>
      </c>
      <c r="M234" s="15">
        <f>IF(OR('Data Entry'!A234="",$K234="",$K234=0),"",$L234/$K234)</f>
        <v/>
      </c>
      <c r="N234" s="12">
        <f>IF('Data Entry'!A234="","",IF($L234="","New item",IF($L234&gt;0,"UP",IF($L234&lt;0,"down","same"))))</f>
        <v/>
      </c>
    </row>
    <row r="235">
      <c r="A235" s="11">
        <f>IF('Data Entry'!A235="","",'Data Entry'!A235)</f>
        <v/>
      </c>
      <c r="B235" s="12">
        <f>IF('Data Entry'!A235="","",'Data Entry'!B235)</f>
        <v/>
      </c>
      <c r="C235" s="12">
        <f>IF('Data Entry'!A235="","",'Data Entry'!C235)</f>
        <v/>
      </c>
      <c r="D235" s="12">
        <f>IF('Data Entry'!A235="","",'Data Entry'!D235)</f>
        <v/>
      </c>
      <c r="E235" s="12">
        <f>IF('Data Entry'!A235="","",'Data Entry'!E235)</f>
        <v/>
      </c>
      <c r="F235" s="12">
        <f>IF('Data Entry'!A235="","",'Data Entry'!F235)</f>
        <v/>
      </c>
      <c r="G235" s="13">
        <f>IF('Data Entry'!A235="","",'Data Entry'!G235)</f>
        <v/>
      </c>
      <c r="H235" s="10">
        <f>IF('Data Entry'!A235="","",'Data Entry'!H235)</f>
        <v/>
      </c>
      <c r="I235" s="10">
        <f>IF('Data Entry'!A235="","",'Data Entry'!I235)</f>
        <v/>
      </c>
      <c r="J235" s="12">
        <f>IF('Data Entry'!A235="","",IF('Data Entry'!D235&lt;&gt;"",'Data Entry'!D235,'Data Entry'!E235))</f>
        <v/>
      </c>
      <c r="K235" s="10">
        <f>IF('Data Entry'!A235="","",IFERROR(SUMIFS($H$5:$H$2001,$J$5:$J$2001,$J235,$B$5:$B$2001,$B235,$A$5:$A$2001,(MAXIFS($A$5:$A$2001,$J$5:$J$2001,$J235,$B$5:$B$2001,$B235,$A$5:$A$2001,"&lt;"&amp;$A235))),""))</f>
        <v/>
      </c>
      <c r="L235" s="14">
        <f>IF(OR('Data Entry'!A235="",$K235=""),"",$H235-$K235)</f>
        <v/>
      </c>
      <c r="M235" s="15">
        <f>IF(OR('Data Entry'!A235="",$K235="",$K235=0),"",$L235/$K235)</f>
        <v/>
      </c>
      <c r="N235" s="12">
        <f>IF('Data Entry'!A235="","",IF($L235="","New item",IF($L235&gt;0,"UP",IF($L235&lt;0,"down","same"))))</f>
        <v/>
      </c>
    </row>
    <row r="236">
      <c r="A236" s="11">
        <f>IF('Data Entry'!A236="","",'Data Entry'!A236)</f>
        <v/>
      </c>
      <c r="B236" s="12">
        <f>IF('Data Entry'!A236="","",'Data Entry'!B236)</f>
        <v/>
      </c>
      <c r="C236" s="12">
        <f>IF('Data Entry'!A236="","",'Data Entry'!C236)</f>
        <v/>
      </c>
      <c r="D236" s="12">
        <f>IF('Data Entry'!A236="","",'Data Entry'!D236)</f>
        <v/>
      </c>
      <c r="E236" s="12">
        <f>IF('Data Entry'!A236="","",'Data Entry'!E236)</f>
        <v/>
      </c>
      <c r="F236" s="12">
        <f>IF('Data Entry'!A236="","",'Data Entry'!F236)</f>
        <v/>
      </c>
      <c r="G236" s="13">
        <f>IF('Data Entry'!A236="","",'Data Entry'!G236)</f>
        <v/>
      </c>
      <c r="H236" s="10">
        <f>IF('Data Entry'!A236="","",'Data Entry'!H236)</f>
        <v/>
      </c>
      <c r="I236" s="10">
        <f>IF('Data Entry'!A236="","",'Data Entry'!I236)</f>
        <v/>
      </c>
      <c r="J236" s="12">
        <f>IF('Data Entry'!A236="","",IF('Data Entry'!D236&lt;&gt;"",'Data Entry'!D236,'Data Entry'!E236))</f>
        <v/>
      </c>
      <c r="K236" s="10">
        <f>IF('Data Entry'!A236="","",IFERROR(SUMIFS($H$5:$H$2001,$J$5:$J$2001,$J236,$B$5:$B$2001,$B236,$A$5:$A$2001,(MAXIFS($A$5:$A$2001,$J$5:$J$2001,$J236,$B$5:$B$2001,$B236,$A$5:$A$2001,"&lt;"&amp;$A236))),""))</f>
        <v/>
      </c>
      <c r="L236" s="14">
        <f>IF(OR('Data Entry'!A236="",$K236=""),"",$H236-$K236)</f>
        <v/>
      </c>
      <c r="M236" s="15">
        <f>IF(OR('Data Entry'!A236="",$K236="",$K236=0),"",$L236/$K236)</f>
        <v/>
      </c>
      <c r="N236" s="12">
        <f>IF('Data Entry'!A236="","",IF($L236="","New item",IF($L236&gt;0,"UP",IF($L236&lt;0,"down","same"))))</f>
        <v/>
      </c>
    </row>
    <row r="237">
      <c r="A237" s="11">
        <f>IF('Data Entry'!A237="","",'Data Entry'!A237)</f>
        <v/>
      </c>
      <c r="B237" s="12">
        <f>IF('Data Entry'!A237="","",'Data Entry'!B237)</f>
        <v/>
      </c>
      <c r="C237" s="12">
        <f>IF('Data Entry'!A237="","",'Data Entry'!C237)</f>
        <v/>
      </c>
      <c r="D237" s="12">
        <f>IF('Data Entry'!A237="","",'Data Entry'!D237)</f>
        <v/>
      </c>
      <c r="E237" s="12">
        <f>IF('Data Entry'!A237="","",'Data Entry'!E237)</f>
        <v/>
      </c>
      <c r="F237" s="12">
        <f>IF('Data Entry'!A237="","",'Data Entry'!F237)</f>
        <v/>
      </c>
      <c r="G237" s="13">
        <f>IF('Data Entry'!A237="","",'Data Entry'!G237)</f>
        <v/>
      </c>
      <c r="H237" s="10">
        <f>IF('Data Entry'!A237="","",'Data Entry'!H237)</f>
        <v/>
      </c>
      <c r="I237" s="10">
        <f>IF('Data Entry'!A237="","",'Data Entry'!I237)</f>
        <v/>
      </c>
      <c r="J237" s="12">
        <f>IF('Data Entry'!A237="","",IF('Data Entry'!D237&lt;&gt;"",'Data Entry'!D237,'Data Entry'!E237))</f>
        <v/>
      </c>
      <c r="K237" s="10">
        <f>IF('Data Entry'!A237="","",IFERROR(SUMIFS($H$5:$H$2001,$J$5:$J$2001,$J237,$B$5:$B$2001,$B237,$A$5:$A$2001,(MAXIFS($A$5:$A$2001,$J$5:$J$2001,$J237,$B$5:$B$2001,$B237,$A$5:$A$2001,"&lt;"&amp;$A237))),""))</f>
        <v/>
      </c>
      <c r="L237" s="14">
        <f>IF(OR('Data Entry'!A237="",$K237=""),"",$H237-$K237)</f>
        <v/>
      </c>
      <c r="M237" s="15">
        <f>IF(OR('Data Entry'!A237="",$K237="",$K237=0),"",$L237/$K237)</f>
        <v/>
      </c>
      <c r="N237" s="12">
        <f>IF('Data Entry'!A237="","",IF($L237="","New item",IF($L237&gt;0,"UP",IF($L237&lt;0,"down","same"))))</f>
        <v/>
      </c>
    </row>
    <row r="238">
      <c r="A238" s="11">
        <f>IF('Data Entry'!A238="","",'Data Entry'!A238)</f>
        <v/>
      </c>
      <c r="B238" s="12">
        <f>IF('Data Entry'!A238="","",'Data Entry'!B238)</f>
        <v/>
      </c>
      <c r="C238" s="12">
        <f>IF('Data Entry'!A238="","",'Data Entry'!C238)</f>
        <v/>
      </c>
      <c r="D238" s="12">
        <f>IF('Data Entry'!A238="","",'Data Entry'!D238)</f>
        <v/>
      </c>
      <c r="E238" s="12">
        <f>IF('Data Entry'!A238="","",'Data Entry'!E238)</f>
        <v/>
      </c>
      <c r="F238" s="12">
        <f>IF('Data Entry'!A238="","",'Data Entry'!F238)</f>
        <v/>
      </c>
      <c r="G238" s="13">
        <f>IF('Data Entry'!A238="","",'Data Entry'!G238)</f>
        <v/>
      </c>
      <c r="H238" s="10">
        <f>IF('Data Entry'!A238="","",'Data Entry'!H238)</f>
        <v/>
      </c>
      <c r="I238" s="10">
        <f>IF('Data Entry'!A238="","",'Data Entry'!I238)</f>
        <v/>
      </c>
      <c r="J238" s="12">
        <f>IF('Data Entry'!A238="","",IF('Data Entry'!D238&lt;&gt;"",'Data Entry'!D238,'Data Entry'!E238))</f>
        <v/>
      </c>
      <c r="K238" s="10">
        <f>IF('Data Entry'!A238="","",IFERROR(SUMIFS($H$5:$H$2001,$J$5:$J$2001,$J238,$B$5:$B$2001,$B238,$A$5:$A$2001,(MAXIFS($A$5:$A$2001,$J$5:$J$2001,$J238,$B$5:$B$2001,$B238,$A$5:$A$2001,"&lt;"&amp;$A238))),""))</f>
        <v/>
      </c>
      <c r="L238" s="14">
        <f>IF(OR('Data Entry'!A238="",$K238=""),"",$H238-$K238)</f>
        <v/>
      </c>
      <c r="M238" s="15">
        <f>IF(OR('Data Entry'!A238="",$K238="",$K238=0),"",$L238/$K238)</f>
        <v/>
      </c>
      <c r="N238" s="12">
        <f>IF('Data Entry'!A238="","",IF($L238="","New item",IF($L238&gt;0,"UP",IF($L238&lt;0,"down","same"))))</f>
        <v/>
      </c>
    </row>
    <row r="239">
      <c r="A239" s="11">
        <f>IF('Data Entry'!A239="","",'Data Entry'!A239)</f>
        <v/>
      </c>
      <c r="B239" s="12">
        <f>IF('Data Entry'!A239="","",'Data Entry'!B239)</f>
        <v/>
      </c>
      <c r="C239" s="12">
        <f>IF('Data Entry'!A239="","",'Data Entry'!C239)</f>
        <v/>
      </c>
      <c r="D239" s="12">
        <f>IF('Data Entry'!A239="","",'Data Entry'!D239)</f>
        <v/>
      </c>
      <c r="E239" s="12">
        <f>IF('Data Entry'!A239="","",'Data Entry'!E239)</f>
        <v/>
      </c>
      <c r="F239" s="12">
        <f>IF('Data Entry'!A239="","",'Data Entry'!F239)</f>
        <v/>
      </c>
      <c r="G239" s="13">
        <f>IF('Data Entry'!A239="","",'Data Entry'!G239)</f>
        <v/>
      </c>
      <c r="H239" s="10">
        <f>IF('Data Entry'!A239="","",'Data Entry'!H239)</f>
        <v/>
      </c>
      <c r="I239" s="10">
        <f>IF('Data Entry'!A239="","",'Data Entry'!I239)</f>
        <v/>
      </c>
      <c r="J239" s="12">
        <f>IF('Data Entry'!A239="","",IF('Data Entry'!D239&lt;&gt;"",'Data Entry'!D239,'Data Entry'!E239))</f>
        <v/>
      </c>
      <c r="K239" s="10">
        <f>IF('Data Entry'!A239="","",IFERROR(SUMIFS($H$5:$H$2001,$J$5:$J$2001,$J239,$B$5:$B$2001,$B239,$A$5:$A$2001,(MAXIFS($A$5:$A$2001,$J$5:$J$2001,$J239,$B$5:$B$2001,$B239,$A$5:$A$2001,"&lt;"&amp;$A239))),""))</f>
        <v/>
      </c>
      <c r="L239" s="14">
        <f>IF(OR('Data Entry'!A239="",$K239=""),"",$H239-$K239)</f>
        <v/>
      </c>
      <c r="M239" s="15">
        <f>IF(OR('Data Entry'!A239="",$K239="",$K239=0),"",$L239/$K239)</f>
        <v/>
      </c>
      <c r="N239" s="12">
        <f>IF('Data Entry'!A239="","",IF($L239="","New item",IF($L239&gt;0,"UP",IF($L239&lt;0,"down","same"))))</f>
        <v/>
      </c>
    </row>
    <row r="240">
      <c r="A240" s="11">
        <f>IF('Data Entry'!A240="","",'Data Entry'!A240)</f>
        <v/>
      </c>
      <c r="B240" s="12">
        <f>IF('Data Entry'!A240="","",'Data Entry'!B240)</f>
        <v/>
      </c>
      <c r="C240" s="12">
        <f>IF('Data Entry'!A240="","",'Data Entry'!C240)</f>
        <v/>
      </c>
      <c r="D240" s="12">
        <f>IF('Data Entry'!A240="","",'Data Entry'!D240)</f>
        <v/>
      </c>
      <c r="E240" s="12">
        <f>IF('Data Entry'!A240="","",'Data Entry'!E240)</f>
        <v/>
      </c>
      <c r="F240" s="12">
        <f>IF('Data Entry'!A240="","",'Data Entry'!F240)</f>
        <v/>
      </c>
      <c r="G240" s="13">
        <f>IF('Data Entry'!A240="","",'Data Entry'!G240)</f>
        <v/>
      </c>
      <c r="H240" s="10">
        <f>IF('Data Entry'!A240="","",'Data Entry'!H240)</f>
        <v/>
      </c>
      <c r="I240" s="10">
        <f>IF('Data Entry'!A240="","",'Data Entry'!I240)</f>
        <v/>
      </c>
      <c r="J240" s="12">
        <f>IF('Data Entry'!A240="","",IF('Data Entry'!D240&lt;&gt;"",'Data Entry'!D240,'Data Entry'!E240))</f>
        <v/>
      </c>
      <c r="K240" s="10">
        <f>IF('Data Entry'!A240="","",IFERROR(SUMIFS($H$5:$H$2001,$J$5:$J$2001,$J240,$B$5:$B$2001,$B240,$A$5:$A$2001,(MAXIFS($A$5:$A$2001,$J$5:$J$2001,$J240,$B$5:$B$2001,$B240,$A$5:$A$2001,"&lt;"&amp;$A240))),""))</f>
        <v/>
      </c>
      <c r="L240" s="14">
        <f>IF(OR('Data Entry'!A240="",$K240=""),"",$H240-$K240)</f>
        <v/>
      </c>
      <c r="M240" s="15">
        <f>IF(OR('Data Entry'!A240="",$K240="",$K240=0),"",$L240/$K240)</f>
        <v/>
      </c>
      <c r="N240" s="12">
        <f>IF('Data Entry'!A240="","",IF($L240="","New item",IF($L240&gt;0,"UP",IF($L240&lt;0,"down","same"))))</f>
        <v/>
      </c>
    </row>
    <row r="241">
      <c r="A241" s="11">
        <f>IF('Data Entry'!A241="","",'Data Entry'!A241)</f>
        <v/>
      </c>
      <c r="B241" s="12">
        <f>IF('Data Entry'!A241="","",'Data Entry'!B241)</f>
        <v/>
      </c>
      <c r="C241" s="12">
        <f>IF('Data Entry'!A241="","",'Data Entry'!C241)</f>
        <v/>
      </c>
      <c r="D241" s="12">
        <f>IF('Data Entry'!A241="","",'Data Entry'!D241)</f>
        <v/>
      </c>
      <c r="E241" s="12">
        <f>IF('Data Entry'!A241="","",'Data Entry'!E241)</f>
        <v/>
      </c>
      <c r="F241" s="12">
        <f>IF('Data Entry'!A241="","",'Data Entry'!F241)</f>
        <v/>
      </c>
      <c r="G241" s="13">
        <f>IF('Data Entry'!A241="","",'Data Entry'!G241)</f>
        <v/>
      </c>
      <c r="H241" s="10">
        <f>IF('Data Entry'!A241="","",'Data Entry'!H241)</f>
        <v/>
      </c>
      <c r="I241" s="10">
        <f>IF('Data Entry'!A241="","",'Data Entry'!I241)</f>
        <v/>
      </c>
      <c r="J241" s="12">
        <f>IF('Data Entry'!A241="","",IF('Data Entry'!D241&lt;&gt;"",'Data Entry'!D241,'Data Entry'!E241))</f>
        <v/>
      </c>
      <c r="K241" s="10">
        <f>IF('Data Entry'!A241="","",IFERROR(SUMIFS($H$5:$H$2001,$J$5:$J$2001,$J241,$B$5:$B$2001,$B241,$A$5:$A$2001,(MAXIFS($A$5:$A$2001,$J$5:$J$2001,$J241,$B$5:$B$2001,$B241,$A$5:$A$2001,"&lt;"&amp;$A241))),""))</f>
        <v/>
      </c>
      <c r="L241" s="14">
        <f>IF(OR('Data Entry'!A241="",$K241=""),"",$H241-$K241)</f>
        <v/>
      </c>
      <c r="M241" s="15">
        <f>IF(OR('Data Entry'!A241="",$K241="",$K241=0),"",$L241/$K241)</f>
        <v/>
      </c>
      <c r="N241" s="12">
        <f>IF('Data Entry'!A241="","",IF($L241="","New item",IF($L241&gt;0,"UP",IF($L241&lt;0,"down","same"))))</f>
        <v/>
      </c>
    </row>
    <row r="242">
      <c r="A242" s="11">
        <f>IF('Data Entry'!A242="","",'Data Entry'!A242)</f>
        <v/>
      </c>
      <c r="B242" s="12">
        <f>IF('Data Entry'!A242="","",'Data Entry'!B242)</f>
        <v/>
      </c>
      <c r="C242" s="12">
        <f>IF('Data Entry'!A242="","",'Data Entry'!C242)</f>
        <v/>
      </c>
      <c r="D242" s="12">
        <f>IF('Data Entry'!A242="","",'Data Entry'!D242)</f>
        <v/>
      </c>
      <c r="E242" s="12">
        <f>IF('Data Entry'!A242="","",'Data Entry'!E242)</f>
        <v/>
      </c>
      <c r="F242" s="12">
        <f>IF('Data Entry'!A242="","",'Data Entry'!F242)</f>
        <v/>
      </c>
      <c r="G242" s="13">
        <f>IF('Data Entry'!A242="","",'Data Entry'!G242)</f>
        <v/>
      </c>
      <c r="H242" s="10">
        <f>IF('Data Entry'!A242="","",'Data Entry'!H242)</f>
        <v/>
      </c>
      <c r="I242" s="10">
        <f>IF('Data Entry'!A242="","",'Data Entry'!I242)</f>
        <v/>
      </c>
      <c r="J242" s="12">
        <f>IF('Data Entry'!A242="","",IF('Data Entry'!D242&lt;&gt;"",'Data Entry'!D242,'Data Entry'!E242))</f>
        <v/>
      </c>
      <c r="K242" s="10">
        <f>IF('Data Entry'!A242="","",IFERROR(SUMIFS($H$5:$H$2001,$J$5:$J$2001,$J242,$B$5:$B$2001,$B242,$A$5:$A$2001,(MAXIFS($A$5:$A$2001,$J$5:$J$2001,$J242,$B$5:$B$2001,$B242,$A$5:$A$2001,"&lt;"&amp;$A242))),""))</f>
        <v/>
      </c>
      <c r="L242" s="14">
        <f>IF(OR('Data Entry'!A242="",$K242=""),"",$H242-$K242)</f>
        <v/>
      </c>
      <c r="M242" s="15">
        <f>IF(OR('Data Entry'!A242="",$K242="",$K242=0),"",$L242/$K242)</f>
        <v/>
      </c>
      <c r="N242" s="12">
        <f>IF('Data Entry'!A242="","",IF($L242="","New item",IF($L242&gt;0,"UP",IF($L242&lt;0,"down","same"))))</f>
        <v/>
      </c>
    </row>
    <row r="243">
      <c r="A243" s="11">
        <f>IF('Data Entry'!A243="","",'Data Entry'!A243)</f>
        <v/>
      </c>
      <c r="B243" s="12">
        <f>IF('Data Entry'!A243="","",'Data Entry'!B243)</f>
        <v/>
      </c>
      <c r="C243" s="12">
        <f>IF('Data Entry'!A243="","",'Data Entry'!C243)</f>
        <v/>
      </c>
      <c r="D243" s="12">
        <f>IF('Data Entry'!A243="","",'Data Entry'!D243)</f>
        <v/>
      </c>
      <c r="E243" s="12">
        <f>IF('Data Entry'!A243="","",'Data Entry'!E243)</f>
        <v/>
      </c>
      <c r="F243" s="12">
        <f>IF('Data Entry'!A243="","",'Data Entry'!F243)</f>
        <v/>
      </c>
      <c r="G243" s="13">
        <f>IF('Data Entry'!A243="","",'Data Entry'!G243)</f>
        <v/>
      </c>
      <c r="H243" s="10">
        <f>IF('Data Entry'!A243="","",'Data Entry'!H243)</f>
        <v/>
      </c>
      <c r="I243" s="10">
        <f>IF('Data Entry'!A243="","",'Data Entry'!I243)</f>
        <v/>
      </c>
      <c r="J243" s="12">
        <f>IF('Data Entry'!A243="","",IF('Data Entry'!D243&lt;&gt;"",'Data Entry'!D243,'Data Entry'!E243))</f>
        <v/>
      </c>
      <c r="K243" s="10">
        <f>IF('Data Entry'!A243="","",IFERROR(SUMIFS($H$5:$H$2001,$J$5:$J$2001,$J243,$B$5:$B$2001,$B243,$A$5:$A$2001,(MAXIFS($A$5:$A$2001,$J$5:$J$2001,$J243,$B$5:$B$2001,$B243,$A$5:$A$2001,"&lt;"&amp;$A243))),""))</f>
        <v/>
      </c>
      <c r="L243" s="14">
        <f>IF(OR('Data Entry'!A243="",$K243=""),"",$H243-$K243)</f>
        <v/>
      </c>
      <c r="M243" s="15">
        <f>IF(OR('Data Entry'!A243="",$K243="",$K243=0),"",$L243/$K243)</f>
        <v/>
      </c>
      <c r="N243" s="12">
        <f>IF('Data Entry'!A243="","",IF($L243="","New item",IF($L243&gt;0,"UP",IF($L243&lt;0,"down","same"))))</f>
        <v/>
      </c>
    </row>
    <row r="244">
      <c r="A244" s="11">
        <f>IF('Data Entry'!A244="","",'Data Entry'!A244)</f>
        <v/>
      </c>
      <c r="B244" s="12">
        <f>IF('Data Entry'!A244="","",'Data Entry'!B244)</f>
        <v/>
      </c>
      <c r="C244" s="12">
        <f>IF('Data Entry'!A244="","",'Data Entry'!C244)</f>
        <v/>
      </c>
      <c r="D244" s="12">
        <f>IF('Data Entry'!A244="","",'Data Entry'!D244)</f>
        <v/>
      </c>
      <c r="E244" s="12">
        <f>IF('Data Entry'!A244="","",'Data Entry'!E244)</f>
        <v/>
      </c>
      <c r="F244" s="12">
        <f>IF('Data Entry'!A244="","",'Data Entry'!F244)</f>
        <v/>
      </c>
      <c r="G244" s="13">
        <f>IF('Data Entry'!A244="","",'Data Entry'!G244)</f>
        <v/>
      </c>
      <c r="H244" s="10">
        <f>IF('Data Entry'!A244="","",'Data Entry'!H244)</f>
        <v/>
      </c>
      <c r="I244" s="10">
        <f>IF('Data Entry'!A244="","",'Data Entry'!I244)</f>
        <v/>
      </c>
      <c r="J244" s="12">
        <f>IF('Data Entry'!A244="","",IF('Data Entry'!D244&lt;&gt;"",'Data Entry'!D244,'Data Entry'!E244))</f>
        <v/>
      </c>
      <c r="K244" s="10">
        <f>IF('Data Entry'!A244="","",IFERROR(SUMIFS($H$5:$H$2001,$J$5:$J$2001,$J244,$B$5:$B$2001,$B244,$A$5:$A$2001,(MAXIFS($A$5:$A$2001,$J$5:$J$2001,$J244,$B$5:$B$2001,$B244,$A$5:$A$2001,"&lt;"&amp;$A244))),""))</f>
        <v/>
      </c>
      <c r="L244" s="14">
        <f>IF(OR('Data Entry'!A244="",$K244=""),"",$H244-$K244)</f>
        <v/>
      </c>
      <c r="M244" s="15">
        <f>IF(OR('Data Entry'!A244="",$K244="",$K244=0),"",$L244/$K244)</f>
        <v/>
      </c>
      <c r="N244" s="12">
        <f>IF('Data Entry'!A244="","",IF($L244="","New item",IF($L244&gt;0,"UP",IF($L244&lt;0,"down","same"))))</f>
        <v/>
      </c>
    </row>
    <row r="245">
      <c r="A245" s="11">
        <f>IF('Data Entry'!A245="","",'Data Entry'!A245)</f>
        <v/>
      </c>
      <c r="B245" s="12">
        <f>IF('Data Entry'!A245="","",'Data Entry'!B245)</f>
        <v/>
      </c>
      <c r="C245" s="12">
        <f>IF('Data Entry'!A245="","",'Data Entry'!C245)</f>
        <v/>
      </c>
      <c r="D245" s="12">
        <f>IF('Data Entry'!A245="","",'Data Entry'!D245)</f>
        <v/>
      </c>
      <c r="E245" s="12">
        <f>IF('Data Entry'!A245="","",'Data Entry'!E245)</f>
        <v/>
      </c>
      <c r="F245" s="12">
        <f>IF('Data Entry'!A245="","",'Data Entry'!F245)</f>
        <v/>
      </c>
      <c r="G245" s="13">
        <f>IF('Data Entry'!A245="","",'Data Entry'!G245)</f>
        <v/>
      </c>
      <c r="H245" s="10">
        <f>IF('Data Entry'!A245="","",'Data Entry'!H245)</f>
        <v/>
      </c>
      <c r="I245" s="10">
        <f>IF('Data Entry'!A245="","",'Data Entry'!I245)</f>
        <v/>
      </c>
      <c r="J245" s="12">
        <f>IF('Data Entry'!A245="","",IF('Data Entry'!D245&lt;&gt;"",'Data Entry'!D245,'Data Entry'!E245))</f>
        <v/>
      </c>
      <c r="K245" s="10">
        <f>IF('Data Entry'!A245="","",IFERROR(SUMIFS($H$5:$H$2001,$J$5:$J$2001,$J245,$B$5:$B$2001,$B245,$A$5:$A$2001,(MAXIFS($A$5:$A$2001,$J$5:$J$2001,$J245,$B$5:$B$2001,$B245,$A$5:$A$2001,"&lt;"&amp;$A245))),""))</f>
        <v/>
      </c>
      <c r="L245" s="14">
        <f>IF(OR('Data Entry'!A245="",$K245=""),"",$H245-$K245)</f>
        <v/>
      </c>
      <c r="M245" s="15">
        <f>IF(OR('Data Entry'!A245="",$K245="",$K245=0),"",$L245/$K245)</f>
        <v/>
      </c>
      <c r="N245" s="12">
        <f>IF('Data Entry'!A245="","",IF($L245="","New item",IF($L245&gt;0,"UP",IF($L245&lt;0,"down","same"))))</f>
        <v/>
      </c>
    </row>
    <row r="246">
      <c r="A246" s="11">
        <f>IF('Data Entry'!A246="","",'Data Entry'!A246)</f>
        <v/>
      </c>
      <c r="B246" s="12">
        <f>IF('Data Entry'!A246="","",'Data Entry'!B246)</f>
        <v/>
      </c>
      <c r="C246" s="12">
        <f>IF('Data Entry'!A246="","",'Data Entry'!C246)</f>
        <v/>
      </c>
      <c r="D246" s="12">
        <f>IF('Data Entry'!A246="","",'Data Entry'!D246)</f>
        <v/>
      </c>
      <c r="E246" s="12">
        <f>IF('Data Entry'!A246="","",'Data Entry'!E246)</f>
        <v/>
      </c>
      <c r="F246" s="12">
        <f>IF('Data Entry'!A246="","",'Data Entry'!F246)</f>
        <v/>
      </c>
      <c r="G246" s="13">
        <f>IF('Data Entry'!A246="","",'Data Entry'!G246)</f>
        <v/>
      </c>
      <c r="H246" s="10">
        <f>IF('Data Entry'!A246="","",'Data Entry'!H246)</f>
        <v/>
      </c>
      <c r="I246" s="10">
        <f>IF('Data Entry'!A246="","",'Data Entry'!I246)</f>
        <v/>
      </c>
      <c r="J246" s="12">
        <f>IF('Data Entry'!A246="","",IF('Data Entry'!D246&lt;&gt;"",'Data Entry'!D246,'Data Entry'!E246))</f>
        <v/>
      </c>
      <c r="K246" s="10">
        <f>IF('Data Entry'!A246="","",IFERROR(SUMIFS($H$5:$H$2001,$J$5:$J$2001,$J246,$B$5:$B$2001,$B246,$A$5:$A$2001,(MAXIFS($A$5:$A$2001,$J$5:$J$2001,$J246,$B$5:$B$2001,$B246,$A$5:$A$2001,"&lt;"&amp;$A246))),""))</f>
        <v/>
      </c>
      <c r="L246" s="14">
        <f>IF(OR('Data Entry'!A246="",$K246=""),"",$H246-$K246)</f>
        <v/>
      </c>
      <c r="M246" s="15">
        <f>IF(OR('Data Entry'!A246="",$K246="",$K246=0),"",$L246/$K246)</f>
        <v/>
      </c>
      <c r="N246" s="12">
        <f>IF('Data Entry'!A246="","",IF($L246="","New item",IF($L246&gt;0,"UP",IF($L246&lt;0,"down","same"))))</f>
        <v/>
      </c>
    </row>
    <row r="247">
      <c r="A247" s="11">
        <f>IF('Data Entry'!A247="","",'Data Entry'!A247)</f>
        <v/>
      </c>
      <c r="B247" s="12">
        <f>IF('Data Entry'!A247="","",'Data Entry'!B247)</f>
        <v/>
      </c>
      <c r="C247" s="12">
        <f>IF('Data Entry'!A247="","",'Data Entry'!C247)</f>
        <v/>
      </c>
      <c r="D247" s="12">
        <f>IF('Data Entry'!A247="","",'Data Entry'!D247)</f>
        <v/>
      </c>
      <c r="E247" s="12">
        <f>IF('Data Entry'!A247="","",'Data Entry'!E247)</f>
        <v/>
      </c>
      <c r="F247" s="12">
        <f>IF('Data Entry'!A247="","",'Data Entry'!F247)</f>
        <v/>
      </c>
      <c r="G247" s="13">
        <f>IF('Data Entry'!A247="","",'Data Entry'!G247)</f>
        <v/>
      </c>
      <c r="H247" s="10">
        <f>IF('Data Entry'!A247="","",'Data Entry'!H247)</f>
        <v/>
      </c>
      <c r="I247" s="10">
        <f>IF('Data Entry'!A247="","",'Data Entry'!I247)</f>
        <v/>
      </c>
      <c r="J247" s="12">
        <f>IF('Data Entry'!A247="","",IF('Data Entry'!D247&lt;&gt;"",'Data Entry'!D247,'Data Entry'!E247))</f>
        <v/>
      </c>
      <c r="K247" s="10">
        <f>IF('Data Entry'!A247="","",IFERROR(SUMIFS($H$5:$H$2001,$J$5:$J$2001,$J247,$B$5:$B$2001,$B247,$A$5:$A$2001,(MAXIFS($A$5:$A$2001,$J$5:$J$2001,$J247,$B$5:$B$2001,$B247,$A$5:$A$2001,"&lt;"&amp;$A247))),""))</f>
        <v/>
      </c>
      <c r="L247" s="14">
        <f>IF(OR('Data Entry'!A247="",$K247=""),"",$H247-$K247)</f>
        <v/>
      </c>
      <c r="M247" s="15">
        <f>IF(OR('Data Entry'!A247="",$K247="",$K247=0),"",$L247/$K247)</f>
        <v/>
      </c>
      <c r="N247" s="12">
        <f>IF('Data Entry'!A247="","",IF($L247="","New item",IF($L247&gt;0,"UP",IF($L247&lt;0,"down","same"))))</f>
        <v/>
      </c>
    </row>
    <row r="248">
      <c r="A248" s="11">
        <f>IF('Data Entry'!A248="","",'Data Entry'!A248)</f>
        <v/>
      </c>
      <c r="B248" s="12">
        <f>IF('Data Entry'!A248="","",'Data Entry'!B248)</f>
        <v/>
      </c>
      <c r="C248" s="12">
        <f>IF('Data Entry'!A248="","",'Data Entry'!C248)</f>
        <v/>
      </c>
      <c r="D248" s="12">
        <f>IF('Data Entry'!A248="","",'Data Entry'!D248)</f>
        <v/>
      </c>
      <c r="E248" s="12">
        <f>IF('Data Entry'!A248="","",'Data Entry'!E248)</f>
        <v/>
      </c>
      <c r="F248" s="12">
        <f>IF('Data Entry'!A248="","",'Data Entry'!F248)</f>
        <v/>
      </c>
      <c r="G248" s="13">
        <f>IF('Data Entry'!A248="","",'Data Entry'!G248)</f>
        <v/>
      </c>
      <c r="H248" s="10">
        <f>IF('Data Entry'!A248="","",'Data Entry'!H248)</f>
        <v/>
      </c>
      <c r="I248" s="10">
        <f>IF('Data Entry'!A248="","",'Data Entry'!I248)</f>
        <v/>
      </c>
      <c r="J248" s="12">
        <f>IF('Data Entry'!A248="","",IF('Data Entry'!D248&lt;&gt;"",'Data Entry'!D248,'Data Entry'!E248))</f>
        <v/>
      </c>
      <c r="K248" s="10">
        <f>IF('Data Entry'!A248="","",IFERROR(SUMIFS($H$5:$H$2001,$J$5:$J$2001,$J248,$B$5:$B$2001,$B248,$A$5:$A$2001,(MAXIFS($A$5:$A$2001,$J$5:$J$2001,$J248,$B$5:$B$2001,$B248,$A$5:$A$2001,"&lt;"&amp;$A248))),""))</f>
        <v/>
      </c>
      <c r="L248" s="14">
        <f>IF(OR('Data Entry'!A248="",$K248=""),"",$H248-$K248)</f>
        <v/>
      </c>
      <c r="M248" s="15">
        <f>IF(OR('Data Entry'!A248="",$K248="",$K248=0),"",$L248/$K248)</f>
        <v/>
      </c>
      <c r="N248" s="12">
        <f>IF('Data Entry'!A248="","",IF($L248="","New item",IF($L248&gt;0,"UP",IF($L248&lt;0,"down","same"))))</f>
        <v/>
      </c>
    </row>
    <row r="249">
      <c r="A249" s="11">
        <f>IF('Data Entry'!A249="","",'Data Entry'!A249)</f>
        <v/>
      </c>
      <c r="B249" s="12">
        <f>IF('Data Entry'!A249="","",'Data Entry'!B249)</f>
        <v/>
      </c>
      <c r="C249" s="12">
        <f>IF('Data Entry'!A249="","",'Data Entry'!C249)</f>
        <v/>
      </c>
      <c r="D249" s="12">
        <f>IF('Data Entry'!A249="","",'Data Entry'!D249)</f>
        <v/>
      </c>
      <c r="E249" s="12">
        <f>IF('Data Entry'!A249="","",'Data Entry'!E249)</f>
        <v/>
      </c>
      <c r="F249" s="12">
        <f>IF('Data Entry'!A249="","",'Data Entry'!F249)</f>
        <v/>
      </c>
      <c r="G249" s="13">
        <f>IF('Data Entry'!A249="","",'Data Entry'!G249)</f>
        <v/>
      </c>
      <c r="H249" s="10">
        <f>IF('Data Entry'!A249="","",'Data Entry'!H249)</f>
        <v/>
      </c>
      <c r="I249" s="10">
        <f>IF('Data Entry'!A249="","",'Data Entry'!I249)</f>
        <v/>
      </c>
      <c r="J249" s="12">
        <f>IF('Data Entry'!A249="","",IF('Data Entry'!D249&lt;&gt;"",'Data Entry'!D249,'Data Entry'!E249))</f>
        <v/>
      </c>
      <c r="K249" s="10">
        <f>IF('Data Entry'!A249="","",IFERROR(SUMIFS($H$5:$H$2001,$J$5:$J$2001,$J249,$B$5:$B$2001,$B249,$A$5:$A$2001,(MAXIFS($A$5:$A$2001,$J$5:$J$2001,$J249,$B$5:$B$2001,$B249,$A$5:$A$2001,"&lt;"&amp;$A249))),""))</f>
        <v/>
      </c>
      <c r="L249" s="14">
        <f>IF(OR('Data Entry'!A249="",$K249=""),"",$H249-$K249)</f>
        <v/>
      </c>
      <c r="M249" s="15">
        <f>IF(OR('Data Entry'!A249="",$K249="",$K249=0),"",$L249/$K249)</f>
        <v/>
      </c>
      <c r="N249" s="12">
        <f>IF('Data Entry'!A249="","",IF($L249="","New item",IF($L249&gt;0,"UP",IF($L249&lt;0,"down","same"))))</f>
        <v/>
      </c>
    </row>
    <row r="250">
      <c r="A250" s="11">
        <f>IF('Data Entry'!A250="","",'Data Entry'!A250)</f>
        <v/>
      </c>
      <c r="B250" s="12">
        <f>IF('Data Entry'!A250="","",'Data Entry'!B250)</f>
        <v/>
      </c>
      <c r="C250" s="12">
        <f>IF('Data Entry'!A250="","",'Data Entry'!C250)</f>
        <v/>
      </c>
      <c r="D250" s="12">
        <f>IF('Data Entry'!A250="","",'Data Entry'!D250)</f>
        <v/>
      </c>
      <c r="E250" s="12">
        <f>IF('Data Entry'!A250="","",'Data Entry'!E250)</f>
        <v/>
      </c>
      <c r="F250" s="12">
        <f>IF('Data Entry'!A250="","",'Data Entry'!F250)</f>
        <v/>
      </c>
      <c r="G250" s="13">
        <f>IF('Data Entry'!A250="","",'Data Entry'!G250)</f>
        <v/>
      </c>
      <c r="H250" s="10">
        <f>IF('Data Entry'!A250="","",'Data Entry'!H250)</f>
        <v/>
      </c>
      <c r="I250" s="10">
        <f>IF('Data Entry'!A250="","",'Data Entry'!I250)</f>
        <v/>
      </c>
      <c r="J250" s="12">
        <f>IF('Data Entry'!A250="","",IF('Data Entry'!D250&lt;&gt;"",'Data Entry'!D250,'Data Entry'!E250))</f>
        <v/>
      </c>
      <c r="K250" s="10">
        <f>IF('Data Entry'!A250="","",IFERROR(SUMIFS($H$5:$H$2001,$J$5:$J$2001,$J250,$B$5:$B$2001,$B250,$A$5:$A$2001,(MAXIFS($A$5:$A$2001,$J$5:$J$2001,$J250,$B$5:$B$2001,$B250,$A$5:$A$2001,"&lt;"&amp;$A250))),""))</f>
        <v/>
      </c>
      <c r="L250" s="14">
        <f>IF(OR('Data Entry'!A250="",$K250=""),"",$H250-$K250)</f>
        <v/>
      </c>
      <c r="M250" s="15">
        <f>IF(OR('Data Entry'!A250="",$K250="",$K250=0),"",$L250/$K250)</f>
        <v/>
      </c>
      <c r="N250" s="12">
        <f>IF('Data Entry'!A250="","",IF($L250="","New item",IF($L250&gt;0,"UP",IF($L250&lt;0,"down","same"))))</f>
        <v/>
      </c>
    </row>
    <row r="251">
      <c r="A251" s="11">
        <f>IF('Data Entry'!A251="","",'Data Entry'!A251)</f>
        <v/>
      </c>
      <c r="B251" s="12">
        <f>IF('Data Entry'!A251="","",'Data Entry'!B251)</f>
        <v/>
      </c>
      <c r="C251" s="12">
        <f>IF('Data Entry'!A251="","",'Data Entry'!C251)</f>
        <v/>
      </c>
      <c r="D251" s="12">
        <f>IF('Data Entry'!A251="","",'Data Entry'!D251)</f>
        <v/>
      </c>
      <c r="E251" s="12">
        <f>IF('Data Entry'!A251="","",'Data Entry'!E251)</f>
        <v/>
      </c>
      <c r="F251" s="12">
        <f>IF('Data Entry'!A251="","",'Data Entry'!F251)</f>
        <v/>
      </c>
      <c r="G251" s="13">
        <f>IF('Data Entry'!A251="","",'Data Entry'!G251)</f>
        <v/>
      </c>
      <c r="H251" s="10">
        <f>IF('Data Entry'!A251="","",'Data Entry'!H251)</f>
        <v/>
      </c>
      <c r="I251" s="10">
        <f>IF('Data Entry'!A251="","",'Data Entry'!I251)</f>
        <v/>
      </c>
      <c r="J251" s="12">
        <f>IF('Data Entry'!A251="","",IF('Data Entry'!D251&lt;&gt;"",'Data Entry'!D251,'Data Entry'!E251))</f>
        <v/>
      </c>
      <c r="K251" s="10">
        <f>IF('Data Entry'!A251="","",IFERROR(SUMIFS($H$5:$H$2001,$J$5:$J$2001,$J251,$B$5:$B$2001,$B251,$A$5:$A$2001,(MAXIFS($A$5:$A$2001,$J$5:$J$2001,$J251,$B$5:$B$2001,$B251,$A$5:$A$2001,"&lt;"&amp;$A251))),""))</f>
        <v/>
      </c>
      <c r="L251" s="14">
        <f>IF(OR('Data Entry'!A251="",$K251=""),"",$H251-$K251)</f>
        <v/>
      </c>
      <c r="M251" s="15">
        <f>IF(OR('Data Entry'!A251="",$K251="",$K251=0),"",$L251/$K251)</f>
        <v/>
      </c>
      <c r="N251" s="12">
        <f>IF('Data Entry'!A251="","",IF($L251="","New item",IF($L251&gt;0,"UP",IF($L251&lt;0,"down","same"))))</f>
        <v/>
      </c>
    </row>
    <row r="252">
      <c r="A252" s="11">
        <f>IF('Data Entry'!A252="","",'Data Entry'!A252)</f>
        <v/>
      </c>
      <c r="B252" s="12">
        <f>IF('Data Entry'!A252="","",'Data Entry'!B252)</f>
        <v/>
      </c>
      <c r="C252" s="12">
        <f>IF('Data Entry'!A252="","",'Data Entry'!C252)</f>
        <v/>
      </c>
      <c r="D252" s="12">
        <f>IF('Data Entry'!A252="","",'Data Entry'!D252)</f>
        <v/>
      </c>
      <c r="E252" s="12">
        <f>IF('Data Entry'!A252="","",'Data Entry'!E252)</f>
        <v/>
      </c>
      <c r="F252" s="12">
        <f>IF('Data Entry'!A252="","",'Data Entry'!F252)</f>
        <v/>
      </c>
      <c r="G252" s="13">
        <f>IF('Data Entry'!A252="","",'Data Entry'!G252)</f>
        <v/>
      </c>
      <c r="H252" s="10">
        <f>IF('Data Entry'!A252="","",'Data Entry'!H252)</f>
        <v/>
      </c>
      <c r="I252" s="10">
        <f>IF('Data Entry'!A252="","",'Data Entry'!I252)</f>
        <v/>
      </c>
      <c r="J252" s="12">
        <f>IF('Data Entry'!A252="","",IF('Data Entry'!D252&lt;&gt;"",'Data Entry'!D252,'Data Entry'!E252))</f>
        <v/>
      </c>
      <c r="K252" s="10">
        <f>IF('Data Entry'!A252="","",IFERROR(SUMIFS($H$5:$H$2001,$J$5:$J$2001,$J252,$B$5:$B$2001,$B252,$A$5:$A$2001,(MAXIFS($A$5:$A$2001,$J$5:$J$2001,$J252,$B$5:$B$2001,$B252,$A$5:$A$2001,"&lt;"&amp;$A252))),""))</f>
        <v/>
      </c>
      <c r="L252" s="14">
        <f>IF(OR('Data Entry'!A252="",$K252=""),"",$H252-$K252)</f>
        <v/>
      </c>
      <c r="M252" s="15">
        <f>IF(OR('Data Entry'!A252="",$K252="",$K252=0),"",$L252/$K252)</f>
        <v/>
      </c>
      <c r="N252" s="12">
        <f>IF('Data Entry'!A252="","",IF($L252="","New item",IF($L252&gt;0,"UP",IF($L252&lt;0,"down","same"))))</f>
        <v/>
      </c>
    </row>
    <row r="253">
      <c r="A253" s="11">
        <f>IF('Data Entry'!A253="","",'Data Entry'!A253)</f>
        <v/>
      </c>
      <c r="B253" s="12">
        <f>IF('Data Entry'!A253="","",'Data Entry'!B253)</f>
        <v/>
      </c>
      <c r="C253" s="12">
        <f>IF('Data Entry'!A253="","",'Data Entry'!C253)</f>
        <v/>
      </c>
      <c r="D253" s="12">
        <f>IF('Data Entry'!A253="","",'Data Entry'!D253)</f>
        <v/>
      </c>
      <c r="E253" s="12">
        <f>IF('Data Entry'!A253="","",'Data Entry'!E253)</f>
        <v/>
      </c>
      <c r="F253" s="12">
        <f>IF('Data Entry'!A253="","",'Data Entry'!F253)</f>
        <v/>
      </c>
      <c r="G253" s="13">
        <f>IF('Data Entry'!A253="","",'Data Entry'!G253)</f>
        <v/>
      </c>
      <c r="H253" s="10">
        <f>IF('Data Entry'!A253="","",'Data Entry'!H253)</f>
        <v/>
      </c>
      <c r="I253" s="10">
        <f>IF('Data Entry'!A253="","",'Data Entry'!I253)</f>
        <v/>
      </c>
      <c r="J253" s="12">
        <f>IF('Data Entry'!A253="","",IF('Data Entry'!D253&lt;&gt;"",'Data Entry'!D253,'Data Entry'!E253))</f>
        <v/>
      </c>
      <c r="K253" s="10">
        <f>IF('Data Entry'!A253="","",IFERROR(SUMIFS($H$5:$H$2001,$J$5:$J$2001,$J253,$B$5:$B$2001,$B253,$A$5:$A$2001,(MAXIFS($A$5:$A$2001,$J$5:$J$2001,$J253,$B$5:$B$2001,$B253,$A$5:$A$2001,"&lt;"&amp;$A253))),""))</f>
        <v/>
      </c>
      <c r="L253" s="14">
        <f>IF(OR('Data Entry'!A253="",$K253=""),"",$H253-$K253)</f>
        <v/>
      </c>
      <c r="M253" s="15">
        <f>IF(OR('Data Entry'!A253="",$K253="",$K253=0),"",$L253/$K253)</f>
        <v/>
      </c>
      <c r="N253" s="12">
        <f>IF('Data Entry'!A253="","",IF($L253="","New item",IF($L253&gt;0,"UP",IF($L253&lt;0,"down","same"))))</f>
        <v/>
      </c>
    </row>
    <row r="254">
      <c r="A254" s="11">
        <f>IF('Data Entry'!A254="","",'Data Entry'!A254)</f>
        <v/>
      </c>
      <c r="B254" s="12">
        <f>IF('Data Entry'!A254="","",'Data Entry'!B254)</f>
        <v/>
      </c>
      <c r="C254" s="12">
        <f>IF('Data Entry'!A254="","",'Data Entry'!C254)</f>
        <v/>
      </c>
      <c r="D254" s="12">
        <f>IF('Data Entry'!A254="","",'Data Entry'!D254)</f>
        <v/>
      </c>
      <c r="E254" s="12">
        <f>IF('Data Entry'!A254="","",'Data Entry'!E254)</f>
        <v/>
      </c>
      <c r="F254" s="12">
        <f>IF('Data Entry'!A254="","",'Data Entry'!F254)</f>
        <v/>
      </c>
      <c r="G254" s="13">
        <f>IF('Data Entry'!A254="","",'Data Entry'!G254)</f>
        <v/>
      </c>
      <c r="H254" s="10">
        <f>IF('Data Entry'!A254="","",'Data Entry'!H254)</f>
        <v/>
      </c>
      <c r="I254" s="10">
        <f>IF('Data Entry'!A254="","",'Data Entry'!I254)</f>
        <v/>
      </c>
      <c r="J254" s="12">
        <f>IF('Data Entry'!A254="","",IF('Data Entry'!D254&lt;&gt;"",'Data Entry'!D254,'Data Entry'!E254))</f>
        <v/>
      </c>
      <c r="K254" s="10">
        <f>IF('Data Entry'!A254="","",IFERROR(SUMIFS($H$5:$H$2001,$J$5:$J$2001,$J254,$B$5:$B$2001,$B254,$A$5:$A$2001,(MAXIFS($A$5:$A$2001,$J$5:$J$2001,$J254,$B$5:$B$2001,$B254,$A$5:$A$2001,"&lt;"&amp;$A254))),""))</f>
        <v/>
      </c>
      <c r="L254" s="14">
        <f>IF(OR('Data Entry'!A254="",$K254=""),"",$H254-$K254)</f>
        <v/>
      </c>
      <c r="M254" s="15">
        <f>IF(OR('Data Entry'!A254="",$K254="",$K254=0),"",$L254/$K254)</f>
        <v/>
      </c>
      <c r="N254" s="12">
        <f>IF('Data Entry'!A254="","",IF($L254="","New item",IF($L254&gt;0,"UP",IF($L254&lt;0,"down","same"))))</f>
        <v/>
      </c>
    </row>
    <row r="255">
      <c r="A255" s="11">
        <f>IF('Data Entry'!A255="","",'Data Entry'!A255)</f>
        <v/>
      </c>
      <c r="B255" s="12">
        <f>IF('Data Entry'!A255="","",'Data Entry'!B255)</f>
        <v/>
      </c>
      <c r="C255" s="12">
        <f>IF('Data Entry'!A255="","",'Data Entry'!C255)</f>
        <v/>
      </c>
      <c r="D255" s="12">
        <f>IF('Data Entry'!A255="","",'Data Entry'!D255)</f>
        <v/>
      </c>
      <c r="E255" s="12">
        <f>IF('Data Entry'!A255="","",'Data Entry'!E255)</f>
        <v/>
      </c>
      <c r="F255" s="12">
        <f>IF('Data Entry'!A255="","",'Data Entry'!F255)</f>
        <v/>
      </c>
      <c r="G255" s="13">
        <f>IF('Data Entry'!A255="","",'Data Entry'!G255)</f>
        <v/>
      </c>
      <c r="H255" s="10">
        <f>IF('Data Entry'!A255="","",'Data Entry'!H255)</f>
        <v/>
      </c>
      <c r="I255" s="10">
        <f>IF('Data Entry'!A255="","",'Data Entry'!I255)</f>
        <v/>
      </c>
      <c r="J255" s="12">
        <f>IF('Data Entry'!A255="","",IF('Data Entry'!D255&lt;&gt;"",'Data Entry'!D255,'Data Entry'!E255))</f>
        <v/>
      </c>
      <c r="K255" s="10">
        <f>IF('Data Entry'!A255="","",IFERROR(SUMIFS($H$5:$H$2001,$J$5:$J$2001,$J255,$B$5:$B$2001,$B255,$A$5:$A$2001,(MAXIFS($A$5:$A$2001,$J$5:$J$2001,$J255,$B$5:$B$2001,$B255,$A$5:$A$2001,"&lt;"&amp;$A255))),""))</f>
        <v/>
      </c>
      <c r="L255" s="14">
        <f>IF(OR('Data Entry'!A255="",$K255=""),"",$H255-$K255)</f>
        <v/>
      </c>
      <c r="M255" s="15">
        <f>IF(OR('Data Entry'!A255="",$K255="",$K255=0),"",$L255/$K255)</f>
        <v/>
      </c>
      <c r="N255" s="12">
        <f>IF('Data Entry'!A255="","",IF($L255="","New item",IF($L255&gt;0,"UP",IF($L255&lt;0,"down","same"))))</f>
        <v/>
      </c>
    </row>
    <row r="256">
      <c r="A256" s="11">
        <f>IF('Data Entry'!A256="","",'Data Entry'!A256)</f>
        <v/>
      </c>
      <c r="B256" s="12">
        <f>IF('Data Entry'!A256="","",'Data Entry'!B256)</f>
        <v/>
      </c>
      <c r="C256" s="12">
        <f>IF('Data Entry'!A256="","",'Data Entry'!C256)</f>
        <v/>
      </c>
      <c r="D256" s="12">
        <f>IF('Data Entry'!A256="","",'Data Entry'!D256)</f>
        <v/>
      </c>
      <c r="E256" s="12">
        <f>IF('Data Entry'!A256="","",'Data Entry'!E256)</f>
        <v/>
      </c>
      <c r="F256" s="12">
        <f>IF('Data Entry'!A256="","",'Data Entry'!F256)</f>
        <v/>
      </c>
      <c r="G256" s="13">
        <f>IF('Data Entry'!A256="","",'Data Entry'!G256)</f>
        <v/>
      </c>
      <c r="H256" s="10">
        <f>IF('Data Entry'!A256="","",'Data Entry'!H256)</f>
        <v/>
      </c>
      <c r="I256" s="10">
        <f>IF('Data Entry'!A256="","",'Data Entry'!I256)</f>
        <v/>
      </c>
      <c r="J256" s="12">
        <f>IF('Data Entry'!A256="","",IF('Data Entry'!D256&lt;&gt;"",'Data Entry'!D256,'Data Entry'!E256))</f>
        <v/>
      </c>
      <c r="K256" s="10">
        <f>IF('Data Entry'!A256="","",IFERROR(SUMIFS($H$5:$H$2001,$J$5:$J$2001,$J256,$B$5:$B$2001,$B256,$A$5:$A$2001,(MAXIFS($A$5:$A$2001,$J$5:$J$2001,$J256,$B$5:$B$2001,$B256,$A$5:$A$2001,"&lt;"&amp;$A256))),""))</f>
        <v/>
      </c>
      <c r="L256" s="14">
        <f>IF(OR('Data Entry'!A256="",$K256=""),"",$H256-$K256)</f>
        <v/>
      </c>
      <c r="M256" s="15">
        <f>IF(OR('Data Entry'!A256="",$K256="",$K256=0),"",$L256/$K256)</f>
        <v/>
      </c>
      <c r="N256" s="12">
        <f>IF('Data Entry'!A256="","",IF($L256="","New item",IF($L256&gt;0,"UP",IF($L256&lt;0,"down","same"))))</f>
        <v/>
      </c>
    </row>
    <row r="257">
      <c r="A257" s="11">
        <f>IF('Data Entry'!A257="","",'Data Entry'!A257)</f>
        <v/>
      </c>
      <c r="B257" s="12">
        <f>IF('Data Entry'!A257="","",'Data Entry'!B257)</f>
        <v/>
      </c>
      <c r="C257" s="12">
        <f>IF('Data Entry'!A257="","",'Data Entry'!C257)</f>
        <v/>
      </c>
      <c r="D257" s="12">
        <f>IF('Data Entry'!A257="","",'Data Entry'!D257)</f>
        <v/>
      </c>
      <c r="E257" s="12">
        <f>IF('Data Entry'!A257="","",'Data Entry'!E257)</f>
        <v/>
      </c>
      <c r="F257" s="12">
        <f>IF('Data Entry'!A257="","",'Data Entry'!F257)</f>
        <v/>
      </c>
      <c r="G257" s="13">
        <f>IF('Data Entry'!A257="","",'Data Entry'!G257)</f>
        <v/>
      </c>
      <c r="H257" s="10">
        <f>IF('Data Entry'!A257="","",'Data Entry'!H257)</f>
        <v/>
      </c>
      <c r="I257" s="10">
        <f>IF('Data Entry'!A257="","",'Data Entry'!I257)</f>
        <v/>
      </c>
      <c r="J257" s="12">
        <f>IF('Data Entry'!A257="","",IF('Data Entry'!D257&lt;&gt;"",'Data Entry'!D257,'Data Entry'!E257))</f>
        <v/>
      </c>
      <c r="K257" s="10">
        <f>IF('Data Entry'!A257="","",IFERROR(SUMIFS($H$5:$H$2001,$J$5:$J$2001,$J257,$B$5:$B$2001,$B257,$A$5:$A$2001,(MAXIFS($A$5:$A$2001,$J$5:$J$2001,$J257,$B$5:$B$2001,$B257,$A$5:$A$2001,"&lt;"&amp;$A257))),""))</f>
        <v/>
      </c>
      <c r="L257" s="14">
        <f>IF(OR('Data Entry'!A257="",$K257=""),"",$H257-$K257)</f>
        <v/>
      </c>
      <c r="M257" s="15">
        <f>IF(OR('Data Entry'!A257="",$K257="",$K257=0),"",$L257/$K257)</f>
        <v/>
      </c>
      <c r="N257" s="12">
        <f>IF('Data Entry'!A257="","",IF($L257="","New item",IF($L257&gt;0,"UP",IF($L257&lt;0,"down","same"))))</f>
        <v/>
      </c>
    </row>
    <row r="258">
      <c r="A258" s="11">
        <f>IF('Data Entry'!A258="","",'Data Entry'!A258)</f>
        <v/>
      </c>
      <c r="B258" s="12">
        <f>IF('Data Entry'!A258="","",'Data Entry'!B258)</f>
        <v/>
      </c>
      <c r="C258" s="12">
        <f>IF('Data Entry'!A258="","",'Data Entry'!C258)</f>
        <v/>
      </c>
      <c r="D258" s="12">
        <f>IF('Data Entry'!A258="","",'Data Entry'!D258)</f>
        <v/>
      </c>
      <c r="E258" s="12">
        <f>IF('Data Entry'!A258="","",'Data Entry'!E258)</f>
        <v/>
      </c>
      <c r="F258" s="12">
        <f>IF('Data Entry'!A258="","",'Data Entry'!F258)</f>
        <v/>
      </c>
      <c r="G258" s="13">
        <f>IF('Data Entry'!A258="","",'Data Entry'!G258)</f>
        <v/>
      </c>
      <c r="H258" s="10">
        <f>IF('Data Entry'!A258="","",'Data Entry'!H258)</f>
        <v/>
      </c>
      <c r="I258" s="10">
        <f>IF('Data Entry'!A258="","",'Data Entry'!I258)</f>
        <v/>
      </c>
      <c r="J258" s="12">
        <f>IF('Data Entry'!A258="","",IF('Data Entry'!D258&lt;&gt;"",'Data Entry'!D258,'Data Entry'!E258))</f>
        <v/>
      </c>
      <c r="K258" s="10">
        <f>IF('Data Entry'!A258="","",IFERROR(SUMIFS($H$5:$H$2001,$J$5:$J$2001,$J258,$B$5:$B$2001,$B258,$A$5:$A$2001,(MAXIFS($A$5:$A$2001,$J$5:$J$2001,$J258,$B$5:$B$2001,$B258,$A$5:$A$2001,"&lt;"&amp;$A258))),""))</f>
        <v/>
      </c>
      <c r="L258" s="14">
        <f>IF(OR('Data Entry'!A258="",$K258=""),"",$H258-$K258)</f>
        <v/>
      </c>
      <c r="M258" s="15">
        <f>IF(OR('Data Entry'!A258="",$K258="",$K258=0),"",$L258/$K258)</f>
        <v/>
      </c>
      <c r="N258" s="12">
        <f>IF('Data Entry'!A258="","",IF($L258="","New item",IF($L258&gt;0,"UP",IF($L258&lt;0,"down","same"))))</f>
        <v/>
      </c>
    </row>
    <row r="259">
      <c r="A259" s="11">
        <f>IF('Data Entry'!A259="","",'Data Entry'!A259)</f>
        <v/>
      </c>
      <c r="B259" s="12">
        <f>IF('Data Entry'!A259="","",'Data Entry'!B259)</f>
        <v/>
      </c>
      <c r="C259" s="12">
        <f>IF('Data Entry'!A259="","",'Data Entry'!C259)</f>
        <v/>
      </c>
      <c r="D259" s="12">
        <f>IF('Data Entry'!A259="","",'Data Entry'!D259)</f>
        <v/>
      </c>
      <c r="E259" s="12">
        <f>IF('Data Entry'!A259="","",'Data Entry'!E259)</f>
        <v/>
      </c>
      <c r="F259" s="12">
        <f>IF('Data Entry'!A259="","",'Data Entry'!F259)</f>
        <v/>
      </c>
      <c r="G259" s="13">
        <f>IF('Data Entry'!A259="","",'Data Entry'!G259)</f>
        <v/>
      </c>
      <c r="H259" s="10">
        <f>IF('Data Entry'!A259="","",'Data Entry'!H259)</f>
        <v/>
      </c>
      <c r="I259" s="10">
        <f>IF('Data Entry'!A259="","",'Data Entry'!I259)</f>
        <v/>
      </c>
      <c r="J259" s="12">
        <f>IF('Data Entry'!A259="","",IF('Data Entry'!D259&lt;&gt;"",'Data Entry'!D259,'Data Entry'!E259))</f>
        <v/>
      </c>
      <c r="K259" s="10">
        <f>IF('Data Entry'!A259="","",IFERROR(SUMIFS($H$5:$H$2001,$J$5:$J$2001,$J259,$B$5:$B$2001,$B259,$A$5:$A$2001,(MAXIFS($A$5:$A$2001,$J$5:$J$2001,$J259,$B$5:$B$2001,$B259,$A$5:$A$2001,"&lt;"&amp;$A259))),""))</f>
        <v/>
      </c>
      <c r="L259" s="14">
        <f>IF(OR('Data Entry'!A259="",$K259=""),"",$H259-$K259)</f>
        <v/>
      </c>
      <c r="M259" s="15">
        <f>IF(OR('Data Entry'!A259="",$K259="",$K259=0),"",$L259/$K259)</f>
        <v/>
      </c>
      <c r="N259" s="12">
        <f>IF('Data Entry'!A259="","",IF($L259="","New item",IF($L259&gt;0,"UP",IF($L259&lt;0,"down","same"))))</f>
        <v/>
      </c>
    </row>
    <row r="260">
      <c r="A260" s="11">
        <f>IF('Data Entry'!A260="","",'Data Entry'!A260)</f>
        <v/>
      </c>
      <c r="B260" s="12">
        <f>IF('Data Entry'!A260="","",'Data Entry'!B260)</f>
        <v/>
      </c>
      <c r="C260" s="12">
        <f>IF('Data Entry'!A260="","",'Data Entry'!C260)</f>
        <v/>
      </c>
      <c r="D260" s="12">
        <f>IF('Data Entry'!A260="","",'Data Entry'!D260)</f>
        <v/>
      </c>
      <c r="E260" s="12">
        <f>IF('Data Entry'!A260="","",'Data Entry'!E260)</f>
        <v/>
      </c>
      <c r="F260" s="12">
        <f>IF('Data Entry'!A260="","",'Data Entry'!F260)</f>
        <v/>
      </c>
      <c r="G260" s="13">
        <f>IF('Data Entry'!A260="","",'Data Entry'!G260)</f>
        <v/>
      </c>
      <c r="H260" s="10">
        <f>IF('Data Entry'!A260="","",'Data Entry'!H260)</f>
        <v/>
      </c>
      <c r="I260" s="10">
        <f>IF('Data Entry'!A260="","",'Data Entry'!I260)</f>
        <v/>
      </c>
      <c r="J260" s="12">
        <f>IF('Data Entry'!A260="","",IF('Data Entry'!D260&lt;&gt;"",'Data Entry'!D260,'Data Entry'!E260))</f>
        <v/>
      </c>
      <c r="K260" s="10">
        <f>IF('Data Entry'!A260="","",IFERROR(SUMIFS($H$5:$H$2001,$J$5:$J$2001,$J260,$B$5:$B$2001,$B260,$A$5:$A$2001,(MAXIFS($A$5:$A$2001,$J$5:$J$2001,$J260,$B$5:$B$2001,$B260,$A$5:$A$2001,"&lt;"&amp;$A260))),""))</f>
        <v/>
      </c>
      <c r="L260" s="14">
        <f>IF(OR('Data Entry'!A260="",$K260=""),"",$H260-$K260)</f>
        <v/>
      </c>
      <c r="M260" s="15">
        <f>IF(OR('Data Entry'!A260="",$K260="",$K260=0),"",$L260/$K260)</f>
        <v/>
      </c>
      <c r="N260" s="12">
        <f>IF('Data Entry'!A260="","",IF($L260="","New item",IF($L260&gt;0,"UP",IF($L260&lt;0,"down","same"))))</f>
        <v/>
      </c>
    </row>
    <row r="261">
      <c r="A261" s="11">
        <f>IF('Data Entry'!A261="","",'Data Entry'!A261)</f>
        <v/>
      </c>
      <c r="B261" s="12">
        <f>IF('Data Entry'!A261="","",'Data Entry'!B261)</f>
        <v/>
      </c>
      <c r="C261" s="12">
        <f>IF('Data Entry'!A261="","",'Data Entry'!C261)</f>
        <v/>
      </c>
      <c r="D261" s="12">
        <f>IF('Data Entry'!A261="","",'Data Entry'!D261)</f>
        <v/>
      </c>
      <c r="E261" s="12">
        <f>IF('Data Entry'!A261="","",'Data Entry'!E261)</f>
        <v/>
      </c>
      <c r="F261" s="12">
        <f>IF('Data Entry'!A261="","",'Data Entry'!F261)</f>
        <v/>
      </c>
      <c r="G261" s="13">
        <f>IF('Data Entry'!A261="","",'Data Entry'!G261)</f>
        <v/>
      </c>
      <c r="H261" s="10">
        <f>IF('Data Entry'!A261="","",'Data Entry'!H261)</f>
        <v/>
      </c>
      <c r="I261" s="10">
        <f>IF('Data Entry'!A261="","",'Data Entry'!I261)</f>
        <v/>
      </c>
      <c r="J261" s="12">
        <f>IF('Data Entry'!A261="","",IF('Data Entry'!D261&lt;&gt;"",'Data Entry'!D261,'Data Entry'!E261))</f>
        <v/>
      </c>
      <c r="K261" s="10">
        <f>IF('Data Entry'!A261="","",IFERROR(SUMIFS($H$5:$H$2001,$J$5:$J$2001,$J261,$B$5:$B$2001,$B261,$A$5:$A$2001,(MAXIFS($A$5:$A$2001,$J$5:$J$2001,$J261,$B$5:$B$2001,$B261,$A$5:$A$2001,"&lt;"&amp;$A261))),""))</f>
        <v/>
      </c>
      <c r="L261" s="14">
        <f>IF(OR('Data Entry'!A261="",$K261=""),"",$H261-$K261)</f>
        <v/>
      </c>
      <c r="M261" s="15">
        <f>IF(OR('Data Entry'!A261="",$K261="",$K261=0),"",$L261/$K261)</f>
        <v/>
      </c>
      <c r="N261" s="12">
        <f>IF('Data Entry'!A261="","",IF($L261="","New item",IF($L261&gt;0,"UP",IF($L261&lt;0,"down","same"))))</f>
        <v/>
      </c>
    </row>
    <row r="262">
      <c r="A262" s="11">
        <f>IF('Data Entry'!A262="","",'Data Entry'!A262)</f>
        <v/>
      </c>
      <c r="B262" s="12">
        <f>IF('Data Entry'!A262="","",'Data Entry'!B262)</f>
        <v/>
      </c>
      <c r="C262" s="12">
        <f>IF('Data Entry'!A262="","",'Data Entry'!C262)</f>
        <v/>
      </c>
      <c r="D262" s="12">
        <f>IF('Data Entry'!A262="","",'Data Entry'!D262)</f>
        <v/>
      </c>
      <c r="E262" s="12">
        <f>IF('Data Entry'!A262="","",'Data Entry'!E262)</f>
        <v/>
      </c>
      <c r="F262" s="12">
        <f>IF('Data Entry'!A262="","",'Data Entry'!F262)</f>
        <v/>
      </c>
      <c r="G262" s="13">
        <f>IF('Data Entry'!A262="","",'Data Entry'!G262)</f>
        <v/>
      </c>
      <c r="H262" s="10">
        <f>IF('Data Entry'!A262="","",'Data Entry'!H262)</f>
        <v/>
      </c>
      <c r="I262" s="10">
        <f>IF('Data Entry'!A262="","",'Data Entry'!I262)</f>
        <v/>
      </c>
      <c r="J262" s="12">
        <f>IF('Data Entry'!A262="","",IF('Data Entry'!D262&lt;&gt;"",'Data Entry'!D262,'Data Entry'!E262))</f>
        <v/>
      </c>
      <c r="K262" s="10">
        <f>IF('Data Entry'!A262="","",IFERROR(SUMIFS($H$5:$H$2001,$J$5:$J$2001,$J262,$B$5:$B$2001,$B262,$A$5:$A$2001,(MAXIFS($A$5:$A$2001,$J$5:$J$2001,$J262,$B$5:$B$2001,$B262,$A$5:$A$2001,"&lt;"&amp;$A262))),""))</f>
        <v/>
      </c>
      <c r="L262" s="14">
        <f>IF(OR('Data Entry'!A262="",$K262=""),"",$H262-$K262)</f>
        <v/>
      </c>
      <c r="M262" s="15">
        <f>IF(OR('Data Entry'!A262="",$K262="",$K262=0),"",$L262/$K262)</f>
        <v/>
      </c>
      <c r="N262" s="12">
        <f>IF('Data Entry'!A262="","",IF($L262="","New item",IF($L262&gt;0,"UP",IF($L262&lt;0,"down","same"))))</f>
        <v/>
      </c>
    </row>
    <row r="263">
      <c r="A263" s="11">
        <f>IF('Data Entry'!A263="","",'Data Entry'!A263)</f>
        <v/>
      </c>
      <c r="B263" s="12">
        <f>IF('Data Entry'!A263="","",'Data Entry'!B263)</f>
        <v/>
      </c>
      <c r="C263" s="12">
        <f>IF('Data Entry'!A263="","",'Data Entry'!C263)</f>
        <v/>
      </c>
      <c r="D263" s="12">
        <f>IF('Data Entry'!A263="","",'Data Entry'!D263)</f>
        <v/>
      </c>
      <c r="E263" s="12">
        <f>IF('Data Entry'!A263="","",'Data Entry'!E263)</f>
        <v/>
      </c>
      <c r="F263" s="12">
        <f>IF('Data Entry'!A263="","",'Data Entry'!F263)</f>
        <v/>
      </c>
      <c r="G263" s="13">
        <f>IF('Data Entry'!A263="","",'Data Entry'!G263)</f>
        <v/>
      </c>
      <c r="H263" s="10">
        <f>IF('Data Entry'!A263="","",'Data Entry'!H263)</f>
        <v/>
      </c>
      <c r="I263" s="10">
        <f>IF('Data Entry'!A263="","",'Data Entry'!I263)</f>
        <v/>
      </c>
      <c r="J263" s="12">
        <f>IF('Data Entry'!A263="","",IF('Data Entry'!D263&lt;&gt;"",'Data Entry'!D263,'Data Entry'!E263))</f>
        <v/>
      </c>
      <c r="K263" s="10">
        <f>IF('Data Entry'!A263="","",IFERROR(SUMIFS($H$5:$H$2001,$J$5:$J$2001,$J263,$B$5:$B$2001,$B263,$A$5:$A$2001,(MAXIFS($A$5:$A$2001,$J$5:$J$2001,$J263,$B$5:$B$2001,$B263,$A$5:$A$2001,"&lt;"&amp;$A263))),""))</f>
        <v/>
      </c>
      <c r="L263" s="14">
        <f>IF(OR('Data Entry'!A263="",$K263=""),"",$H263-$K263)</f>
        <v/>
      </c>
      <c r="M263" s="15">
        <f>IF(OR('Data Entry'!A263="",$K263="",$K263=0),"",$L263/$K263)</f>
        <v/>
      </c>
      <c r="N263" s="12">
        <f>IF('Data Entry'!A263="","",IF($L263="","New item",IF($L263&gt;0,"UP",IF($L263&lt;0,"down","same"))))</f>
        <v/>
      </c>
    </row>
    <row r="264">
      <c r="A264" s="11">
        <f>IF('Data Entry'!A264="","",'Data Entry'!A264)</f>
        <v/>
      </c>
      <c r="B264" s="12">
        <f>IF('Data Entry'!A264="","",'Data Entry'!B264)</f>
        <v/>
      </c>
      <c r="C264" s="12">
        <f>IF('Data Entry'!A264="","",'Data Entry'!C264)</f>
        <v/>
      </c>
      <c r="D264" s="12">
        <f>IF('Data Entry'!A264="","",'Data Entry'!D264)</f>
        <v/>
      </c>
      <c r="E264" s="12">
        <f>IF('Data Entry'!A264="","",'Data Entry'!E264)</f>
        <v/>
      </c>
      <c r="F264" s="12">
        <f>IF('Data Entry'!A264="","",'Data Entry'!F264)</f>
        <v/>
      </c>
      <c r="G264" s="13">
        <f>IF('Data Entry'!A264="","",'Data Entry'!G264)</f>
        <v/>
      </c>
      <c r="H264" s="10">
        <f>IF('Data Entry'!A264="","",'Data Entry'!H264)</f>
        <v/>
      </c>
      <c r="I264" s="10">
        <f>IF('Data Entry'!A264="","",'Data Entry'!I264)</f>
        <v/>
      </c>
      <c r="J264" s="12">
        <f>IF('Data Entry'!A264="","",IF('Data Entry'!D264&lt;&gt;"",'Data Entry'!D264,'Data Entry'!E264))</f>
        <v/>
      </c>
      <c r="K264" s="10">
        <f>IF('Data Entry'!A264="","",IFERROR(SUMIFS($H$5:$H$2001,$J$5:$J$2001,$J264,$B$5:$B$2001,$B264,$A$5:$A$2001,(MAXIFS($A$5:$A$2001,$J$5:$J$2001,$J264,$B$5:$B$2001,$B264,$A$5:$A$2001,"&lt;"&amp;$A264))),""))</f>
        <v/>
      </c>
      <c r="L264" s="14">
        <f>IF(OR('Data Entry'!A264="",$K264=""),"",$H264-$K264)</f>
        <v/>
      </c>
      <c r="M264" s="15">
        <f>IF(OR('Data Entry'!A264="",$K264="",$K264=0),"",$L264/$K264)</f>
        <v/>
      </c>
      <c r="N264" s="12">
        <f>IF('Data Entry'!A264="","",IF($L264="","New item",IF($L264&gt;0,"UP",IF($L264&lt;0,"down","same"))))</f>
        <v/>
      </c>
    </row>
    <row r="265">
      <c r="A265" s="11">
        <f>IF('Data Entry'!A265="","",'Data Entry'!A265)</f>
        <v/>
      </c>
      <c r="B265" s="12">
        <f>IF('Data Entry'!A265="","",'Data Entry'!B265)</f>
        <v/>
      </c>
      <c r="C265" s="12">
        <f>IF('Data Entry'!A265="","",'Data Entry'!C265)</f>
        <v/>
      </c>
      <c r="D265" s="12">
        <f>IF('Data Entry'!A265="","",'Data Entry'!D265)</f>
        <v/>
      </c>
      <c r="E265" s="12">
        <f>IF('Data Entry'!A265="","",'Data Entry'!E265)</f>
        <v/>
      </c>
      <c r="F265" s="12">
        <f>IF('Data Entry'!A265="","",'Data Entry'!F265)</f>
        <v/>
      </c>
      <c r="G265" s="13">
        <f>IF('Data Entry'!A265="","",'Data Entry'!G265)</f>
        <v/>
      </c>
      <c r="H265" s="10">
        <f>IF('Data Entry'!A265="","",'Data Entry'!H265)</f>
        <v/>
      </c>
      <c r="I265" s="10">
        <f>IF('Data Entry'!A265="","",'Data Entry'!I265)</f>
        <v/>
      </c>
      <c r="J265" s="12">
        <f>IF('Data Entry'!A265="","",IF('Data Entry'!D265&lt;&gt;"",'Data Entry'!D265,'Data Entry'!E265))</f>
        <v/>
      </c>
      <c r="K265" s="10">
        <f>IF('Data Entry'!A265="","",IFERROR(SUMIFS($H$5:$H$2001,$J$5:$J$2001,$J265,$B$5:$B$2001,$B265,$A$5:$A$2001,(MAXIFS($A$5:$A$2001,$J$5:$J$2001,$J265,$B$5:$B$2001,$B265,$A$5:$A$2001,"&lt;"&amp;$A265))),""))</f>
        <v/>
      </c>
      <c r="L265" s="14">
        <f>IF(OR('Data Entry'!A265="",$K265=""),"",$H265-$K265)</f>
        <v/>
      </c>
      <c r="M265" s="15">
        <f>IF(OR('Data Entry'!A265="",$K265="",$K265=0),"",$L265/$K265)</f>
        <v/>
      </c>
      <c r="N265" s="12">
        <f>IF('Data Entry'!A265="","",IF($L265="","New item",IF($L265&gt;0,"UP",IF($L265&lt;0,"down","same"))))</f>
        <v/>
      </c>
    </row>
    <row r="266">
      <c r="A266" s="11">
        <f>IF('Data Entry'!A266="","",'Data Entry'!A266)</f>
        <v/>
      </c>
      <c r="B266" s="12">
        <f>IF('Data Entry'!A266="","",'Data Entry'!B266)</f>
        <v/>
      </c>
      <c r="C266" s="12">
        <f>IF('Data Entry'!A266="","",'Data Entry'!C266)</f>
        <v/>
      </c>
      <c r="D266" s="12">
        <f>IF('Data Entry'!A266="","",'Data Entry'!D266)</f>
        <v/>
      </c>
      <c r="E266" s="12">
        <f>IF('Data Entry'!A266="","",'Data Entry'!E266)</f>
        <v/>
      </c>
      <c r="F266" s="12">
        <f>IF('Data Entry'!A266="","",'Data Entry'!F266)</f>
        <v/>
      </c>
      <c r="G266" s="13">
        <f>IF('Data Entry'!A266="","",'Data Entry'!G266)</f>
        <v/>
      </c>
      <c r="H266" s="10">
        <f>IF('Data Entry'!A266="","",'Data Entry'!H266)</f>
        <v/>
      </c>
      <c r="I266" s="10">
        <f>IF('Data Entry'!A266="","",'Data Entry'!I266)</f>
        <v/>
      </c>
      <c r="J266" s="12">
        <f>IF('Data Entry'!A266="","",IF('Data Entry'!D266&lt;&gt;"",'Data Entry'!D266,'Data Entry'!E266))</f>
        <v/>
      </c>
      <c r="K266" s="10">
        <f>IF('Data Entry'!A266="","",IFERROR(SUMIFS($H$5:$H$2001,$J$5:$J$2001,$J266,$B$5:$B$2001,$B266,$A$5:$A$2001,(MAXIFS($A$5:$A$2001,$J$5:$J$2001,$J266,$B$5:$B$2001,$B266,$A$5:$A$2001,"&lt;"&amp;$A266))),""))</f>
        <v/>
      </c>
      <c r="L266" s="14">
        <f>IF(OR('Data Entry'!A266="",$K266=""),"",$H266-$K266)</f>
        <v/>
      </c>
      <c r="M266" s="15">
        <f>IF(OR('Data Entry'!A266="",$K266="",$K266=0),"",$L266/$K266)</f>
        <v/>
      </c>
      <c r="N266" s="12">
        <f>IF('Data Entry'!A266="","",IF($L266="","New item",IF($L266&gt;0,"UP",IF($L266&lt;0,"down","same"))))</f>
        <v/>
      </c>
    </row>
    <row r="267">
      <c r="A267" s="11">
        <f>IF('Data Entry'!A267="","",'Data Entry'!A267)</f>
        <v/>
      </c>
      <c r="B267" s="12">
        <f>IF('Data Entry'!A267="","",'Data Entry'!B267)</f>
        <v/>
      </c>
      <c r="C267" s="12">
        <f>IF('Data Entry'!A267="","",'Data Entry'!C267)</f>
        <v/>
      </c>
      <c r="D267" s="12">
        <f>IF('Data Entry'!A267="","",'Data Entry'!D267)</f>
        <v/>
      </c>
      <c r="E267" s="12">
        <f>IF('Data Entry'!A267="","",'Data Entry'!E267)</f>
        <v/>
      </c>
      <c r="F267" s="12">
        <f>IF('Data Entry'!A267="","",'Data Entry'!F267)</f>
        <v/>
      </c>
      <c r="G267" s="13">
        <f>IF('Data Entry'!A267="","",'Data Entry'!G267)</f>
        <v/>
      </c>
      <c r="H267" s="10">
        <f>IF('Data Entry'!A267="","",'Data Entry'!H267)</f>
        <v/>
      </c>
      <c r="I267" s="10">
        <f>IF('Data Entry'!A267="","",'Data Entry'!I267)</f>
        <v/>
      </c>
      <c r="J267" s="12">
        <f>IF('Data Entry'!A267="","",IF('Data Entry'!D267&lt;&gt;"",'Data Entry'!D267,'Data Entry'!E267))</f>
        <v/>
      </c>
      <c r="K267" s="10">
        <f>IF('Data Entry'!A267="","",IFERROR(SUMIFS($H$5:$H$2001,$J$5:$J$2001,$J267,$B$5:$B$2001,$B267,$A$5:$A$2001,(MAXIFS($A$5:$A$2001,$J$5:$J$2001,$J267,$B$5:$B$2001,$B267,$A$5:$A$2001,"&lt;"&amp;$A267))),""))</f>
        <v/>
      </c>
      <c r="L267" s="14">
        <f>IF(OR('Data Entry'!A267="",$K267=""),"",$H267-$K267)</f>
        <v/>
      </c>
      <c r="M267" s="15">
        <f>IF(OR('Data Entry'!A267="",$K267="",$K267=0),"",$L267/$K267)</f>
        <v/>
      </c>
      <c r="N267" s="12">
        <f>IF('Data Entry'!A267="","",IF($L267="","New item",IF($L267&gt;0,"UP",IF($L267&lt;0,"down","same"))))</f>
        <v/>
      </c>
    </row>
    <row r="268">
      <c r="A268" s="11">
        <f>IF('Data Entry'!A268="","",'Data Entry'!A268)</f>
        <v/>
      </c>
      <c r="B268" s="12">
        <f>IF('Data Entry'!A268="","",'Data Entry'!B268)</f>
        <v/>
      </c>
      <c r="C268" s="12">
        <f>IF('Data Entry'!A268="","",'Data Entry'!C268)</f>
        <v/>
      </c>
      <c r="D268" s="12">
        <f>IF('Data Entry'!A268="","",'Data Entry'!D268)</f>
        <v/>
      </c>
      <c r="E268" s="12">
        <f>IF('Data Entry'!A268="","",'Data Entry'!E268)</f>
        <v/>
      </c>
      <c r="F268" s="12">
        <f>IF('Data Entry'!A268="","",'Data Entry'!F268)</f>
        <v/>
      </c>
      <c r="G268" s="13">
        <f>IF('Data Entry'!A268="","",'Data Entry'!G268)</f>
        <v/>
      </c>
      <c r="H268" s="10">
        <f>IF('Data Entry'!A268="","",'Data Entry'!H268)</f>
        <v/>
      </c>
      <c r="I268" s="10">
        <f>IF('Data Entry'!A268="","",'Data Entry'!I268)</f>
        <v/>
      </c>
      <c r="J268" s="12">
        <f>IF('Data Entry'!A268="","",IF('Data Entry'!D268&lt;&gt;"",'Data Entry'!D268,'Data Entry'!E268))</f>
        <v/>
      </c>
      <c r="K268" s="10">
        <f>IF('Data Entry'!A268="","",IFERROR(SUMIFS($H$5:$H$2001,$J$5:$J$2001,$J268,$B$5:$B$2001,$B268,$A$5:$A$2001,(MAXIFS($A$5:$A$2001,$J$5:$J$2001,$J268,$B$5:$B$2001,$B268,$A$5:$A$2001,"&lt;"&amp;$A268))),""))</f>
        <v/>
      </c>
      <c r="L268" s="14">
        <f>IF(OR('Data Entry'!A268="",$K268=""),"",$H268-$K268)</f>
        <v/>
      </c>
      <c r="M268" s="15">
        <f>IF(OR('Data Entry'!A268="",$K268="",$K268=0),"",$L268/$K268)</f>
        <v/>
      </c>
      <c r="N268" s="12">
        <f>IF('Data Entry'!A268="","",IF($L268="","New item",IF($L268&gt;0,"UP",IF($L268&lt;0,"down","same"))))</f>
        <v/>
      </c>
    </row>
    <row r="269">
      <c r="A269" s="11">
        <f>IF('Data Entry'!A269="","",'Data Entry'!A269)</f>
        <v/>
      </c>
      <c r="B269" s="12">
        <f>IF('Data Entry'!A269="","",'Data Entry'!B269)</f>
        <v/>
      </c>
      <c r="C269" s="12">
        <f>IF('Data Entry'!A269="","",'Data Entry'!C269)</f>
        <v/>
      </c>
      <c r="D269" s="12">
        <f>IF('Data Entry'!A269="","",'Data Entry'!D269)</f>
        <v/>
      </c>
      <c r="E269" s="12">
        <f>IF('Data Entry'!A269="","",'Data Entry'!E269)</f>
        <v/>
      </c>
      <c r="F269" s="12">
        <f>IF('Data Entry'!A269="","",'Data Entry'!F269)</f>
        <v/>
      </c>
      <c r="G269" s="13">
        <f>IF('Data Entry'!A269="","",'Data Entry'!G269)</f>
        <v/>
      </c>
      <c r="H269" s="10">
        <f>IF('Data Entry'!A269="","",'Data Entry'!H269)</f>
        <v/>
      </c>
      <c r="I269" s="10">
        <f>IF('Data Entry'!A269="","",'Data Entry'!I269)</f>
        <v/>
      </c>
      <c r="J269" s="12">
        <f>IF('Data Entry'!A269="","",IF('Data Entry'!D269&lt;&gt;"",'Data Entry'!D269,'Data Entry'!E269))</f>
        <v/>
      </c>
      <c r="K269" s="10">
        <f>IF('Data Entry'!A269="","",IFERROR(SUMIFS($H$5:$H$2001,$J$5:$J$2001,$J269,$B$5:$B$2001,$B269,$A$5:$A$2001,(MAXIFS($A$5:$A$2001,$J$5:$J$2001,$J269,$B$5:$B$2001,$B269,$A$5:$A$2001,"&lt;"&amp;$A269))),""))</f>
        <v/>
      </c>
      <c r="L269" s="14">
        <f>IF(OR('Data Entry'!A269="",$K269=""),"",$H269-$K269)</f>
        <v/>
      </c>
      <c r="M269" s="15">
        <f>IF(OR('Data Entry'!A269="",$K269="",$K269=0),"",$L269/$K269)</f>
        <v/>
      </c>
      <c r="N269" s="12">
        <f>IF('Data Entry'!A269="","",IF($L269="","New item",IF($L269&gt;0,"UP",IF($L269&lt;0,"down","same"))))</f>
        <v/>
      </c>
    </row>
    <row r="270">
      <c r="A270" s="11">
        <f>IF('Data Entry'!A270="","",'Data Entry'!A270)</f>
        <v/>
      </c>
      <c r="B270" s="12">
        <f>IF('Data Entry'!A270="","",'Data Entry'!B270)</f>
        <v/>
      </c>
      <c r="C270" s="12">
        <f>IF('Data Entry'!A270="","",'Data Entry'!C270)</f>
        <v/>
      </c>
      <c r="D270" s="12">
        <f>IF('Data Entry'!A270="","",'Data Entry'!D270)</f>
        <v/>
      </c>
      <c r="E270" s="12">
        <f>IF('Data Entry'!A270="","",'Data Entry'!E270)</f>
        <v/>
      </c>
      <c r="F270" s="12">
        <f>IF('Data Entry'!A270="","",'Data Entry'!F270)</f>
        <v/>
      </c>
      <c r="G270" s="13">
        <f>IF('Data Entry'!A270="","",'Data Entry'!G270)</f>
        <v/>
      </c>
      <c r="H270" s="10">
        <f>IF('Data Entry'!A270="","",'Data Entry'!H270)</f>
        <v/>
      </c>
      <c r="I270" s="10">
        <f>IF('Data Entry'!A270="","",'Data Entry'!I270)</f>
        <v/>
      </c>
      <c r="J270" s="12">
        <f>IF('Data Entry'!A270="","",IF('Data Entry'!D270&lt;&gt;"",'Data Entry'!D270,'Data Entry'!E270))</f>
        <v/>
      </c>
      <c r="K270" s="10">
        <f>IF('Data Entry'!A270="","",IFERROR(SUMIFS($H$5:$H$2001,$J$5:$J$2001,$J270,$B$5:$B$2001,$B270,$A$5:$A$2001,(MAXIFS($A$5:$A$2001,$J$5:$J$2001,$J270,$B$5:$B$2001,$B270,$A$5:$A$2001,"&lt;"&amp;$A270))),""))</f>
        <v/>
      </c>
      <c r="L270" s="14">
        <f>IF(OR('Data Entry'!A270="",$K270=""),"",$H270-$K270)</f>
        <v/>
      </c>
      <c r="M270" s="15">
        <f>IF(OR('Data Entry'!A270="",$K270="",$K270=0),"",$L270/$K270)</f>
        <v/>
      </c>
      <c r="N270" s="12">
        <f>IF('Data Entry'!A270="","",IF($L270="","New item",IF($L270&gt;0,"UP",IF($L270&lt;0,"down","same"))))</f>
        <v/>
      </c>
    </row>
    <row r="271">
      <c r="A271" s="11">
        <f>IF('Data Entry'!A271="","",'Data Entry'!A271)</f>
        <v/>
      </c>
      <c r="B271" s="12">
        <f>IF('Data Entry'!A271="","",'Data Entry'!B271)</f>
        <v/>
      </c>
      <c r="C271" s="12">
        <f>IF('Data Entry'!A271="","",'Data Entry'!C271)</f>
        <v/>
      </c>
      <c r="D271" s="12">
        <f>IF('Data Entry'!A271="","",'Data Entry'!D271)</f>
        <v/>
      </c>
      <c r="E271" s="12">
        <f>IF('Data Entry'!A271="","",'Data Entry'!E271)</f>
        <v/>
      </c>
      <c r="F271" s="12">
        <f>IF('Data Entry'!A271="","",'Data Entry'!F271)</f>
        <v/>
      </c>
      <c r="G271" s="13">
        <f>IF('Data Entry'!A271="","",'Data Entry'!G271)</f>
        <v/>
      </c>
      <c r="H271" s="10">
        <f>IF('Data Entry'!A271="","",'Data Entry'!H271)</f>
        <v/>
      </c>
      <c r="I271" s="10">
        <f>IF('Data Entry'!A271="","",'Data Entry'!I271)</f>
        <v/>
      </c>
      <c r="J271" s="12">
        <f>IF('Data Entry'!A271="","",IF('Data Entry'!D271&lt;&gt;"",'Data Entry'!D271,'Data Entry'!E271))</f>
        <v/>
      </c>
      <c r="K271" s="10">
        <f>IF('Data Entry'!A271="","",IFERROR(SUMIFS($H$5:$H$2001,$J$5:$J$2001,$J271,$B$5:$B$2001,$B271,$A$5:$A$2001,(MAXIFS($A$5:$A$2001,$J$5:$J$2001,$J271,$B$5:$B$2001,$B271,$A$5:$A$2001,"&lt;"&amp;$A271))),""))</f>
        <v/>
      </c>
      <c r="L271" s="14">
        <f>IF(OR('Data Entry'!A271="",$K271=""),"",$H271-$K271)</f>
        <v/>
      </c>
      <c r="M271" s="15">
        <f>IF(OR('Data Entry'!A271="",$K271="",$K271=0),"",$L271/$K271)</f>
        <v/>
      </c>
      <c r="N271" s="12">
        <f>IF('Data Entry'!A271="","",IF($L271="","New item",IF($L271&gt;0,"UP",IF($L271&lt;0,"down","same"))))</f>
        <v/>
      </c>
    </row>
    <row r="272">
      <c r="A272" s="11">
        <f>IF('Data Entry'!A272="","",'Data Entry'!A272)</f>
        <v/>
      </c>
      <c r="B272" s="12">
        <f>IF('Data Entry'!A272="","",'Data Entry'!B272)</f>
        <v/>
      </c>
      <c r="C272" s="12">
        <f>IF('Data Entry'!A272="","",'Data Entry'!C272)</f>
        <v/>
      </c>
      <c r="D272" s="12">
        <f>IF('Data Entry'!A272="","",'Data Entry'!D272)</f>
        <v/>
      </c>
      <c r="E272" s="12">
        <f>IF('Data Entry'!A272="","",'Data Entry'!E272)</f>
        <v/>
      </c>
      <c r="F272" s="12">
        <f>IF('Data Entry'!A272="","",'Data Entry'!F272)</f>
        <v/>
      </c>
      <c r="G272" s="13">
        <f>IF('Data Entry'!A272="","",'Data Entry'!G272)</f>
        <v/>
      </c>
      <c r="H272" s="10">
        <f>IF('Data Entry'!A272="","",'Data Entry'!H272)</f>
        <v/>
      </c>
      <c r="I272" s="10">
        <f>IF('Data Entry'!A272="","",'Data Entry'!I272)</f>
        <v/>
      </c>
      <c r="J272" s="12">
        <f>IF('Data Entry'!A272="","",IF('Data Entry'!D272&lt;&gt;"",'Data Entry'!D272,'Data Entry'!E272))</f>
        <v/>
      </c>
      <c r="K272" s="10">
        <f>IF('Data Entry'!A272="","",IFERROR(SUMIFS($H$5:$H$2001,$J$5:$J$2001,$J272,$B$5:$B$2001,$B272,$A$5:$A$2001,(MAXIFS($A$5:$A$2001,$J$5:$J$2001,$J272,$B$5:$B$2001,$B272,$A$5:$A$2001,"&lt;"&amp;$A272))),""))</f>
        <v/>
      </c>
      <c r="L272" s="14">
        <f>IF(OR('Data Entry'!A272="",$K272=""),"",$H272-$K272)</f>
        <v/>
      </c>
      <c r="M272" s="15">
        <f>IF(OR('Data Entry'!A272="",$K272="",$K272=0),"",$L272/$K272)</f>
        <v/>
      </c>
      <c r="N272" s="12">
        <f>IF('Data Entry'!A272="","",IF($L272="","New item",IF($L272&gt;0,"UP",IF($L272&lt;0,"down","same"))))</f>
        <v/>
      </c>
    </row>
    <row r="273">
      <c r="A273" s="11">
        <f>IF('Data Entry'!A273="","",'Data Entry'!A273)</f>
        <v/>
      </c>
      <c r="B273" s="12">
        <f>IF('Data Entry'!A273="","",'Data Entry'!B273)</f>
        <v/>
      </c>
      <c r="C273" s="12">
        <f>IF('Data Entry'!A273="","",'Data Entry'!C273)</f>
        <v/>
      </c>
      <c r="D273" s="12">
        <f>IF('Data Entry'!A273="","",'Data Entry'!D273)</f>
        <v/>
      </c>
      <c r="E273" s="12">
        <f>IF('Data Entry'!A273="","",'Data Entry'!E273)</f>
        <v/>
      </c>
      <c r="F273" s="12">
        <f>IF('Data Entry'!A273="","",'Data Entry'!F273)</f>
        <v/>
      </c>
      <c r="G273" s="13">
        <f>IF('Data Entry'!A273="","",'Data Entry'!G273)</f>
        <v/>
      </c>
      <c r="H273" s="10">
        <f>IF('Data Entry'!A273="","",'Data Entry'!H273)</f>
        <v/>
      </c>
      <c r="I273" s="10">
        <f>IF('Data Entry'!A273="","",'Data Entry'!I273)</f>
        <v/>
      </c>
      <c r="J273" s="12">
        <f>IF('Data Entry'!A273="","",IF('Data Entry'!D273&lt;&gt;"",'Data Entry'!D273,'Data Entry'!E273))</f>
        <v/>
      </c>
      <c r="K273" s="10">
        <f>IF('Data Entry'!A273="","",IFERROR(SUMIFS($H$5:$H$2001,$J$5:$J$2001,$J273,$B$5:$B$2001,$B273,$A$5:$A$2001,(MAXIFS($A$5:$A$2001,$J$5:$J$2001,$J273,$B$5:$B$2001,$B273,$A$5:$A$2001,"&lt;"&amp;$A273))),""))</f>
        <v/>
      </c>
      <c r="L273" s="14">
        <f>IF(OR('Data Entry'!A273="",$K273=""),"",$H273-$K273)</f>
        <v/>
      </c>
      <c r="M273" s="15">
        <f>IF(OR('Data Entry'!A273="",$K273="",$K273=0),"",$L273/$K273)</f>
        <v/>
      </c>
      <c r="N273" s="12">
        <f>IF('Data Entry'!A273="","",IF($L273="","New item",IF($L273&gt;0,"UP",IF($L273&lt;0,"down","same"))))</f>
        <v/>
      </c>
    </row>
    <row r="274">
      <c r="A274" s="11">
        <f>IF('Data Entry'!A274="","",'Data Entry'!A274)</f>
        <v/>
      </c>
      <c r="B274" s="12">
        <f>IF('Data Entry'!A274="","",'Data Entry'!B274)</f>
        <v/>
      </c>
      <c r="C274" s="12">
        <f>IF('Data Entry'!A274="","",'Data Entry'!C274)</f>
        <v/>
      </c>
      <c r="D274" s="12">
        <f>IF('Data Entry'!A274="","",'Data Entry'!D274)</f>
        <v/>
      </c>
      <c r="E274" s="12">
        <f>IF('Data Entry'!A274="","",'Data Entry'!E274)</f>
        <v/>
      </c>
      <c r="F274" s="12">
        <f>IF('Data Entry'!A274="","",'Data Entry'!F274)</f>
        <v/>
      </c>
      <c r="G274" s="13">
        <f>IF('Data Entry'!A274="","",'Data Entry'!G274)</f>
        <v/>
      </c>
      <c r="H274" s="10">
        <f>IF('Data Entry'!A274="","",'Data Entry'!H274)</f>
        <v/>
      </c>
      <c r="I274" s="10">
        <f>IF('Data Entry'!A274="","",'Data Entry'!I274)</f>
        <v/>
      </c>
      <c r="J274" s="12">
        <f>IF('Data Entry'!A274="","",IF('Data Entry'!D274&lt;&gt;"",'Data Entry'!D274,'Data Entry'!E274))</f>
        <v/>
      </c>
      <c r="K274" s="10">
        <f>IF('Data Entry'!A274="","",IFERROR(SUMIFS($H$5:$H$2001,$J$5:$J$2001,$J274,$B$5:$B$2001,$B274,$A$5:$A$2001,(MAXIFS($A$5:$A$2001,$J$5:$J$2001,$J274,$B$5:$B$2001,$B274,$A$5:$A$2001,"&lt;"&amp;$A274))),""))</f>
        <v/>
      </c>
      <c r="L274" s="14">
        <f>IF(OR('Data Entry'!A274="",$K274=""),"",$H274-$K274)</f>
        <v/>
      </c>
      <c r="M274" s="15">
        <f>IF(OR('Data Entry'!A274="",$K274="",$K274=0),"",$L274/$K274)</f>
        <v/>
      </c>
      <c r="N274" s="12">
        <f>IF('Data Entry'!A274="","",IF($L274="","New item",IF($L274&gt;0,"UP",IF($L274&lt;0,"down","same"))))</f>
        <v/>
      </c>
    </row>
    <row r="275">
      <c r="A275" s="11">
        <f>IF('Data Entry'!A275="","",'Data Entry'!A275)</f>
        <v/>
      </c>
      <c r="B275" s="12">
        <f>IF('Data Entry'!A275="","",'Data Entry'!B275)</f>
        <v/>
      </c>
      <c r="C275" s="12">
        <f>IF('Data Entry'!A275="","",'Data Entry'!C275)</f>
        <v/>
      </c>
      <c r="D275" s="12">
        <f>IF('Data Entry'!A275="","",'Data Entry'!D275)</f>
        <v/>
      </c>
      <c r="E275" s="12">
        <f>IF('Data Entry'!A275="","",'Data Entry'!E275)</f>
        <v/>
      </c>
      <c r="F275" s="12">
        <f>IF('Data Entry'!A275="","",'Data Entry'!F275)</f>
        <v/>
      </c>
      <c r="G275" s="13">
        <f>IF('Data Entry'!A275="","",'Data Entry'!G275)</f>
        <v/>
      </c>
      <c r="H275" s="10">
        <f>IF('Data Entry'!A275="","",'Data Entry'!H275)</f>
        <v/>
      </c>
      <c r="I275" s="10">
        <f>IF('Data Entry'!A275="","",'Data Entry'!I275)</f>
        <v/>
      </c>
      <c r="J275" s="12">
        <f>IF('Data Entry'!A275="","",IF('Data Entry'!D275&lt;&gt;"",'Data Entry'!D275,'Data Entry'!E275))</f>
        <v/>
      </c>
      <c r="K275" s="10">
        <f>IF('Data Entry'!A275="","",IFERROR(SUMIFS($H$5:$H$2001,$J$5:$J$2001,$J275,$B$5:$B$2001,$B275,$A$5:$A$2001,(MAXIFS($A$5:$A$2001,$J$5:$J$2001,$J275,$B$5:$B$2001,$B275,$A$5:$A$2001,"&lt;"&amp;$A275))),""))</f>
        <v/>
      </c>
      <c r="L275" s="14">
        <f>IF(OR('Data Entry'!A275="",$K275=""),"",$H275-$K275)</f>
        <v/>
      </c>
      <c r="M275" s="15">
        <f>IF(OR('Data Entry'!A275="",$K275="",$K275=0),"",$L275/$K275)</f>
        <v/>
      </c>
      <c r="N275" s="12">
        <f>IF('Data Entry'!A275="","",IF($L275="","New item",IF($L275&gt;0,"UP",IF($L275&lt;0,"down","same"))))</f>
        <v/>
      </c>
    </row>
    <row r="276">
      <c r="A276" s="11">
        <f>IF('Data Entry'!A276="","",'Data Entry'!A276)</f>
        <v/>
      </c>
      <c r="B276" s="12">
        <f>IF('Data Entry'!A276="","",'Data Entry'!B276)</f>
        <v/>
      </c>
      <c r="C276" s="12">
        <f>IF('Data Entry'!A276="","",'Data Entry'!C276)</f>
        <v/>
      </c>
      <c r="D276" s="12">
        <f>IF('Data Entry'!A276="","",'Data Entry'!D276)</f>
        <v/>
      </c>
      <c r="E276" s="12">
        <f>IF('Data Entry'!A276="","",'Data Entry'!E276)</f>
        <v/>
      </c>
      <c r="F276" s="12">
        <f>IF('Data Entry'!A276="","",'Data Entry'!F276)</f>
        <v/>
      </c>
      <c r="G276" s="13">
        <f>IF('Data Entry'!A276="","",'Data Entry'!G276)</f>
        <v/>
      </c>
      <c r="H276" s="10">
        <f>IF('Data Entry'!A276="","",'Data Entry'!H276)</f>
        <v/>
      </c>
      <c r="I276" s="10">
        <f>IF('Data Entry'!A276="","",'Data Entry'!I276)</f>
        <v/>
      </c>
      <c r="J276" s="12">
        <f>IF('Data Entry'!A276="","",IF('Data Entry'!D276&lt;&gt;"",'Data Entry'!D276,'Data Entry'!E276))</f>
        <v/>
      </c>
      <c r="K276" s="10">
        <f>IF('Data Entry'!A276="","",IFERROR(SUMIFS($H$5:$H$2001,$J$5:$J$2001,$J276,$B$5:$B$2001,$B276,$A$5:$A$2001,(MAXIFS($A$5:$A$2001,$J$5:$J$2001,$J276,$B$5:$B$2001,$B276,$A$5:$A$2001,"&lt;"&amp;$A276))),""))</f>
        <v/>
      </c>
      <c r="L276" s="14">
        <f>IF(OR('Data Entry'!A276="",$K276=""),"",$H276-$K276)</f>
        <v/>
      </c>
      <c r="M276" s="15">
        <f>IF(OR('Data Entry'!A276="",$K276="",$K276=0),"",$L276/$K276)</f>
        <v/>
      </c>
      <c r="N276" s="12">
        <f>IF('Data Entry'!A276="","",IF($L276="","New item",IF($L276&gt;0,"UP",IF($L276&lt;0,"down","same"))))</f>
        <v/>
      </c>
    </row>
    <row r="277">
      <c r="A277" s="11">
        <f>IF('Data Entry'!A277="","",'Data Entry'!A277)</f>
        <v/>
      </c>
      <c r="B277" s="12">
        <f>IF('Data Entry'!A277="","",'Data Entry'!B277)</f>
        <v/>
      </c>
      <c r="C277" s="12">
        <f>IF('Data Entry'!A277="","",'Data Entry'!C277)</f>
        <v/>
      </c>
      <c r="D277" s="12">
        <f>IF('Data Entry'!A277="","",'Data Entry'!D277)</f>
        <v/>
      </c>
      <c r="E277" s="12">
        <f>IF('Data Entry'!A277="","",'Data Entry'!E277)</f>
        <v/>
      </c>
      <c r="F277" s="12">
        <f>IF('Data Entry'!A277="","",'Data Entry'!F277)</f>
        <v/>
      </c>
      <c r="G277" s="13">
        <f>IF('Data Entry'!A277="","",'Data Entry'!G277)</f>
        <v/>
      </c>
      <c r="H277" s="10">
        <f>IF('Data Entry'!A277="","",'Data Entry'!H277)</f>
        <v/>
      </c>
      <c r="I277" s="10">
        <f>IF('Data Entry'!A277="","",'Data Entry'!I277)</f>
        <v/>
      </c>
      <c r="J277" s="12">
        <f>IF('Data Entry'!A277="","",IF('Data Entry'!D277&lt;&gt;"",'Data Entry'!D277,'Data Entry'!E277))</f>
        <v/>
      </c>
      <c r="K277" s="10">
        <f>IF('Data Entry'!A277="","",IFERROR(SUMIFS($H$5:$H$2001,$J$5:$J$2001,$J277,$B$5:$B$2001,$B277,$A$5:$A$2001,(MAXIFS($A$5:$A$2001,$J$5:$J$2001,$J277,$B$5:$B$2001,$B277,$A$5:$A$2001,"&lt;"&amp;$A277))),""))</f>
        <v/>
      </c>
      <c r="L277" s="14">
        <f>IF(OR('Data Entry'!A277="",$K277=""),"",$H277-$K277)</f>
        <v/>
      </c>
      <c r="M277" s="15">
        <f>IF(OR('Data Entry'!A277="",$K277="",$K277=0),"",$L277/$K277)</f>
        <v/>
      </c>
      <c r="N277" s="12">
        <f>IF('Data Entry'!A277="","",IF($L277="","New item",IF($L277&gt;0,"UP",IF($L277&lt;0,"down","same"))))</f>
        <v/>
      </c>
    </row>
    <row r="278">
      <c r="A278" s="11">
        <f>IF('Data Entry'!A278="","",'Data Entry'!A278)</f>
        <v/>
      </c>
      <c r="B278" s="12">
        <f>IF('Data Entry'!A278="","",'Data Entry'!B278)</f>
        <v/>
      </c>
      <c r="C278" s="12">
        <f>IF('Data Entry'!A278="","",'Data Entry'!C278)</f>
        <v/>
      </c>
      <c r="D278" s="12">
        <f>IF('Data Entry'!A278="","",'Data Entry'!D278)</f>
        <v/>
      </c>
      <c r="E278" s="12">
        <f>IF('Data Entry'!A278="","",'Data Entry'!E278)</f>
        <v/>
      </c>
      <c r="F278" s="12">
        <f>IF('Data Entry'!A278="","",'Data Entry'!F278)</f>
        <v/>
      </c>
      <c r="G278" s="13">
        <f>IF('Data Entry'!A278="","",'Data Entry'!G278)</f>
        <v/>
      </c>
      <c r="H278" s="10">
        <f>IF('Data Entry'!A278="","",'Data Entry'!H278)</f>
        <v/>
      </c>
      <c r="I278" s="10">
        <f>IF('Data Entry'!A278="","",'Data Entry'!I278)</f>
        <v/>
      </c>
      <c r="J278" s="12">
        <f>IF('Data Entry'!A278="","",IF('Data Entry'!D278&lt;&gt;"",'Data Entry'!D278,'Data Entry'!E278))</f>
        <v/>
      </c>
      <c r="K278" s="10">
        <f>IF('Data Entry'!A278="","",IFERROR(SUMIFS($H$5:$H$2001,$J$5:$J$2001,$J278,$B$5:$B$2001,$B278,$A$5:$A$2001,(MAXIFS($A$5:$A$2001,$J$5:$J$2001,$J278,$B$5:$B$2001,$B278,$A$5:$A$2001,"&lt;"&amp;$A278))),""))</f>
        <v/>
      </c>
      <c r="L278" s="14">
        <f>IF(OR('Data Entry'!A278="",$K278=""),"",$H278-$K278)</f>
        <v/>
      </c>
      <c r="M278" s="15">
        <f>IF(OR('Data Entry'!A278="",$K278="",$K278=0),"",$L278/$K278)</f>
        <v/>
      </c>
      <c r="N278" s="12">
        <f>IF('Data Entry'!A278="","",IF($L278="","New item",IF($L278&gt;0,"UP",IF($L278&lt;0,"down","same"))))</f>
        <v/>
      </c>
    </row>
    <row r="279">
      <c r="A279" s="11">
        <f>IF('Data Entry'!A279="","",'Data Entry'!A279)</f>
        <v/>
      </c>
      <c r="B279" s="12">
        <f>IF('Data Entry'!A279="","",'Data Entry'!B279)</f>
        <v/>
      </c>
      <c r="C279" s="12">
        <f>IF('Data Entry'!A279="","",'Data Entry'!C279)</f>
        <v/>
      </c>
      <c r="D279" s="12">
        <f>IF('Data Entry'!A279="","",'Data Entry'!D279)</f>
        <v/>
      </c>
      <c r="E279" s="12">
        <f>IF('Data Entry'!A279="","",'Data Entry'!E279)</f>
        <v/>
      </c>
      <c r="F279" s="12">
        <f>IF('Data Entry'!A279="","",'Data Entry'!F279)</f>
        <v/>
      </c>
      <c r="G279" s="13">
        <f>IF('Data Entry'!A279="","",'Data Entry'!G279)</f>
        <v/>
      </c>
      <c r="H279" s="10">
        <f>IF('Data Entry'!A279="","",'Data Entry'!H279)</f>
        <v/>
      </c>
      <c r="I279" s="10">
        <f>IF('Data Entry'!A279="","",'Data Entry'!I279)</f>
        <v/>
      </c>
      <c r="J279" s="12">
        <f>IF('Data Entry'!A279="","",IF('Data Entry'!D279&lt;&gt;"",'Data Entry'!D279,'Data Entry'!E279))</f>
        <v/>
      </c>
      <c r="K279" s="10">
        <f>IF('Data Entry'!A279="","",IFERROR(SUMIFS($H$5:$H$2001,$J$5:$J$2001,$J279,$B$5:$B$2001,$B279,$A$5:$A$2001,(MAXIFS($A$5:$A$2001,$J$5:$J$2001,$J279,$B$5:$B$2001,$B279,$A$5:$A$2001,"&lt;"&amp;$A279))),""))</f>
        <v/>
      </c>
      <c r="L279" s="14">
        <f>IF(OR('Data Entry'!A279="",$K279=""),"",$H279-$K279)</f>
        <v/>
      </c>
      <c r="M279" s="15">
        <f>IF(OR('Data Entry'!A279="",$K279="",$K279=0),"",$L279/$K279)</f>
        <v/>
      </c>
      <c r="N279" s="12">
        <f>IF('Data Entry'!A279="","",IF($L279="","New item",IF($L279&gt;0,"UP",IF($L279&lt;0,"down","same"))))</f>
        <v/>
      </c>
    </row>
    <row r="280">
      <c r="A280" s="11">
        <f>IF('Data Entry'!A280="","",'Data Entry'!A280)</f>
        <v/>
      </c>
      <c r="B280" s="12">
        <f>IF('Data Entry'!A280="","",'Data Entry'!B280)</f>
        <v/>
      </c>
      <c r="C280" s="12">
        <f>IF('Data Entry'!A280="","",'Data Entry'!C280)</f>
        <v/>
      </c>
      <c r="D280" s="12">
        <f>IF('Data Entry'!A280="","",'Data Entry'!D280)</f>
        <v/>
      </c>
      <c r="E280" s="12">
        <f>IF('Data Entry'!A280="","",'Data Entry'!E280)</f>
        <v/>
      </c>
      <c r="F280" s="12">
        <f>IF('Data Entry'!A280="","",'Data Entry'!F280)</f>
        <v/>
      </c>
      <c r="G280" s="13">
        <f>IF('Data Entry'!A280="","",'Data Entry'!G280)</f>
        <v/>
      </c>
      <c r="H280" s="10">
        <f>IF('Data Entry'!A280="","",'Data Entry'!H280)</f>
        <v/>
      </c>
      <c r="I280" s="10">
        <f>IF('Data Entry'!A280="","",'Data Entry'!I280)</f>
        <v/>
      </c>
      <c r="J280" s="12">
        <f>IF('Data Entry'!A280="","",IF('Data Entry'!D280&lt;&gt;"",'Data Entry'!D280,'Data Entry'!E280))</f>
        <v/>
      </c>
      <c r="K280" s="10">
        <f>IF('Data Entry'!A280="","",IFERROR(SUMIFS($H$5:$H$2001,$J$5:$J$2001,$J280,$B$5:$B$2001,$B280,$A$5:$A$2001,(MAXIFS($A$5:$A$2001,$J$5:$J$2001,$J280,$B$5:$B$2001,$B280,$A$5:$A$2001,"&lt;"&amp;$A280))),""))</f>
        <v/>
      </c>
      <c r="L280" s="14">
        <f>IF(OR('Data Entry'!A280="",$K280=""),"",$H280-$K280)</f>
        <v/>
      </c>
      <c r="M280" s="15">
        <f>IF(OR('Data Entry'!A280="",$K280="",$K280=0),"",$L280/$K280)</f>
        <v/>
      </c>
      <c r="N280" s="12">
        <f>IF('Data Entry'!A280="","",IF($L280="","New item",IF($L280&gt;0,"UP",IF($L280&lt;0,"down","same"))))</f>
        <v/>
      </c>
    </row>
    <row r="281">
      <c r="A281" s="11">
        <f>IF('Data Entry'!A281="","",'Data Entry'!A281)</f>
        <v/>
      </c>
      <c r="B281" s="12">
        <f>IF('Data Entry'!A281="","",'Data Entry'!B281)</f>
        <v/>
      </c>
      <c r="C281" s="12">
        <f>IF('Data Entry'!A281="","",'Data Entry'!C281)</f>
        <v/>
      </c>
      <c r="D281" s="12">
        <f>IF('Data Entry'!A281="","",'Data Entry'!D281)</f>
        <v/>
      </c>
      <c r="E281" s="12">
        <f>IF('Data Entry'!A281="","",'Data Entry'!E281)</f>
        <v/>
      </c>
      <c r="F281" s="12">
        <f>IF('Data Entry'!A281="","",'Data Entry'!F281)</f>
        <v/>
      </c>
      <c r="G281" s="13">
        <f>IF('Data Entry'!A281="","",'Data Entry'!G281)</f>
        <v/>
      </c>
      <c r="H281" s="10">
        <f>IF('Data Entry'!A281="","",'Data Entry'!H281)</f>
        <v/>
      </c>
      <c r="I281" s="10">
        <f>IF('Data Entry'!A281="","",'Data Entry'!I281)</f>
        <v/>
      </c>
      <c r="J281" s="12">
        <f>IF('Data Entry'!A281="","",IF('Data Entry'!D281&lt;&gt;"",'Data Entry'!D281,'Data Entry'!E281))</f>
        <v/>
      </c>
      <c r="K281" s="10">
        <f>IF('Data Entry'!A281="","",IFERROR(SUMIFS($H$5:$H$2001,$J$5:$J$2001,$J281,$B$5:$B$2001,$B281,$A$5:$A$2001,(MAXIFS($A$5:$A$2001,$J$5:$J$2001,$J281,$B$5:$B$2001,$B281,$A$5:$A$2001,"&lt;"&amp;$A281))),""))</f>
        <v/>
      </c>
      <c r="L281" s="14">
        <f>IF(OR('Data Entry'!A281="",$K281=""),"",$H281-$K281)</f>
        <v/>
      </c>
      <c r="M281" s="15">
        <f>IF(OR('Data Entry'!A281="",$K281="",$K281=0),"",$L281/$K281)</f>
        <v/>
      </c>
      <c r="N281" s="12">
        <f>IF('Data Entry'!A281="","",IF($L281="","New item",IF($L281&gt;0,"UP",IF($L281&lt;0,"down","same"))))</f>
        <v/>
      </c>
    </row>
    <row r="282">
      <c r="A282" s="11">
        <f>IF('Data Entry'!A282="","",'Data Entry'!A282)</f>
        <v/>
      </c>
      <c r="B282" s="12">
        <f>IF('Data Entry'!A282="","",'Data Entry'!B282)</f>
        <v/>
      </c>
      <c r="C282" s="12">
        <f>IF('Data Entry'!A282="","",'Data Entry'!C282)</f>
        <v/>
      </c>
      <c r="D282" s="12">
        <f>IF('Data Entry'!A282="","",'Data Entry'!D282)</f>
        <v/>
      </c>
      <c r="E282" s="12">
        <f>IF('Data Entry'!A282="","",'Data Entry'!E282)</f>
        <v/>
      </c>
      <c r="F282" s="12">
        <f>IF('Data Entry'!A282="","",'Data Entry'!F282)</f>
        <v/>
      </c>
      <c r="G282" s="13">
        <f>IF('Data Entry'!A282="","",'Data Entry'!G282)</f>
        <v/>
      </c>
      <c r="H282" s="10">
        <f>IF('Data Entry'!A282="","",'Data Entry'!H282)</f>
        <v/>
      </c>
      <c r="I282" s="10">
        <f>IF('Data Entry'!A282="","",'Data Entry'!I282)</f>
        <v/>
      </c>
      <c r="J282" s="12">
        <f>IF('Data Entry'!A282="","",IF('Data Entry'!D282&lt;&gt;"",'Data Entry'!D282,'Data Entry'!E282))</f>
        <v/>
      </c>
      <c r="K282" s="10">
        <f>IF('Data Entry'!A282="","",IFERROR(SUMIFS($H$5:$H$2001,$J$5:$J$2001,$J282,$B$5:$B$2001,$B282,$A$5:$A$2001,(MAXIFS($A$5:$A$2001,$J$5:$J$2001,$J282,$B$5:$B$2001,$B282,$A$5:$A$2001,"&lt;"&amp;$A282))),""))</f>
        <v/>
      </c>
      <c r="L282" s="14">
        <f>IF(OR('Data Entry'!A282="",$K282=""),"",$H282-$K282)</f>
        <v/>
      </c>
      <c r="M282" s="15">
        <f>IF(OR('Data Entry'!A282="",$K282="",$K282=0),"",$L282/$K282)</f>
        <v/>
      </c>
      <c r="N282" s="12">
        <f>IF('Data Entry'!A282="","",IF($L282="","New item",IF($L282&gt;0,"UP",IF($L282&lt;0,"down","same"))))</f>
        <v/>
      </c>
    </row>
    <row r="283">
      <c r="A283" s="11">
        <f>IF('Data Entry'!A283="","",'Data Entry'!A283)</f>
        <v/>
      </c>
      <c r="B283" s="12">
        <f>IF('Data Entry'!A283="","",'Data Entry'!B283)</f>
        <v/>
      </c>
      <c r="C283" s="12">
        <f>IF('Data Entry'!A283="","",'Data Entry'!C283)</f>
        <v/>
      </c>
      <c r="D283" s="12">
        <f>IF('Data Entry'!A283="","",'Data Entry'!D283)</f>
        <v/>
      </c>
      <c r="E283" s="12">
        <f>IF('Data Entry'!A283="","",'Data Entry'!E283)</f>
        <v/>
      </c>
      <c r="F283" s="12">
        <f>IF('Data Entry'!A283="","",'Data Entry'!F283)</f>
        <v/>
      </c>
      <c r="G283" s="13">
        <f>IF('Data Entry'!A283="","",'Data Entry'!G283)</f>
        <v/>
      </c>
      <c r="H283" s="10">
        <f>IF('Data Entry'!A283="","",'Data Entry'!H283)</f>
        <v/>
      </c>
      <c r="I283" s="10">
        <f>IF('Data Entry'!A283="","",'Data Entry'!I283)</f>
        <v/>
      </c>
      <c r="J283" s="12">
        <f>IF('Data Entry'!A283="","",IF('Data Entry'!D283&lt;&gt;"",'Data Entry'!D283,'Data Entry'!E283))</f>
        <v/>
      </c>
      <c r="K283" s="10">
        <f>IF('Data Entry'!A283="","",IFERROR(SUMIFS($H$5:$H$2001,$J$5:$J$2001,$J283,$B$5:$B$2001,$B283,$A$5:$A$2001,(MAXIFS($A$5:$A$2001,$J$5:$J$2001,$J283,$B$5:$B$2001,$B283,$A$5:$A$2001,"&lt;"&amp;$A283))),""))</f>
        <v/>
      </c>
      <c r="L283" s="14">
        <f>IF(OR('Data Entry'!A283="",$K283=""),"",$H283-$K283)</f>
        <v/>
      </c>
      <c r="M283" s="15">
        <f>IF(OR('Data Entry'!A283="",$K283="",$K283=0),"",$L283/$K283)</f>
        <v/>
      </c>
      <c r="N283" s="12">
        <f>IF('Data Entry'!A283="","",IF($L283="","New item",IF($L283&gt;0,"UP",IF($L283&lt;0,"down","same"))))</f>
        <v/>
      </c>
    </row>
    <row r="284">
      <c r="A284" s="11">
        <f>IF('Data Entry'!A284="","",'Data Entry'!A284)</f>
        <v/>
      </c>
      <c r="B284" s="12">
        <f>IF('Data Entry'!A284="","",'Data Entry'!B284)</f>
        <v/>
      </c>
      <c r="C284" s="12">
        <f>IF('Data Entry'!A284="","",'Data Entry'!C284)</f>
        <v/>
      </c>
      <c r="D284" s="12">
        <f>IF('Data Entry'!A284="","",'Data Entry'!D284)</f>
        <v/>
      </c>
      <c r="E284" s="12">
        <f>IF('Data Entry'!A284="","",'Data Entry'!E284)</f>
        <v/>
      </c>
      <c r="F284" s="12">
        <f>IF('Data Entry'!A284="","",'Data Entry'!F284)</f>
        <v/>
      </c>
      <c r="G284" s="13">
        <f>IF('Data Entry'!A284="","",'Data Entry'!G284)</f>
        <v/>
      </c>
      <c r="H284" s="10">
        <f>IF('Data Entry'!A284="","",'Data Entry'!H284)</f>
        <v/>
      </c>
      <c r="I284" s="10">
        <f>IF('Data Entry'!A284="","",'Data Entry'!I284)</f>
        <v/>
      </c>
      <c r="J284" s="12">
        <f>IF('Data Entry'!A284="","",IF('Data Entry'!D284&lt;&gt;"",'Data Entry'!D284,'Data Entry'!E284))</f>
        <v/>
      </c>
      <c r="K284" s="10">
        <f>IF('Data Entry'!A284="","",IFERROR(SUMIFS($H$5:$H$2001,$J$5:$J$2001,$J284,$B$5:$B$2001,$B284,$A$5:$A$2001,(MAXIFS($A$5:$A$2001,$J$5:$J$2001,$J284,$B$5:$B$2001,$B284,$A$5:$A$2001,"&lt;"&amp;$A284))),""))</f>
        <v/>
      </c>
      <c r="L284" s="14">
        <f>IF(OR('Data Entry'!A284="",$K284=""),"",$H284-$K284)</f>
        <v/>
      </c>
      <c r="M284" s="15">
        <f>IF(OR('Data Entry'!A284="",$K284="",$K284=0),"",$L284/$K284)</f>
        <v/>
      </c>
      <c r="N284" s="12">
        <f>IF('Data Entry'!A284="","",IF($L284="","New item",IF($L284&gt;0,"UP",IF($L284&lt;0,"down","same"))))</f>
        <v/>
      </c>
    </row>
    <row r="285">
      <c r="A285" s="11">
        <f>IF('Data Entry'!A285="","",'Data Entry'!A285)</f>
        <v/>
      </c>
      <c r="B285" s="12">
        <f>IF('Data Entry'!A285="","",'Data Entry'!B285)</f>
        <v/>
      </c>
      <c r="C285" s="12">
        <f>IF('Data Entry'!A285="","",'Data Entry'!C285)</f>
        <v/>
      </c>
      <c r="D285" s="12">
        <f>IF('Data Entry'!A285="","",'Data Entry'!D285)</f>
        <v/>
      </c>
      <c r="E285" s="12">
        <f>IF('Data Entry'!A285="","",'Data Entry'!E285)</f>
        <v/>
      </c>
      <c r="F285" s="12">
        <f>IF('Data Entry'!A285="","",'Data Entry'!F285)</f>
        <v/>
      </c>
      <c r="G285" s="13">
        <f>IF('Data Entry'!A285="","",'Data Entry'!G285)</f>
        <v/>
      </c>
      <c r="H285" s="10">
        <f>IF('Data Entry'!A285="","",'Data Entry'!H285)</f>
        <v/>
      </c>
      <c r="I285" s="10">
        <f>IF('Data Entry'!A285="","",'Data Entry'!I285)</f>
        <v/>
      </c>
      <c r="J285" s="12">
        <f>IF('Data Entry'!A285="","",IF('Data Entry'!D285&lt;&gt;"",'Data Entry'!D285,'Data Entry'!E285))</f>
        <v/>
      </c>
      <c r="K285" s="10">
        <f>IF('Data Entry'!A285="","",IFERROR(SUMIFS($H$5:$H$2001,$J$5:$J$2001,$J285,$B$5:$B$2001,$B285,$A$5:$A$2001,(MAXIFS($A$5:$A$2001,$J$5:$J$2001,$J285,$B$5:$B$2001,$B285,$A$5:$A$2001,"&lt;"&amp;$A285))),""))</f>
        <v/>
      </c>
      <c r="L285" s="14">
        <f>IF(OR('Data Entry'!A285="",$K285=""),"",$H285-$K285)</f>
        <v/>
      </c>
      <c r="M285" s="15">
        <f>IF(OR('Data Entry'!A285="",$K285="",$K285=0),"",$L285/$K285)</f>
        <v/>
      </c>
      <c r="N285" s="12">
        <f>IF('Data Entry'!A285="","",IF($L285="","New item",IF($L285&gt;0,"UP",IF($L285&lt;0,"down","same"))))</f>
        <v/>
      </c>
    </row>
    <row r="286">
      <c r="A286" s="11">
        <f>IF('Data Entry'!A286="","",'Data Entry'!A286)</f>
        <v/>
      </c>
      <c r="B286" s="12">
        <f>IF('Data Entry'!A286="","",'Data Entry'!B286)</f>
        <v/>
      </c>
      <c r="C286" s="12">
        <f>IF('Data Entry'!A286="","",'Data Entry'!C286)</f>
        <v/>
      </c>
      <c r="D286" s="12">
        <f>IF('Data Entry'!A286="","",'Data Entry'!D286)</f>
        <v/>
      </c>
      <c r="E286" s="12">
        <f>IF('Data Entry'!A286="","",'Data Entry'!E286)</f>
        <v/>
      </c>
      <c r="F286" s="12">
        <f>IF('Data Entry'!A286="","",'Data Entry'!F286)</f>
        <v/>
      </c>
      <c r="G286" s="13">
        <f>IF('Data Entry'!A286="","",'Data Entry'!G286)</f>
        <v/>
      </c>
      <c r="H286" s="10">
        <f>IF('Data Entry'!A286="","",'Data Entry'!H286)</f>
        <v/>
      </c>
      <c r="I286" s="10">
        <f>IF('Data Entry'!A286="","",'Data Entry'!I286)</f>
        <v/>
      </c>
      <c r="J286" s="12">
        <f>IF('Data Entry'!A286="","",IF('Data Entry'!D286&lt;&gt;"",'Data Entry'!D286,'Data Entry'!E286))</f>
        <v/>
      </c>
      <c r="K286" s="10">
        <f>IF('Data Entry'!A286="","",IFERROR(SUMIFS($H$5:$H$2001,$J$5:$J$2001,$J286,$B$5:$B$2001,$B286,$A$5:$A$2001,(MAXIFS($A$5:$A$2001,$J$5:$J$2001,$J286,$B$5:$B$2001,$B286,$A$5:$A$2001,"&lt;"&amp;$A286))),""))</f>
        <v/>
      </c>
      <c r="L286" s="14">
        <f>IF(OR('Data Entry'!A286="",$K286=""),"",$H286-$K286)</f>
        <v/>
      </c>
      <c r="M286" s="15">
        <f>IF(OR('Data Entry'!A286="",$K286="",$K286=0),"",$L286/$K286)</f>
        <v/>
      </c>
      <c r="N286" s="12">
        <f>IF('Data Entry'!A286="","",IF($L286="","New item",IF($L286&gt;0,"UP",IF($L286&lt;0,"down","same"))))</f>
        <v/>
      </c>
    </row>
    <row r="287">
      <c r="A287" s="11">
        <f>IF('Data Entry'!A287="","",'Data Entry'!A287)</f>
        <v/>
      </c>
      <c r="B287" s="12">
        <f>IF('Data Entry'!A287="","",'Data Entry'!B287)</f>
        <v/>
      </c>
      <c r="C287" s="12">
        <f>IF('Data Entry'!A287="","",'Data Entry'!C287)</f>
        <v/>
      </c>
      <c r="D287" s="12">
        <f>IF('Data Entry'!A287="","",'Data Entry'!D287)</f>
        <v/>
      </c>
      <c r="E287" s="12">
        <f>IF('Data Entry'!A287="","",'Data Entry'!E287)</f>
        <v/>
      </c>
      <c r="F287" s="12">
        <f>IF('Data Entry'!A287="","",'Data Entry'!F287)</f>
        <v/>
      </c>
      <c r="G287" s="13">
        <f>IF('Data Entry'!A287="","",'Data Entry'!G287)</f>
        <v/>
      </c>
      <c r="H287" s="10">
        <f>IF('Data Entry'!A287="","",'Data Entry'!H287)</f>
        <v/>
      </c>
      <c r="I287" s="10">
        <f>IF('Data Entry'!A287="","",'Data Entry'!I287)</f>
        <v/>
      </c>
      <c r="J287" s="12">
        <f>IF('Data Entry'!A287="","",IF('Data Entry'!D287&lt;&gt;"",'Data Entry'!D287,'Data Entry'!E287))</f>
        <v/>
      </c>
      <c r="K287" s="10">
        <f>IF('Data Entry'!A287="","",IFERROR(SUMIFS($H$5:$H$2001,$J$5:$J$2001,$J287,$B$5:$B$2001,$B287,$A$5:$A$2001,(MAXIFS($A$5:$A$2001,$J$5:$J$2001,$J287,$B$5:$B$2001,$B287,$A$5:$A$2001,"&lt;"&amp;$A287))),""))</f>
        <v/>
      </c>
      <c r="L287" s="14">
        <f>IF(OR('Data Entry'!A287="",$K287=""),"",$H287-$K287)</f>
        <v/>
      </c>
      <c r="M287" s="15">
        <f>IF(OR('Data Entry'!A287="",$K287="",$K287=0),"",$L287/$K287)</f>
        <v/>
      </c>
      <c r="N287" s="12">
        <f>IF('Data Entry'!A287="","",IF($L287="","New item",IF($L287&gt;0,"UP",IF($L287&lt;0,"down","same"))))</f>
        <v/>
      </c>
    </row>
    <row r="288">
      <c r="A288" s="11">
        <f>IF('Data Entry'!A288="","",'Data Entry'!A288)</f>
        <v/>
      </c>
      <c r="B288" s="12">
        <f>IF('Data Entry'!A288="","",'Data Entry'!B288)</f>
        <v/>
      </c>
      <c r="C288" s="12">
        <f>IF('Data Entry'!A288="","",'Data Entry'!C288)</f>
        <v/>
      </c>
      <c r="D288" s="12">
        <f>IF('Data Entry'!A288="","",'Data Entry'!D288)</f>
        <v/>
      </c>
      <c r="E288" s="12">
        <f>IF('Data Entry'!A288="","",'Data Entry'!E288)</f>
        <v/>
      </c>
      <c r="F288" s="12">
        <f>IF('Data Entry'!A288="","",'Data Entry'!F288)</f>
        <v/>
      </c>
      <c r="G288" s="13">
        <f>IF('Data Entry'!A288="","",'Data Entry'!G288)</f>
        <v/>
      </c>
      <c r="H288" s="10">
        <f>IF('Data Entry'!A288="","",'Data Entry'!H288)</f>
        <v/>
      </c>
      <c r="I288" s="10">
        <f>IF('Data Entry'!A288="","",'Data Entry'!I288)</f>
        <v/>
      </c>
      <c r="J288" s="12">
        <f>IF('Data Entry'!A288="","",IF('Data Entry'!D288&lt;&gt;"",'Data Entry'!D288,'Data Entry'!E288))</f>
        <v/>
      </c>
      <c r="K288" s="10">
        <f>IF('Data Entry'!A288="","",IFERROR(SUMIFS($H$5:$H$2001,$J$5:$J$2001,$J288,$B$5:$B$2001,$B288,$A$5:$A$2001,(MAXIFS($A$5:$A$2001,$J$5:$J$2001,$J288,$B$5:$B$2001,$B288,$A$5:$A$2001,"&lt;"&amp;$A288))),""))</f>
        <v/>
      </c>
      <c r="L288" s="14">
        <f>IF(OR('Data Entry'!A288="",$K288=""),"",$H288-$K288)</f>
        <v/>
      </c>
      <c r="M288" s="15">
        <f>IF(OR('Data Entry'!A288="",$K288="",$K288=0),"",$L288/$K288)</f>
        <v/>
      </c>
      <c r="N288" s="12">
        <f>IF('Data Entry'!A288="","",IF($L288="","New item",IF($L288&gt;0,"UP",IF($L288&lt;0,"down","same"))))</f>
        <v/>
      </c>
    </row>
    <row r="289">
      <c r="A289" s="11">
        <f>IF('Data Entry'!A289="","",'Data Entry'!A289)</f>
        <v/>
      </c>
      <c r="B289" s="12">
        <f>IF('Data Entry'!A289="","",'Data Entry'!B289)</f>
        <v/>
      </c>
      <c r="C289" s="12">
        <f>IF('Data Entry'!A289="","",'Data Entry'!C289)</f>
        <v/>
      </c>
      <c r="D289" s="12">
        <f>IF('Data Entry'!A289="","",'Data Entry'!D289)</f>
        <v/>
      </c>
      <c r="E289" s="12">
        <f>IF('Data Entry'!A289="","",'Data Entry'!E289)</f>
        <v/>
      </c>
      <c r="F289" s="12">
        <f>IF('Data Entry'!A289="","",'Data Entry'!F289)</f>
        <v/>
      </c>
      <c r="G289" s="13">
        <f>IF('Data Entry'!A289="","",'Data Entry'!G289)</f>
        <v/>
      </c>
      <c r="H289" s="10">
        <f>IF('Data Entry'!A289="","",'Data Entry'!H289)</f>
        <v/>
      </c>
      <c r="I289" s="10">
        <f>IF('Data Entry'!A289="","",'Data Entry'!I289)</f>
        <v/>
      </c>
      <c r="J289" s="12">
        <f>IF('Data Entry'!A289="","",IF('Data Entry'!D289&lt;&gt;"",'Data Entry'!D289,'Data Entry'!E289))</f>
        <v/>
      </c>
      <c r="K289" s="10">
        <f>IF('Data Entry'!A289="","",IFERROR(SUMIFS($H$5:$H$2001,$J$5:$J$2001,$J289,$B$5:$B$2001,$B289,$A$5:$A$2001,(MAXIFS($A$5:$A$2001,$J$5:$J$2001,$J289,$B$5:$B$2001,$B289,$A$5:$A$2001,"&lt;"&amp;$A289))),""))</f>
        <v/>
      </c>
      <c r="L289" s="14">
        <f>IF(OR('Data Entry'!A289="",$K289=""),"",$H289-$K289)</f>
        <v/>
      </c>
      <c r="M289" s="15">
        <f>IF(OR('Data Entry'!A289="",$K289="",$K289=0),"",$L289/$K289)</f>
        <v/>
      </c>
      <c r="N289" s="12">
        <f>IF('Data Entry'!A289="","",IF($L289="","New item",IF($L289&gt;0,"UP",IF($L289&lt;0,"down","same"))))</f>
        <v/>
      </c>
    </row>
    <row r="290">
      <c r="A290" s="11">
        <f>IF('Data Entry'!A290="","",'Data Entry'!A290)</f>
        <v/>
      </c>
      <c r="B290" s="12">
        <f>IF('Data Entry'!A290="","",'Data Entry'!B290)</f>
        <v/>
      </c>
      <c r="C290" s="12">
        <f>IF('Data Entry'!A290="","",'Data Entry'!C290)</f>
        <v/>
      </c>
      <c r="D290" s="12">
        <f>IF('Data Entry'!A290="","",'Data Entry'!D290)</f>
        <v/>
      </c>
      <c r="E290" s="12">
        <f>IF('Data Entry'!A290="","",'Data Entry'!E290)</f>
        <v/>
      </c>
      <c r="F290" s="12">
        <f>IF('Data Entry'!A290="","",'Data Entry'!F290)</f>
        <v/>
      </c>
      <c r="G290" s="13">
        <f>IF('Data Entry'!A290="","",'Data Entry'!G290)</f>
        <v/>
      </c>
      <c r="H290" s="10">
        <f>IF('Data Entry'!A290="","",'Data Entry'!H290)</f>
        <v/>
      </c>
      <c r="I290" s="10">
        <f>IF('Data Entry'!A290="","",'Data Entry'!I290)</f>
        <v/>
      </c>
      <c r="J290" s="12">
        <f>IF('Data Entry'!A290="","",IF('Data Entry'!D290&lt;&gt;"",'Data Entry'!D290,'Data Entry'!E290))</f>
        <v/>
      </c>
      <c r="K290" s="10">
        <f>IF('Data Entry'!A290="","",IFERROR(SUMIFS($H$5:$H$2001,$J$5:$J$2001,$J290,$B$5:$B$2001,$B290,$A$5:$A$2001,(MAXIFS($A$5:$A$2001,$J$5:$J$2001,$J290,$B$5:$B$2001,$B290,$A$5:$A$2001,"&lt;"&amp;$A290))),""))</f>
        <v/>
      </c>
      <c r="L290" s="14">
        <f>IF(OR('Data Entry'!A290="",$K290=""),"",$H290-$K290)</f>
        <v/>
      </c>
      <c r="M290" s="15">
        <f>IF(OR('Data Entry'!A290="",$K290="",$K290=0),"",$L290/$K290)</f>
        <v/>
      </c>
      <c r="N290" s="12">
        <f>IF('Data Entry'!A290="","",IF($L290="","New item",IF($L290&gt;0,"UP",IF($L290&lt;0,"down","same"))))</f>
        <v/>
      </c>
    </row>
    <row r="291">
      <c r="A291" s="11">
        <f>IF('Data Entry'!A291="","",'Data Entry'!A291)</f>
        <v/>
      </c>
      <c r="B291" s="12">
        <f>IF('Data Entry'!A291="","",'Data Entry'!B291)</f>
        <v/>
      </c>
      <c r="C291" s="12">
        <f>IF('Data Entry'!A291="","",'Data Entry'!C291)</f>
        <v/>
      </c>
      <c r="D291" s="12">
        <f>IF('Data Entry'!A291="","",'Data Entry'!D291)</f>
        <v/>
      </c>
      <c r="E291" s="12">
        <f>IF('Data Entry'!A291="","",'Data Entry'!E291)</f>
        <v/>
      </c>
      <c r="F291" s="12">
        <f>IF('Data Entry'!A291="","",'Data Entry'!F291)</f>
        <v/>
      </c>
      <c r="G291" s="13">
        <f>IF('Data Entry'!A291="","",'Data Entry'!G291)</f>
        <v/>
      </c>
      <c r="H291" s="10">
        <f>IF('Data Entry'!A291="","",'Data Entry'!H291)</f>
        <v/>
      </c>
      <c r="I291" s="10">
        <f>IF('Data Entry'!A291="","",'Data Entry'!I291)</f>
        <v/>
      </c>
      <c r="J291" s="12">
        <f>IF('Data Entry'!A291="","",IF('Data Entry'!D291&lt;&gt;"",'Data Entry'!D291,'Data Entry'!E291))</f>
        <v/>
      </c>
      <c r="K291" s="10">
        <f>IF('Data Entry'!A291="","",IFERROR(SUMIFS($H$5:$H$2001,$J$5:$J$2001,$J291,$B$5:$B$2001,$B291,$A$5:$A$2001,(MAXIFS($A$5:$A$2001,$J$5:$J$2001,$J291,$B$5:$B$2001,$B291,$A$5:$A$2001,"&lt;"&amp;$A291))),""))</f>
        <v/>
      </c>
      <c r="L291" s="14">
        <f>IF(OR('Data Entry'!A291="",$K291=""),"",$H291-$K291)</f>
        <v/>
      </c>
      <c r="M291" s="15">
        <f>IF(OR('Data Entry'!A291="",$K291="",$K291=0),"",$L291/$K291)</f>
        <v/>
      </c>
      <c r="N291" s="12">
        <f>IF('Data Entry'!A291="","",IF($L291="","New item",IF($L291&gt;0,"UP",IF($L291&lt;0,"down","same"))))</f>
        <v/>
      </c>
    </row>
    <row r="292">
      <c r="A292" s="11">
        <f>IF('Data Entry'!A292="","",'Data Entry'!A292)</f>
        <v/>
      </c>
      <c r="B292" s="12">
        <f>IF('Data Entry'!A292="","",'Data Entry'!B292)</f>
        <v/>
      </c>
      <c r="C292" s="12">
        <f>IF('Data Entry'!A292="","",'Data Entry'!C292)</f>
        <v/>
      </c>
      <c r="D292" s="12">
        <f>IF('Data Entry'!A292="","",'Data Entry'!D292)</f>
        <v/>
      </c>
      <c r="E292" s="12">
        <f>IF('Data Entry'!A292="","",'Data Entry'!E292)</f>
        <v/>
      </c>
      <c r="F292" s="12">
        <f>IF('Data Entry'!A292="","",'Data Entry'!F292)</f>
        <v/>
      </c>
      <c r="G292" s="13">
        <f>IF('Data Entry'!A292="","",'Data Entry'!G292)</f>
        <v/>
      </c>
      <c r="H292" s="10">
        <f>IF('Data Entry'!A292="","",'Data Entry'!H292)</f>
        <v/>
      </c>
      <c r="I292" s="10">
        <f>IF('Data Entry'!A292="","",'Data Entry'!I292)</f>
        <v/>
      </c>
      <c r="J292" s="12">
        <f>IF('Data Entry'!A292="","",IF('Data Entry'!D292&lt;&gt;"",'Data Entry'!D292,'Data Entry'!E292))</f>
        <v/>
      </c>
      <c r="K292" s="10">
        <f>IF('Data Entry'!A292="","",IFERROR(SUMIFS($H$5:$H$2001,$J$5:$J$2001,$J292,$B$5:$B$2001,$B292,$A$5:$A$2001,(MAXIFS($A$5:$A$2001,$J$5:$J$2001,$J292,$B$5:$B$2001,$B292,$A$5:$A$2001,"&lt;"&amp;$A292))),""))</f>
        <v/>
      </c>
      <c r="L292" s="14">
        <f>IF(OR('Data Entry'!A292="",$K292=""),"",$H292-$K292)</f>
        <v/>
      </c>
      <c r="M292" s="15">
        <f>IF(OR('Data Entry'!A292="",$K292="",$K292=0),"",$L292/$K292)</f>
        <v/>
      </c>
      <c r="N292" s="12">
        <f>IF('Data Entry'!A292="","",IF($L292="","New item",IF($L292&gt;0,"UP",IF($L292&lt;0,"down","same"))))</f>
        <v/>
      </c>
    </row>
    <row r="293">
      <c r="A293" s="11">
        <f>IF('Data Entry'!A293="","",'Data Entry'!A293)</f>
        <v/>
      </c>
      <c r="B293" s="12">
        <f>IF('Data Entry'!A293="","",'Data Entry'!B293)</f>
        <v/>
      </c>
      <c r="C293" s="12">
        <f>IF('Data Entry'!A293="","",'Data Entry'!C293)</f>
        <v/>
      </c>
      <c r="D293" s="12">
        <f>IF('Data Entry'!A293="","",'Data Entry'!D293)</f>
        <v/>
      </c>
      <c r="E293" s="12">
        <f>IF('Data Entry'!A293="","",'Data Entry'!E293)</f>
        <v/>
      </c>
      <c r="F293" s="12">
        <f>IF('Data Entry'!A293="","",'Data Entry'!F293)</f>
        <v/>
      </c>
      <c r="G293" s="13">
        <f>IF('Data Entry'!A293="","",'Data Entry'!G293)</f>
        <v/>
      </c>
      <c r="H293" s="10">
        <f>IF('Data Entry'!A293="","",'Data Entry'!H293)</f>
        <v/>
      </c>
      <c r="I293" s="10">
        <f>IF('Data Entry'!A293="","",'Data Entry'!I293)</f>
        <v/>
      </c>
      <c r="J293" s="12">
        <f>IF('Data Entry'!A293="","",IF('Data Entry'!D293&lt;&gt;"",'Data Entry'!D293,'Data Entry'!E293))</f>
        <v/>
      </c>
      <c r="K293" s="10">
        <f>IF('Data Entry'!A293="","",IFERROR(SUMIFS($H$5:$H$2001,$J$5:$J$2001,$J293,$B$5:$B$2001,$B293,$A$5:$A$2001,(MAXIFS($A$5:$A$2001,$J$5:$J$2001,$J293,$B$5:$B$2001,$B293,$A$5:$A$2001,"&lt;"&amp;$A293))),""))</f>
        <v/>
      </c>
      <c r="L293" s="14">
        <f>IF(OR('Data Entry'!A293="",$K293=""),"",$H293-$K293)</f>
        <v/>
      </c>
      <c r="M293" s="15">
        <f>IF(OR('Data Entry'!A293="",$K293="",$K293=0),"",$L293/$K293)</f>
        <v/>
      </c>
      <c r="N293" s="12">
        <f>IF('Data Entry'!A293="","",IF($L293="","New item",IF($L293&gt;0,"UP",IF($L293&lt;0,"down","same"))))</f>
        <v/>
      </c>
    </row>
    <row r="294">
      <c r="A294" s="11">
        <f>IF('Data Entry'!A294="","",'Data Entry'!A294)</f>
        <v/>
      </c>
      <c r="B294" s="12">
        <f>IF('Data Entry'!A294="","",'Data Entry'!B294)</f>
        <v/>
      </c>
      <c r="C294" s="12">
        <f>IF('Data Entry'!A294="","",'Data Entry'!C294)</f>
        <v/>
      </c>
      <c r="D294" s="12">
        <f>IF('Data Entry'!A294="","",'Data Entry'!D294)</f>
        <v/>
      </c>
      <c r="E294" s="12">
        <f>IF('Data Entry'!A294="","",'Data Entry'!E294)</f>
        <v/>
      </c>
      <c r="F294" s="12">
        <f>IF('Data Entry'!A294="","",'Data Entry'!F294)</f>
        <v/>
      </c>
      <c r="G294" s="13">
        <f>IF('Data Entry'!A294="","",'Data Entry'!G294)</f>
        <v/>
      </c>
      <c r="H294" s="10">
        <f>IF('Data Entry'!A294="","",'Data Entry'!H294)</f>
        <v/>
      </c>
      <c r="I294" s="10">
        <f>IF('Data Entry'!A294="","",'Data Entry'!I294)</f>
        <v/>
      </c>
      <c r="J294" s="12">
        <f>IF('Data Entry'!A294="","",IF('Data Entry'!D294&lt;&gt;"",'Data Entry'!D294,'Data Entry'!E294))</f>
        <v/>
      </c>
      <c r="K294" s="10">
        <f>IF('Data Entry'!A294="","",IFERROR(SUMIFS($H$5:$H$2001,$J$5:$J$2001,$J294,$B$5:$B$2001,$B294,$A$5:$A$2001,(MAXIFS($A$5:$A$2001,$J$5:$J$2001,$J294,$B$5:$B$2001,$B294,$A$5:$A$2001,"&lt;"&amp;$A294))),""))</f>
        <v/>
      </c>
      <c r="L294" s="14">
        <f>IF(OR('Data Entry'!A294="",$K294=""),"",$H294-$K294)</f>
        <v/>
      </c>
      <c r="M294" s="15">
        <f>IF(OR('Data Entry'!A294="",$K294="",$K294=0),"",$L294/$K294)</f>
        <v/>
      </c>
      <c r="N294" s="12">
        <f>IF('Data Entry'!A294="","",IF($L294="","New item",IF($L294&gt;0,"UP",IF($L294&lt;0,"down","same"))))</f>
        <v/>
      </c>
    </row>
    <row r="295">
      <c r="A295" s="11">
        <f>IF('Data Entry'!A295="","",'Data Entry'!A295)</f>
        <v/>
      </c>
      <c r="B295" s="12">
        <f>IF('Data Entry'!A295="","",'Data Entry'!B295)</f>
        <v/>
      </c>
      <c r="C295" s="12">
        <f>IF('Data Entry'!A295="","",'Data Entry'!C295)</f>
        <v/>
      </c>
      <c r="D295" s="12">
        <f>IF('Data Entry'!A295="","",'Data Entry'!D295)</f>
        <v/>
      </c>
      <c r="E295" s="12">
        <f>IF('Data Entry'!A295="","",'Data Entry'!E295)</f>
        <v/>
      </c>
      <c r="F295" s="12">
        <f>IF('Data Entry'!A295="","",'Data Entry'!F295)</f>
        <v/>
      </c>
      <c r="G295" s="13">
        <f>IF('Data Entry'!A295="","",'Data Entry'!G295)</f>
        <v/>
      </c>
      <c r="H295" s="10">
        <f>IF('Data Entry'!A295="","",'Data Entry'!H295)</f>
        <v/>
      </c>
      <c r="I295" s="10">
        <f>IF('Data Entry'!A295="","",'Data Entry'!I295)</f>
        <v/>
      </c>
      <c r="J295" s="12">
        <f>IF('Data Entry'!A295="","",IF('Data Entry'!D295&lt;&gt;"",'Data Entry'!D295,'Data Entry'!E295))</f>
        <v/>
      </c>
      <c r="K295" s="10">
        <f>IF('Data Entry'!A295="","",IFERROR(SUMIFS($H$5:$H$2001,$J$5:$J$2001,$J295,$B$5:$B$2001,$B295,$A$5:$A$2001,(MAXIFS($A$5:$A$2001,$J$5:$J$2001,$J295,$B$5:$B$2001,$B295,$A$5:$A$2001,"&lt;"&amp;$A295))),""))</f>
        <v/>
      </c>
      <c r="L295" s="14">
        <f>IF(OR('Data Entry'!A295="",$K295=""),"",$H295-$K295)</f>
        <v/>
      </c>
      <c r="M295" s="15">
        <f>IF(OR('Data Entry'!A295="",$K295="",$K295=0),"",$L295/$K295)</f>
        <v/>
      </c>
      <c r="N295" s="12">
        <f>IF('Data Entry'!A295="","",IF($L295="","New item",IF($L295&gt;0,"UP",IF($L295&lt;0,"down","same"))))</f>
        <v/>
      </c>
    </row>
    <row r="296">
      <c r="A296" s="11">
        <f>IF('Data Entry'!A296="","",'Data Entry'!A296)</f>
        <v/>
      </c>
      <c r="B296" s="12">
        <f>IF('Data Entry'!A296="","",'Data Entry'!B296)</f>
        <v/>
      </c>
      <c r="C296" s="12">
        <f>IF('Data Entry'!A296="","",'Data Entry'!C296)</f>
        <v/>
      </c>
      <c r="D296" s="12">
        <f>IF('Data Entry'!A296="","",'Data Entry'!D296)</f>
        <v/>
      </c>
      <c r="E296" s="12">
        <f>IF('Data Entry'!A296="","",'Data Entry'!E296)</f>
        <v/>
      </c>
      <c r="F296" s="12">
        <f>IF('Data Entry'!A296="","",'Data Entry'!F296)</f>
        <v/>
      </c>
      <c r="G296" s="13">
        <f>IF('Data Entry'!A296="","",'Data Entry'!G296)</f>
        <v/>
      </c>
      <c r="H296" s="10">
        <f>IF('Data Entry'!A296="","",'Data Entry'!H296)</f>
        <v/>
      </c>
      <c r="I296" s="10">
        <f>IF('Data Entry'!A296="","",'Data Entry'!I296)</f>
        <v/>
      </c>
      <c r="J296" s="12">
        <f>IF('Data Entry'!A296="","",IF('Data Entry'!D296&lt;&gt;"",'Data Entry'!D296,'Data Entry'!E296))</f>
        <v/>
      </c>
      <c r="K296" s="10">
        <f>IF('Data Entry'!A296="","",IFERROR(SUMIFS($H$5:$H$2001,$J$5:$J$2001,$J296,$B$5:$B$2001,$B296,$A$5:$A$2001,(MAXIFS($A$5:$A$2001,$J$5:$J$2001,$J296,$B$5:$B$2001,$B296,$A$5:$A$2001,"&lt;"&amp;$A296))),""))</f>
        <v/>
      </c>
      <c r="L296" s="14">
        <f>IF(OR('Data Entry'!A296="",$K296=""),"",$H296-$K296)</f>
        <v/>
      </c>
      <c r="M296" s="15">
        <f>IF(OR('Data Entry'!A296="",$K296="",$K296=0),"",$L296/$K296)</f>
        <v/>
      </c>
      <c r="N296" s="12">
        <f>IF('Data Entry'!A296="","",IF($L296="","New item",IF($L296&gt;0,"UP",IF($L296&lt;0,"down","same"))))</f>
        <v/>
      </c>
    </row>
    <row r="297">
      <c r="A297" s="11">
        <f>IF('Data Entry'!A297="","",'Data Entry'!A297)</f>
        <v/>
      </c>
      <c r="B297" s="12">
        <f>IF('Data Entry'!A297="","",'Data Entry'!B297)</f>
        <v/>
      </c>
      <c r="C297" s="12">
        <f>IF('Data Entry'!A297="","",'Data Entry'!C297)</f>
        <v/>
      </c>
      <c r="D297" s="12">
        <f>IF('Data Entry'!A297="","",'Data Entry'!D297)</f>
        <v/>
      </c>
      <c r="E297" s="12">
        <f>IF('Data Entry'!A297="","",'Data Entry'!E297)</f>
        <v/>
      </c>
      <c r="F297" s="12">
        <f>IF('Data Entry'!A297="","",'Data Entry'!F297)</f>
        <v/>
      </c>
      <c r="G297" s="13">
        <f>IF('Data Entry'!A297="","",'Data Entry'!G297)</f>
        <v/>
      </c>
      <c r="H297" s="10">
        <f>IF('Data Entry'!A297="","",'Data Entry'!H297)</f>
        <v/>
      </c>
      <c r="I297" s="10">
        <f>IF('Data Entry'!A297="","",'Data Entry'!I297)</f>
        <v/>
      </c>
      <c r="J297" s="12">
        <f>IF('Data Entry'!A297="","",IF('Data Entry'!D297&lt;&gt;"",'Data Entry'!D297,'Data Entry'!E297))</f>
        <v/>
      </c>
      <c r="K297" s="10">
        <f>IF('Data Entry'!A297="","",IFERROR(SUMIFS($H$5:$H$2001,$J$5:$J$2001,$J297,$B$5:$B$2001,$B297,$A$5:$A$2001,(MAXIFS($A$5:$A$2001,$J$5:$J$2001,$J297,$B$5:$B$2001,$B297,$A$5:$A$2001,"&lt;"&amp;$A297))),""))</f>
        <v/>
      </c>
      <c r="L297" s="14">
        <f>IF(OR('Data Entry'!A297="",$K297=""),"",$H297-$K297)</f>
        <v/>
      </c>
      <c r="M297" s="15">
        <f>IF(OR('Data Entry'!A297="",$K297="",$K297=0),"",$L297/$K297)</f>
        <v/>
      </c>
      <c r="N297" s="12">
        <f>IF('Data Entry'!A297="","",IF($L297="","New item",IF($L297&gt;0,"UP",IF($L297&lt;0,"down","same"))))</f>
        <v/>
      </c>
    </row>
    <row r="298">
      <c r="A298" s="11">
        <f>IF('Data Entry'!A298="","",'Data Entry'!A298)</f>
        <v/>
      </c>
      <c r="B298" s="12">
        <f>IF('Data Entry'!A298="","",'Data Entry'!B298)</f>
        <v/>
      </c>
      <c r="C298" s="12">
        <f>IF('Data Entry'!A298="","",'Data Entry'!C298)</f>
        <v/>
      </c>
      <c r="D298" s="12">
        <f>IF('Data Entry'!A298="","",'Data Entry'!D298)</f>
        <v/>
      </c>
      <c r="E298" s="12">
        <f>IF('Data Entry'!A298="","",'Data Entry'!E298)</f>
        <v/>
      </c>
      <c r="F298" s="12">
        <f>IF('Data Entry'!A298="","",'Data Entry'!F298)</f>
        <v/>
      </c>
      <c r="G298" s="13">
        <f>IF('Data Entry'!A298="","",'Data Entry'!G298)</f>
        <v/>
      </c>
      <c r="H298" s="10">
        <f>IF('Data Entry'!A298="","",'Data Entry'!H298)</f>
        <v/>
      </c>
      <c r="I298" s="10">
        <f>IF('Data Entry'!A298="","",'Data Entry'!I298)</f>
        <v/>
      </c>
      <c r="J298" s="12">
        <f>IF('Data Entry'!A298="","",IF('Data Entry'!D298&lt;&gt;"",'Data Entry'!D298,'Data Entry'!E298))</f>
        <v/>
      </c>
      <c r="K298" s="10">
        <f>IF('Data Entry'!A298="","",IFERROR(SUMIFS($H$5:$H$2001,$J$5:$J$2001,$J298,$B$5:$B$2001,$B298,$A$5:$A$2001,(MAXIFS($A$5:$A$2001,$J$5:$J$2001,$J298,$B$5:$B$2001,$B298,$A$5:$A$2001,"&lt;"&amp;$A298))),""))</f>
        <v/>
      </c>
      <c r="L298" s="14">
        <f>IF(OR('Data Entry'!A298="",$K298=""),"",$H298-$K298)</f>
        <v/>
      </c>
      <c r="M298" s="15">
        <f>IF(OR('Data Entry'!A298="",$K298="",$K298=0),"",$L298/$K298)</f>
        <v/>
      </c>
      <c r="N298" s="12">
        <f>IF('Data Entry'!A298="","",IF($L298="","New item",IF($L298&gt;0,"UP",IF($L298&lt;0,"down","same"))))</f>
        <v/>
      </c>
    </row>
    <row r="299">
      <c r="A299" s="11">
        <f>IF('Data Entry'!A299="","",'Data Entry'!A299)</f>
        <v/>
      </c>
      <c r="B299" s="12">
        <f>IF('Data Entry'!A299="","",'Data Entry'!B299)</f>
        <v/>
      </c>
      <c r="C299" s="12">
        <f>IF('Data Entry'!A299="","",'Data Entry'!C299)</f>
        <v/>
      </c>
      <c r="D299" s="12">
        <f>IF('Data Entry'!A299="","",'Data Entry'!D299)</f>
        <v/>
      </c>
      <c r="E299" s="12">
        <f>IF('Data Entry'!A299="","",'Data Entry'!E299)</f>
        <v/>
      </c>
      <c r="F299" s="12">
        <f>IF('Data Entry'!A299="","",'Data Entry'!F299)</f>
        <v/>
      </c>
      <c r="G299" s="13">
        <f>IF('Data Entry'!A299="","",'Data Entry'!G299)</f>
        <v/>
      </c>
      <c r="H299" s="10">
        <f>IF('Data Entry'!A299="","",'Data Entry'!H299)</f>
        <v/>
      </c>
      <c r="I299" s="10">
        <f>IF('Data Entry'!A299="","",'Data Entry'!I299)</f>
        <v/>
      </c>
      <c r="J299" s="12">
        <f>IF('Data Entry'!A299="","",IF('Data Entry'!D299&lt;&gt;"",'Data Entry'!D299,'Data Entry'!E299))</f>
        <v/>
      </c>
      <c r="K299" s="10">
        <f>IF('Data Entry'!A299="","",IFERROR(SUMIFS($H$5:$H$2001,$J$5:$J$2001,$J299,$B$5:$B$2001,$B299,$A$5:$A$2001,(MAXIFS($A$5:$A$2001,$J$5:$J$2001,$J299,$B$5:$B$2001,$B299,$A$5:$A$2001,"&lt;"&amp;$A299))),""))</f>
        <v/>
      </c>
      <c r="L299" s="14">
        <f>IF(OR('Data Entry'!A299="",$K299=""),"",$H299-$K299)</f>
        <v/>
      </c>
      <c r="M299" s="15">
        <f>IF(OR('Data Entry'!A299="",$K299="",$K299=0),"",$L299/$K299)</f>
        <v/>
      </c>
      <c r="N299" s="12">
        <f>IF('Data Entry'!A299="","",IF($L299="","New item",IF($L299&gt;0,"UP",IF($L299&lt;0,"down","same"))))</f>
        <v/>
      </c>
    </row>
    <row r="300">
      <c r="A300" s="11">
        <f>IF('Data Entry'!A300="","",'Data Entry'!A300)</f>
        <v/>
      </c>
      <c r="B300" s="12">
        <f>IF('Data Entry'!A300="","",'Data Entry'!B300)</f>
        <v/>
      </c>
      <c r="C300" s="12">
        <f>IF('Data Entry'!A300="","",'Data Entry'!C300)</f>
        <v/>
      </c>
      <c r="D300" s="12">
        <f>IF('Data Entry'!A300="","",'Data Entry'!D300)</f>
        <v/>
      </c>
      <c r="E300" s="12">
        <f>IF('Data Entry'!A300="","",'Data Entry'!E300)</f>
        <v/>
      </c>
      <c r="F300" s="12">
        <f>IF('Data Entry'!A300="","",'Data Entry'!F300)</f>
        <v/>
      </c>
      <c r="G300" s="13">
        <f>IF('Data Entry'!A300="","",'Data Entry'!G300)</f>
        <v/>
      </c>
      <c r="H300" s="10">
        <f>IF('Data Entry'!A300="","",'Data Entry'!H300)</f>
        <v/>
      </c>
      <c r="I300" s="10">
        <f>IF('Data Entry'!A300="","",'Data Entry'!I300)</f>
        <v/>
      </c>
      <c r="J300" s="12">
        <f>IF('Data Entry'!A300="","",IF('Data Entry'!D300&lt;&gt;"",'Data Entry'!D300,'Data Entry'!E300))</f>
        <v/>
      </c>
      <c r="K300" s="10">
        <f>IF('Data Entry'!A300="","",IFERROR(SUMIFS($H$5:$H$2001,$J$5:$J$2001,$J300,$B$5:$B$2001,$B300,$A$5:$A$2001,(MAXIFS($A$5:$A$2001,$J$5:$J$2001,$J300,$B$5:$B$2001,$B300,$A$5:$A$2001,"&lt;"&amp;$A300))),""))</f>
        <v/>
      </c>
      <c r="L300" s="14">
        <f>IF(OR('Data Entry'!A300="",$K300=""),"",$H300-$K300)</f>
        <v/>
      </c>
      <c r="M300" s="15">
        <f>IF(OR('Data Entry'!A300="",$K300="",$K300=0),"",$L300/$K300)</f>
        <v/>
      </c>
      <c r="N300" s="12">
        <f>IF('Data Entry'!A300="","",IF($L300="","New item",IF($L300&gt;0,"UP",IF($L300&lt;0,"down","same"))))</f>
        <v/>
      </c>
    </row>
    <row r="301">
      <c r="A301" s="11">
        <f>IF('Data Entry'!A301="","",'Data Entry'!A301)</f>
        <v/>
      </c>
      <c r="B301" s="12">
        <f>IF('Data Entry'!A301="","",'Data Entry'!B301)</f>
        <v/>
      </c>
      <c r="C301" s="12">
        <f>IF('Data Entry'!A301="","",'Data Entry'!C301)</f>
        <v/>
      </c>
      <c r="D301" s="12">
        <f>IF('Data Entry'!A301="","",'Data Entry'!D301)</f>
        <v/>
      </c>
      <c r="E301" s="12">
        <f>IF('Data Entry'!A301="","",'Data Entry'!E301)</f>
        <v/>
      </c>
      <c r="F301" s="12">
        <f>IF('Data Entry'!A301="","",'Data Entry'!F301)</f>
        <v/>
      </c>
      <c r="G301" s="13">
        <f>IF('Data Entry'!A301="","",'Data Entry'!G301)</f>
        <v/>
      </c>
      <c r="H301" s="10">
        <f>IF('Data Entry'!A301="","",'Data Entry'!H301)</f>
        <v/>
      </c>
      <c r="I301" s="10">
        <f>IF('Data Entry'!A301="","",'Data Entry'!I301)</f>
        <v/>
      </c>
      <c r="J301" s="12">
        <f>IF('Data Entry'!A301="","",IF('Data Entry'!D301&lt;&gt;"",'Data Entry'!D301,'Data Entry'!E301))</f>
        <v/>
      </c>
      <c r="K301" s="10">
        <f>IF('Data Entry'!A301="","",IFERROR(SUMIFS($H$5:$H$2001,$J$5:$J$2001,$J301,$B$5:$B$2001,$B301,$A$5:$A$2001,(MAXIFS($A$5:$A$2001,$J$5:$J$2001,$J301,$B$5:$B$2001,$B301,$A$5:$A$2001,"&lt;"&amp;$A301))),""))</f>
        <v/>
      </c>
      <c r="L301" s="14">
        <f>IF(OR('Data Entry'!A301="",$K301=""),"",$H301-$K301)</f>
        <v/>
      </c>
      <c r="M301" s="15">
        <f>IF(OR('Data Entry'!A301="",$K301="",$K301=0),"",$L301/$K301)</f>
        <v/>
      </c>
      <c r="N301" s="12">
        <f>IF('Data Entry'!A301="","",IF($L301="","New item",IF($L301&gt;0,"UP",IF($L301&lt;0,"down","same"))))</f>
        <v/>
      </c>
    </row>
    <row r="302">
      <c r="A302" s="11">
        <f>IF('Data Entry'!A302="","",'Data Entry'!A302)</f>
        <v/>
      </c>
      <c r="B302" s="12">
        <f>IF('Data Entry'!A302="","",'Data Entry'!B302)</f>
        <v/>
      </c>
      <c r="C302" s="12">
        <f>IF('Data Entry'!A302="","",'Data Entry'!C302)</f>
        <v/>
      </c>
      <c r="D302" s="12">
        <f>IF('Data Entry'!A302="","",'Data Entry'!D302)</f>
        <v/>
      </c>
      <c r="E302" s="12">
        <f>IF('Data Entry'!A302="","",'Data Entry'!E302)</f>
        <v/>
      </c>
      <c r="F302" s="12">
        <f>IF('Data Entry'!A302="","",'Data Entry'!F302)</f>
        <v/>
      </c>
      <c r="G302" s="13">
        <f>IF('Data Entry'!A302="","",'Data Entry'!G302)</f>
        <v/>
      </c>
      <c r="H302" s="10">
        <f>IF('Data Entry'!A302="","",'Data Entry'!H302)</f>
        <v/>
      </c>
      <c r="I302" s="10">
        <f>IF('Data Entry'!A302="","",'Data Entry'!I302)</f>
        <v/>
      </c>
      <c r="J302" s="12">
        <f>IF('Data Entry'!A302="","",IF('Data Entry'!D302&lt;&gt;"",'Data Entry'!D302,'Data Entry'!E302))</f>
        <v/>
      </c>
      <c r="K302" s="10">
        <f>IF('Data Entry'!A302="","",IFERROR(SUMIFS($H$5:$H$2001,$J$5:$J$2001,$J302,$B$5:$B$2001,$B302,$A$5:$A$2001,(MAXIFS($A$5:$A$2001,$J$5:$J$2001,$J302,$B$5:$B$2001,$B302,$A$5:$A$2001,"&lt;"&amp;$A302))),""))</f>
        <v/>
      </c>
      <c r="L302" s="14">
        <f>IF(OR('Data Entry'!A302="",$K302=""),"",$H302-$K302)</f>
        <v/>
      </c>
      <c r="M302" s="15">
        <f>IF(OR('Data Entry'!A302="",$K302="",$K302=0),"",$L302/$K302)</f>
        <v/>
      </c>
      <c r="N302" s="12">
        <f>IF('Data Entry'!A302="","",IF($L302="","New item",IF($L302&gt;0,"UP",IF($L302&lt;0,"down","same"))))</f>
        <v/>
      </c>
    </row>
    <row r="303">
      <c r="A303" s="11">
        <f>IF('Data Entry'!A303="","",'Data Entry'!A303)</f>
        <v/>
      </c>
      <c r="B303" s="12">
        <f>IF('Data Entry'!A303="","",'Data Entry'!B303)</f>
        <v/>
      </c>
      <c r="C303" s="12">
        <f>IF('Data Entry'!A303="","",'Data Entry'!C303)</f>
        <v/>
      </c>
      <c r="D303" s="12">
        <f>IF('Data Entry'!A303="","",'Data Entry'!D303)</f>
        <v/>
      </c>
      <c r="E303" s="12">
        <f>IF('Data Entry'!A303="","",'Data Entry'!E303)</f>
        <v/>
      </c>
      <c r="F303" s="12">
        <f>IF('Data Entry'!A303="","",'Data Entry'!F303)</f>
        <v/>
      </c>
      <c r="G303" s="13">
        <f>IF('Data Entry'!A303="","",'Data Entry'!G303)</f>
        <v/>
      </c>
      <c r="H303" s="10">
        <f>IF('Data Entry'!A303="","",'Data Entry'!H303)</f>
        <v/>
      </c>
      <c r="I303" s="10">
        <f>IF('Data Entry'!A303="","",'Data Entry'!I303)</f>
        <v/>
      </c>
      <c r="J303" s="12">
        <f>IF('Data Entry'!A303="","",IF('Data Entry'!D303&lt;&gt;"",'Data Entry'!D303,'Data Entry'!E303))</f>
        <v/>
      </c>
      <c r="K303" s="10">
        <f>IF('Data Entry'!A303="","",IFERROR(SUMIFS($H$5:$H$2001,$J$5:$J$2001,$J303,$B$5:$B$2001,$B303,$A$5:$A$2001,(MAXIFS($A$5:$A$2001,$J$5:$J$2001,$J303,$B$5:$B$2001,$B303,$A$5:$A$2001,"&lt;"&amp;$A303))),""))</f>
        <v/>
      </c>
      <c r="L303" s="14">
        <f>IF(OR('Data Entry'!A303="",$K303=""),"",$H303-$K303)</f>
        <v/>
      </c>
      <c r="M303" s="15">
        <f>IF(OR('Data Entry'!A303="",$K303="",$K303=0),"",$L303/$K303)</f>
        <v/>
      </c>
      <c r="N303" s="12">
        <f>IF('Data Entry'!A303="","",IF($L303="","New item",IF($L303&gt;0,"UP",IF($L303&lt;0,"down","same"))))</f>
        <v/>
      </c>
    </row>
    <row r="304">
      <c r="A304" s="11">
        <f>IF('Data Entry'!A304="","",'Data Entry'!A304)</f>
        <v/>
      </c>
      <c r="B304" s="12">
        <f>IF('Data Entry'!A304="","",'Data Entry'!B304)</f>
        <v/>
      </c>
      <c r="C304" s="12">
        <f>IF('Data Entry'!A304="","",'Data Entry'!C304)</f>
        <v/>
      </c>
      <c r="D304" s="12">
        <f>IF('Data Entry'!A304="","",'Data Entry'!D304)</f>
        <v/>
      </c>
      <c r="E304" s="12">
        <f>IF('Data Entry'!A304="","",'Data Entry'!E304)</f>
        <v/>
      </c>
      <c r="F304" s="12">
        <f>IF('Data Entry'!A304="","",'Data Entry'!F304)</f>
        <v/>
      </c>
      <c r="G304" s="13">
        <f>IF('Data Entry'!A304="","",'Data Entry'!G304)</f>
        <v/>
      </c>
      <c r="H304" s="10">
        <f>IF('Data Entry'!A304="","",'Data Entry'!H304)</f>
        <v/>
      </c>
      <c r="I304" s="10">
        <f>IF('Data Entry'!A304="","",'Data Entry'!I304)</f>
        <v/>
      </c>
      <c r="J304" s="12">
        <f>IF('Data Entry'!A304="","",IF('Data Entry'!D304&lt;&gt;"",'Data Entry'!D304,'Data Entry'!E304))</f>
        <v/>
      </c>
      <c r="K304" s="10">
        <f>IF('Data Entry'!A304="","",IFERROR(SUMIFS($H$5:$H$2001,$J$5:$J$2001,$J304,$B$5:$B$2001,$B304,$A$5:$A$2001,(MAXIFS($A$5:$A$2001,$J$5:$J$2001,$J304,$B$5:$B$2001,$B304,$A$5:$A$2001,"&lt;"&amp;$A304))),""))</f>
        <v/>
      </c>
      <c r="L304" s="14">
        <f>IF(OR('Data Entry'!A304="",$K304=""),"",$H304-$K304)</f>
        <v/>
      </c>
      <c r="M304" s="15">
        <f>IF(OR('Data Entry'!A304="",$K304="",$K304=0),"",$L304/$K304)</f>
        <v/>
      </c>
      <c r="N304" s="12">
        <f>IF('Data Entry'!A304="","",IF($L304="","New item",IF($L304&gt;0,"UP",IF($L304&lt;0,"down","same"))))</f>
        <v/>
      </c>
    </row>
    <row r="305">
      <c r="A305" s="11">
        <f>IF('Data Entry'!A305="","",'Data Entry'!A305)</f>
        <v/>
      </c>
      <c r="B305" s="12">
        <f>IF('Data Entry'!A305="","",'Data Entry'!B305)</f>
        <v/>
      </c>
      <c r="C305" s="12">
        <f>IF('Data Entry'!A305="","",'Data Entry'!C305)</f>
        <v/>
      </c>
      <c r="D305" s="12">
        <f>IF('Data Entry'!A305="","",'Data Entry'!D305)</f>
        <v/>
      </c>
      <c r="E305" s="12">
        <f>IF('Data Entry'!A305="","",'Data Entry'!E305)</f>
        <v/>
      </c>
      <c r="F305" s="12">
        <f>IF('Data Entry'!A305="","",'Data Entry'!F305)</f>
        <v/>
      </c>
      <c r="G305" s="13">
        <f>IF('Data Entry'!A305="","",'Data Entry'!G305)</f>
        <v/>
      </c>
      <c r="H305" s="10">
        <f>IF('Data Entry'!A305="","",'Data Entry'!H305)</f>
        <v/>
      </c>
      <c r="I305" s="10">
        <f>IF('Data Entry'!A305="","",'Data Entry'!I305)</f>
        <v/>
      </c>
      <c r="J305" s="12">
        <f>IF('Data Entry'!A305="","",IF('Data Entry'!D305&lt;&gt;"",'Data Entry'!D305,'Data Entry'!E305))</f>
        <v/>
      </c>
      <c r="K305" s="10">
        <f>IF('Data Entry'!A305="","",IFERROR(SUMIFS($H$5:$H$2001,$J$5:$J$2001,$J305,$B$5:$B$2001,$B305,$A$5:$A$2001,(MAXIFS($A$5:$A$2001,$J$5:$J$2001,$J305,$B$5:$B$2001,$B305,$A$5:$A$2001,"&lt;"&amp;$A305))),""))</f>
        <v/>
      </c>
      <c r="L305" s="14">
        <f>IF(OR('Data Entry'!A305="",$K305=""),"",$H305-$K305)</f>
        <v/>
      </c>
      <c r="M305" s="15">
        <f>IF(OR('Data Entry'!A305="",$K305="",$K305=0),"",$L305/$K305)</f>
        <v/>
      </c>
      <c r="N305" s="12">
        <f>IF('Data Entry'!A305="","",IF($L305="","New item",IF($L305&gt;0,"UP",IF($L305&lt;0,"down","same"))))</f>
        <v/>
      </c>
    </row>
    <row r="306">
      <c r="A306" s="11">
        <f>IF('Data Entry'!A306="","",'Data Entry'!A306)</f>
        <v/>
      </c>
      <c r="B306" s="12">
        <f>IF('Data Entry'!A306="","",'Data Entry'!B306)</f>
        <v/>
      </c>
      <c r="C306" s="12">
        <f>IF('Data Entry'!A306="","",'Data Entry'!C306)</f>
        <v/>
      </c>
      <c r="D306" s="12">
        <f>IF('Data Entry'!A306="","",'Data Entry'!D306)</f>
        <v/>
      </c>
      <c r="E306" s="12">
        <f>IF('Data Entry'!A306="","",'Data Entry'!E306)</f>
        <v/>
      </c>
      <c r="F306" s="12">
        <f>IF('Data Entry'!A306="","",'Data Entry'!F306)</f>
        <v/>
      </c>
      <c r="G306" s="13">
        <f>IF('Data Entry'!A306="","",'Data Entry'!G306)</f>
        <v/>
      </c>
      <c r="H306" s="10">
        <f>IF('Data Entry'!A306="","",'Data Entry'!H306)</f>
        <v/>
      </c>
      <c r="I306" s="10">
        <f>IF('Data Entry'!A306="","",'Data Entry'!I306)</f>
        <v/>
      </c>
      <c r="J306" s="12">
        <f>IF('Data Entry'!A306="","",IF('Data Entry'!D306&lt;&gt;"",'Data Entry'!D306,'Data Entry'!E306))</f>
        <v/>
      </c>
      <c r="K306" s="10">
        <f>IF('Data Entry'!A306="","",IFERROR(SUMIFS($H$5:$H$2001,$J$5:$J$2001,$J306,$B$5:$B$2001,$B306,$A$5:$A$2001,(MAXIFS($A$5:$A$2001,$J$5:$J$2001,$J306,$B$5:$B$2001,$B306,$A$5:$A$2001,"&lt;"&amp;$A306))),""))</f>
        <v/>
      </c>
      <c r="L306" s="14">
        <f>IF(OR('Data Entry'!A306="",$K306=""),"",$H306-$K306)</f>
        <v/>
      </c>
      <c r="M306" s="15">
        <f>IF(OR('Data Entry'!A306="",$K306="",$K306=0),"",$L306/$K306)</f>
        <v/>
      </c>
      <c r="N306" s="12">
        <f>IF('Data Entry'!A306="","",IF($L306="","New item",IF($L306&gt;0,"UP",IF($L306&lt;0,"down","same"))))</f>
        <v/>
      </c>
    </row>
    <row r="307">
      <c r="A307" s="11">
        <f>IF('Data Entry'!A307="","",'Data Entry'!A307)</f>
        <v/>
      </c>
      <c r="B307" s="12">
        <f>IF('Data Entry'!A307="","",'Data Entry'!B307)</f>
        <v/>
      </c>
      <c r="C307" s="12">
        <f>IF('Data Entry'!A307="","",'Data Entry'!C307)</f>
        <v/>
      </c>
      <c r="D307" s="12">
        <f>IF('Data Entry'!A307="","",'Data Entry'!D307)</f>
        <v/>
      </c>
      <c r="E307" s="12">
        <f>IF('Data Entry'!A307="","",'Data Entry'!E307)</f>
        <v/>
      </c>
      <c r="F307" s="12">
        <f>IF('Data Entry'!A307="","",'Data Entry'!F307)</f>
        <v/>
      </c>
      <c r="G307" s="13">
        <f>IF('Data Entry'!A307="","",'Data Entry'!G307)</f>
        <v/>
      </c>
      <c r="H307" s="10">
        <f>IF('Data Entry'!A307="","",'Data Entry'!H307)</f>
        <v/>
      </c>
      <c r="I307" s="10">
        <f>IF('Data Entry'!A307="","",'Data Entry'!I307)</f>
        <v/>
      </c>
      <c r="J307" s="12">
        <f>IF('Data Entry'!A307="","",IF('Data Entry'!D307&lt;&gt;"",'Data Entry'!D307,'Data Entry'!E307))</f>
        <v/>
      </c>
      <c r="K307" s="10">
        <f>IF('Data Entry'!A307="","",IFERROR(SUMIFS($H$5:$H$2001,$J$5:$J$2001,$J307,$B$5:$B$2001,$B307,$A$5:$A$2001,(MAXIFS($A$5:$A$2001,$J$5:$J$2001,$J307,$B$5:$B$2001,$B307,$A$5:$A$2001,"&lt;"&amp;$A307))),""))</f>
        <v/>
      </c>
      <c r="L307" s="14">
        <f>IF(OR('Data Entry'!A307="",$K307=""),"",$H307-$K307)</f>
        <v/>
      </c>
      <c r="M307" s="15">
        <f>IF(OR('Data Entry'!A307="",$K307="",$K307=0),"",$L307/$K307)</f>
        <v/>
      </c>
      <c r="N307" s="12">
        <f>IF('Data Entry'!A307="","",IF($L307="","New item",IF($L307&gt;0,"UP",IF($L307&lt;0,"down","same"))))</f>
        <v/>
      </c>
    </row>
    <row r="308">
      <c r="A308" s="11">
        <f>IF('Data Entry'!A308="","",'Data Entry'!A308)</f>
        <v/>
      </c>
      <c r="B308" s="12">
        <f>IF('Data Entry'!A308="","",'Data Entry'!B308)</f>
        <v/>
      </c>
      <c r="C308" s="12">
        <f>IF('Data Entry'!A308="","",'Data Entry'!C308)</f>
        <v/>
      </c>
      <c r="D308" s="12">
        <f>IF('Data Entry'!A308="","",'Data Entry'!D308)</f>
        <v/>
      </c>
      <c r="E308" s="12">
        <f>IF('Data Entry'!A308="","",'Data Entry'!E308)</f>
        <v/>
      </c>
      <c r="F308" s="12">
        <f>IF('Data Entry'!A308="","",'Data Entry'!F308)</f>
        <v/>
      </c>
      <c r="G308" s="13">
        <f>IF('Data Entry'!A308="","",'Data Entry'!G308)</f>
        <v/>
      </c>
      <c r="H308" s="10">
        <f>IF('Data Entry'!A308="","",'Data Entry'!H308)</f>
        <v/>
      </c>
      <c r="I308" s="10">
        <f>IF('Data Entry'!A308="","",'Data Entry'!I308)</f>
        <v/>
      </c>
      <c r="J308" s="12">
        <f>IF('Data Entry'!A308="","",IF('Data Entry'!D308&lt;&gt;"",'Data Entry'!D308,'Data Entry'!E308))</f>
        <v/>
      </c>
      <c r="K308" s="10">
        <f>IF('Data Entry'!A308="","",IFERROR(SUMIFS($H$5:$H$2001,$J$5:$J$2001,$J308,$B$5:$B$2001,$B308,$A$5:$A$2001,(MAXIFS($A$5:$A$2001,$J$5:$J$2001,$J308,$B$5:$B$2001,$B308,$A$5:$A$2001,"&lt;"&amp;$A308))),""))</f>
        <v/>
      </c>
      <c r="L308" s="14">
        <f>IF(OR('Data Entry'!A308="",$K308=""),"",$H308-$K308)</f>
        <v/>
      </c>
      <c r="M308" s="15">
        <f>IF(OR('Data Entry'!A308="",$K308="",$K308=0),"",$L308/$K308)</f>
        <v/>
      </c>
      <c r="N308" s="12">
        <f>IF('Data Entry'!A308="","",IF($L308="","New item",IF($L308&gt;0,"UP",IF($L308&lt;0,"down","same"))))</f>
        <v/>
      </c>
    </row>
    <row r="309">
      <c r="A309" s="11">
        <f>IF('Data Entry'!A309="","",'Data Entry'!A309)</f>
        <v/>
      </c>
      <c r="B309" s="12">
        <f>IF('Data Entry'!A309="","",'Data Entry'!B309)</f>
        <v/>
      </c>
      <c r="C309" s="12">
        <f>IF('Data Entry'!A309="","",'Data Entry'!C309)</f>
        <v/>
      </c>
      <c r="D309" s="12">
        <f>IF('Data Entry'!A309="","",'Data Entry'!D309)</f>
        <v/>
      </c>
      <c r="E309" s="12">
        <f>IF('Data Entry'!A309="","",'Data Entry'!E309)</f>
        <v/>
      </c>
      <c r="F309" s="12">
        <f>IF('Data Entry'!A309="","",'Data Entry'!F309)</f>
        <v/>
      </c>
      <c r="G309" s="13">
        <f>IF('Data Entry'!A309="","",'Data Entry'!G309)</f>
        <v/>
      </c>
      <c r="H309" s="10">
        <f>IF('Data Entry'!A309="","",'Data Entry'!H309)</f>
        <v/>
      </c>
      <c r="I309" s="10">
        <f>IF('Data Entry'!A309="","",'Data Entry'!I309)</f>
        <v/>
      </c>
      <c r="J309" s="12">
        <f>IF('Data Entry'!A309="","",IF('Data Entry'!D309&lt;&gt;"",'Data Entry'!D309,'Data Entry'!E309))</f>
        <v/>
      </c>
      <c r="K309" s="10">
        <f>IF('Data Entry'!A309="","",IFERROR(SUMIFS($H$5:$H$2001,$J$5:$J$2001,$J309,$B$5:$B$2001,$B309,$A$5:$A$2001,(MAXIFS($A$5:$A$2001,$J$5:$J$2001,$J309,$B$5:$B$2001,$B309,$A$5:$A$2001,"&lt;"&amp;$A309))),""))</f>
        <v/>
      </c>
      <c r="L309" s="14">
        <f>IF(OR('Data Entry'!A309="",$K309=""),"",$H309-$K309)</f>
        <v/>
      </c>
      <c r="M309" s="15">
        <f>IF(OR('Data Entry'!A309="",$K309="",$K309=0),"",$L309/$K309)</f>
        <v/>
      </c>
      <c r="N309" s="12">
        <f>IF('Data Entry'!A309="","",IF($L309="","New item",IF($L309&gt;0,"UP",IF($L309&lt;0,"down","same"))))</f>
        <v/>
      </c>
    </row>
    <row r="310">
      <c r="A310" s="11">
        <f>IF('Data Entry'!A310="","",'Data Entry'!A310)</f>
        <v/>
      </c>
      <c r="B310" s="12">
        <f>IF('Data Entry'!A310="","",'Data Entry'!B310)</f>
        <v/>
      </c>
      <c r="C310" s="12">
        <f>IF('Data Entry'!A310="","",'Data Entry'!C310)</f>
        <v/>
      </c>
      <c r="D310" s="12">
        <f>IF('Data Entry'!A310="","",'Data Entry'!D310)</f>
        <v/>
      </c>
      <c r="E310" s="12">
        <f>IF('Data Entry'!A310="","",'Data Entry'!E310)</f>
        <v/>
      </c>
      <c r="F310" s="12">
        <f>IF('Data Entry'!A310="","",'Data Entry'!F310)</f>
        <v/>
      </c>
      <c r="G310" s="13">
        <f>IF('Data Entry'!A310="","",'Data Entry'!G310)</f>
        <v/>
      </c>
      <c r="H310" s="10">
        <f>IF('Data Entry'!A310="","",'Data Entry'!H310)</f>
        <v/>
      </c>
      <c r="I310" s="10">
        <f>IF('Data Entry'!A310="","",'Data Entry'!I310)</f>
        <v/>
      </c>
      <c r="J310" s="12">
        <f>IF('Data Entry'!A310="","",IF('Data Entry'!D310&lt;&gt;"",'Data Entry'!D310,'Data Entry'!E310))</f>
        <v/>
      </c>
      <c r="K310" s="10">
        <f>IF('Data Entry'!A310="","",IFERROR(SUMIFS($H$5:$H$2001,$J$5:$J$2001,$J310,$B$5:$B$2001,$B310,$A$5:$A$2001,(MAXIFS($A$5:$A$2001,$J$5:$J$2001,$J310,$B$5:$B$2001,$B310,$A$5:$A$2001,"&lt;"&amp;$A310))),""))</f>
        <v/>
      </c>
      <c r="L310" s="14">
        <f>IF(OR('Data Entry'!A310="",$K310=""),"",$H310-$K310)</f>
        <v/>
      </c>
      <c r="M310" s="15">
        <f>IF(OR('Data Entry'!A310="",$K310="",$K310=0),"",$L310/$K310)</f>
        <v/>
      </c>
      <c r="N310" s="12">
        <f>IF('Data Entry'!A310="","",IF($L310="","New item",IF($L310&gt;0,"UP",IF($L310&lt;0,"down","same"))))</f>
        <v/>
      </c>
    </row>
    <row r="311">
      <c r="A311" s="11">
        <f>IF('Data Entry'!A311="","",'Data Entry'!A311)</f>
        <v/>
      </c>
      <c r="B311" s="12">
        <f>IF('Data Entry'!A311="","",'Data Entry'!B311)</f>
        <v/>
      </c>
      <c r="C311" s="12">
        <f>IF('Data Entry'!A311="","",'Data Entry'!C311)</f>
        <v/>
      </c>
      <c r="D311" s="12">
        <f>IF('Data Entry'!A311="","",'Data Entry'!D311)</f>
        <v/>
      </c>
      <c r="E311" s="12">
        <f>IF('Data Entry'!A311="","",'Data Entry'!E311)</f>
        <v/>
      </c>
      <c r="F311" s="12">
        <f>IF('Data Entry'!A311="","",'Data Entry'!F311)</f>
        <v/>
      </c>
      <c r="G311" s="13">
        <f>IF('Data Entry'!A311="","",'Data Entry'!G311)</f>
        <v/>
      </c>
      <c r="H311" s="10">
        <f>IF('Data Entry'!A311="","",'Data Entry'!H311)</f>
        <v/>
      </c>
      <c r="I311" s="10">
        <f>IF('Data Entry'!A311="","",'Data Entry'!I311)</f>
        <v/>
      </c>
      <c r="J311" s="12">
        <f>IF('Data Entry'!A311="","",IF('Data Entry'!D311&lt;&gt;"",'Data Entry'!D311,'Data Entry'!E311))</f>
        <v/>
      </c>
      <c r="K311" s="10">
        <f>IF('Data Entry'!A311="","",IFERROR(SUMIFS($H$5:$H$2001,$J$5:$J$2001,$J311,$B$5:$B$2001,$B311,$A$5:$A$2001,(MAXIFS($A$5:$A$2001,$J$5:$J$2001,$J311,$B$5:$B$2001,$B311,$A$5:$A$2001,"&lt;"&amp;$A311))),""))</f>
        <v/>
      </c>
      <c r="L311" s="14">
        <f>IF(OR('Data Entry'!A311="",$K311=""),"",$H311-$K311)</f>
        <v/>
      </c>
      <c r="M311" s="15">
        <f>IF(OR('Data Entry'!A311="",$K311="",$K311=0),"",$L311/$K311)</f>
        <v/>
      </c>
      <c r="N311" s="12">
        <f>IF('Data Entry'!A311="","",IF($L311="","New item",IF($L311&gt;0,"UP",IF($L311&lt;0,"down","same"))))</f>
        <v/>
      </c>
    </row>
    <row r="312">
      <c r="A312" s="11">
        <f>IF('Data Entry'!A312="","",'Data Entry'!A312)</f>
        <v/>
      </c>
      <c r="B312" s="12">
        <f>IF('Data Entry'!A312="","",'Data Entry'!B312)</f>
        <v/>
      </c>
      <c r="C312" s="12">
        <f>IF('Data Entry'!A312="","",'Data Entry'!C312)</f>
        <v/>
      </c>
      <c r="D312" s="12">
        <f>IF('Data Entry'!A312="","",'Data Entry'!D312)</f>
        <v/>
      </c>
      <c r="E312" s="12">
        <f>IF('Data Entry'!A312="","",'Data Entry'!E312)</f>
        <v/>
      </c>
      <c r="F312" s="12">
        <f>IF('Data Entry'!A312="","",'Data Entry'!F312)</f>
        <v/>
      </c>
      <c r="G312" s="13">
        <f>IF('Data Entry'!A312="","",'Data Entry'!G312)</f>
        <v/>
      </c>
      <c r="H312" s="10">
        <f>IF('Data Entry'!A312="","",'Data Entry'!H312)</f>
        <v/>
      </c>
      <c r="I312" s="10">
        <f>IF('Data Entry'!A312="","",'Data Entry'!I312)</f>
        <v/>
      </c>
      <c r="J312" s="12">
        <f>IF('Data Entry'!A312="","",IF('Data Entry'!D312&lt;&gt;"",'Data Entry'!D312,'Data Entry'!E312))</f>
        <v/>
      </c>
      <c r="K312" s="10">
        <f>IF('Data Entry'!A312="","",IFERROR(SUMIFS($H$5:$H$2001,$J$5:$J$2001,$J312,$B$5:$B$2001,$B312,$A$5:$A$2001,(MAXIFS($A$5:$A$2001,$J$5:$J$2001,$J312,$B$5:$B$2001,$B312,$A$5:$A$2001,"&lt;"&amp;$A312))),""))</f>
        <v/>
      </c>
      <c r="L312" s="14">
        <f>IF(OR('Data Entry'!A312="",$K312=""),"",$H312-$K312)</f>
        <v/>
      </c>
      <c r="M312" s="15">
        <f>IF(OR('Data Entry'!A312="",$K312="",$K312=0),"",$L312/$K312)</f>
        <v/>
      </c>
      <c r="N312" s="12">
        <f>IF('Data Entry'!A312="","",IF($L312="","New item",IF($L312&gt;0,"UP",IF($L312&lt;0,"down","same"))))</f>
        <v/>
      </c>
    </row>
    <row r="313">
      <c r="A313" s="11">
        <f>IF('Data Entry'!A313="","",'Data Entry'!A313)</f>
        <v/>
      </c>
      <c r="B313" s="12">
        <f>IF('Data Entry'!A313="","",'Data Entry'!B313)</f>
        <v/>
      </c>
      <c r="C313" s="12">
        <f>IF('Data Entry'!A313="","",'Data Entry'!C313)</f>
        <v/>
      </c>
      <c r="D313" s="12">
        <f>IF('Data Entry'!A313="","",'Data Entry'!D313)</f>
        <v/>
      </c>
      <c r="E313" s="12">
        <f>IF('Data Entry'!A313="","",'Data Entry'!E313)</f>
        <v/>
      </c>
      <c r="F313" s="12">
        <f>IF('Data Entry'!A313="","",'Data Entry'!F313)</f>
        <v/>
      </c>
      <c r="G313" s="13">
        <f>IF('Data Entry'!A313="","",'Data Entry'!G313)</f>
        <v/>
      </c>
      <c r="H313" s="10">
        <f>IF('Data Entry'!A313="","",'Data Entry'!H313)</f>
        <v/>
      </c>
      <c r="I313" s="10">
        <f>IF('Data Entry'!A313="","",'Data Entry'!I313)</f>
        <v/>
      </c>
      <c r="J313" s="12">
        <f>IF('Data Entry'!A313="","",IF('Data Entry'!D313&lt;&gt;"",'Data Entry'!D313,'Data Entry'!E313))</f>
        <v/>
      </c>
      <c r="K313" s="10">
        <f>IF('Data Entry'!A313="","",IFERROR(SUMIFS($H$5:$H$2001,$J$5:$J$2001,$J313,$B$5:$B$2001,$B313,$A$5:$A$2001,(MAXIFS($A$5:$A$2001,$J$5:$J$2001,$J313,$B$5:$B$2001,$B313,$A$5:$A$2001,"&lt;"&amp;$A313))),""))</f>
        <v/>
      </c>
      <c r="L313" s="14">
        <f>IF(OR('Data Entry'!A313="",$K313=""),"",$H313-$K313)</f>
        <v/>
      </c>
      <c r="M313" s="15">
        <f>IF(OR('Data Entry'!A313="",$K313="",$K313=0),"",$L313/$K313)</f>
        <v/>
      </c>
      <c r="N313" s="12">
        <f>IF('Data Entry'!A313="","",IF($L313="","New item",IF($L313&gt;0,"UP",IF($L313&lt;0,"down","same"))))</f>
        <v/>
      </c>
    </row>
    <row r="314">
      <c r="A314" s="11">
        <f>IF('Data Entry'!A314="","",'Data Entry'!A314)</f>
        <v/>
      </c>
      <c r="B314" s="12">
        <f>IF('Data Entry'!A314="","",'Data Entry'!B314)</f>
        <v/>
      </c>
      <c r="C314" s="12">
        <f>IF('Data Entry'!A314="","",'Data Entry'!C314)</f>
        <v/>
      </c>
      <c r="D314" s="12">
        <f>IF('Data Entry'!A314="","",'Data Entry'!D314)</f>
        <v/>
      </c>
      <c r="E314" s="12">
        <f>IF('Data Entry'!A314="","",'Data Entry'!E314)</f>
        <v/>
      </c>
      <c r="F314" s="12">
        <f>IF('Data Entry'!A314="","",'Data Entry'!F314)</f>
        <v/>
      </c>
      <c r="G314" s="13">
        <f>IF('Data Entry'!A314="","",'Data Entry'!G314)</f>
        <v/>
      </c>
      <c r="H314" s="10">
        <f>IF('Data Entry'!A314="","",'Data Entry'!H314)</f>
        <v/>
      </c>
      <c r="I314" s="10">
        <f>IF('Data Entry'!A314="","",'Data Entry'!I314)</f>
        <v/>
      </c>
      <c r="J314" s="12">
        <f>IF('Data Entry'!A314="","",IF('Data Entry'!D314&lt;&gt;"",'Data Entry'!D314,'Data Entry'!E314))</f>
        <v/>
      </c>
      <c r="K314" s="10">
        <f>IF('Data Entry'!A314="","",IFERROR(SUMIFS($H$5:$H$2001,$J$5:$J$2001,$J314,$B$5:$B$2001,$B314,$A$5:$A$2001,(MAXIFS($A$5:$A$2001,$J$5:$J$2001,$J314,$B$5:$B$2001,$B314,$A$5:$A$2001,"&lt;"&amp;$A314))),""))</f>
        <v/>
      </c>
      <c r="L314" s="14">
        <f>IF(OR('Data Entry'!A314="",$K314=""),"",$H314-$K314)</f>
        <v/>
      </c>
      <c r="M314" s="15">
        <f>IF(OR('Data Entry'!A314="",$K314="",$K314=0),"",$L314/$K314)</f>
        <v/>
      </c>
      <c r="N314" s="12">
        <f>IF('Data Entry'!A314="","",IF($L314="","New item",IF($L314&gt;0,"UP",IF($L314&lt;0,"down","same"))))</f>
        <v/>
      </c>
    </row>
    <row r="315">
      <c r="A315" s="11">
        <f>IF('Data Entry'!A315="","",'Data Entry'!A315)</f>
        <v/>
      </c>
      <c r="B315" s="12">
        <f>IF('Data Entry'!A315="","",'Data Entry'!B315)</f>
        <v/>
      </c>
      <c r="C315" s="12">
        <f>IF('Data Entry'!A315="","",'Data Entry'!C315)</f>
        <v/>
      </c>
      <c r="D315" s="12">
        <f>IF('Data Entry'!A315="","",'Data Entry'!D315)</f>
        <v/>
      </c>
      <c r="E315" s="12">
        <f>IF('Data Entry'!A315="","",'Data Entry'!E315)</f>
        <v/>
      </c>
      <c r="F315" s="12">
        <f>IF('Data Entry'!A315="","",'Data Entry'!F315)</f>
        <v/>
      </c>
      <c r="G315" s="13">
        <f>IF('Data Entry'!A315="","",'Data Entry'!G315)</f>
        <v/>
      </c>
      <c r="H315" s="10">
        <f>IF('Data Entry'!A315="","",'Data Entry'!H315)</f>
        <v/>
      </c>
      <c r="I315" s="10">
        <f>IF('Data Entry'!A315="","",'Data Entry'!I315)</f>
        <v/>
      </c>
      <c r="J315" s="12">
        <f>IF('Data Entry'!A315="","",IF('Data Entry'!D315&lt;&gt;"",'Data Entry'!D315,'Data Entry'!E315))</f>
        <v/>
      </c>
      <c r="K315" s="10">
        <f>IF('Data Entry'!A315="","",IFERROR(SUMIFS($H$5:$H$2001,$J$5:$J$2001,$J315,$B$5:$B$2001,$B315,$A$5:$A$2001,(MAXIFS($A$5:$A$2001,$J$5:$J$2001,$J315,$B$5:$B$2001,$B315,$A$5:$A$2001,"&lt;"&amp;$A315))),""))</f>
        <v/>
      </c>
      <c r="L315" s="14">
        <f>IF(OR('Data Entry'!A315="",$K315=""),"",$H315-$K315)</f>
        <v/>
      </c>
      <c r="M315" s="15">
        <f>IF(OR('Data Entry'!A315="",$K315="",$K315=0),"",$L315/$K315)</f>
        <v/>
      </c>
      <c r="N315" s="12">
        <f>IF('Data Entry'!A315="","",IF($L315="","New item",IF($L315&gt;0,"UP",IF($L315&lt;0,"down","same"))))</f>
        <v/>
      </c>
    </row>
    <row r="316">
      <c r="A316" s="11">
        <f>IF('Data Entry'!A316="","",'Data Entry'!A316)</f>
        <v/>
      </c>
      <c r="B316" s="12">
        <f>IF('Data Entry'!A316="","",'Data Entry'!B316)</f>
        <v/>
      </c>
      <c r="C316" s="12">
        <f>IF('Data Entry'!A316="","",'Data Entry'!C316)</f>
        <v/>
      </c>
      <c r="D316" s="12">
        <f>IF('Data Entry'!A316="","",'Data Entry'!D316)</f>
        <v/>
      </c>
      <c r="E316" s="12">
        <f>IF('Data Entry'!A316="","",'Data Entry'!E316)</f>
        <v/>
      </c>
      <c r="F316" s="12">
        <f>IF('Data Entry'!A316="","",'Data Entry'!F316)</f>
        <v/>
      </c>
      <c r="G316" s="13">
        <f>IF('Data Entry'!A316="","",'Data Entry'!G316)</f>
        <v/>
      </c>
      <c r="H316" s="10">
        <f>IF('Data Entry'!A316="","",'Data Entry'!H316)</f>
        <v/>
      </c>
      <c r="I316" s="10">
        <f>IF('Data Entry'!A316="","",'Data Entry'!I316)</f>
        <v/>
      </c>
      <c r="J316" s="12">
        <f>IF('Data Entry'!A316="","",IF('Data Entry'!D316&lt;&gt;"",'Data Entry'!D316,'Data Entry'!E316))</f>
        <v/>
      </c>
      <c r="K316" s="10">
        <f>IF('Data Entry'!A316="","",IFERROR(SUMIFS($H$5:$H$2001,$J$5:$J$2001,$J316,$B$5:$B$2001,$B316,$A$5:$A$2001,(MAXIFS($A$5:$A$2001,$J$5:$J$2001,$J316,$B$5:$B$2001,$B316,$A$5:$A$2001,"&lt;"&amp;$A316))),""))</f>
        <v/>
      </c>
      <c r="L316" s="14">
        <f>IF(OR('Data Entry'!A316="",$K316=""),"",$H316-$K316)</f>
        <v/>
      </c>
      <c r="M316" s="15">
        <f>IF(OR('Data Entry'!A316="",$K316="",$K316=0),"",$L316/$K316)</f>
        <v/>
      </c>
      <c r="N316" s="12">
        <f>IF('Data Entry'!A316="","",IF($L316="","New item",IF($L316&gt;0,"UP",IF($L316&lt;0,"down","same"))))</f>
        <v/>
      </c>
    </row>
    <row r="317">
      <c r="A317" s="11">
        <f>IF('Data Entry'!A317="","",'Data Entry'!A317)</f>
        <v/>
      </c>
      <c r="B317" s="12">
        <f>IF('Data Entry'!A317="","",'Data Entry'!B317)</f>
        <v/>
      </c>
      <c r="C317" s="12">
        <f>IF('Data Entry'!A317="","",'Data Entry'!C317)</f>
        <v/>
      </c>
      <c r="D317" s="12">
        <f>IF('Data Entry'!A317="","",'Data Entry'!D317)</f>
        <v/>
      </c>
      <c r="E317" s="12">
        <f>IF('Data Entry'!A317="","",'Data Entry'!E317)</f>
        <v/>
      </c>
      <c r="F317" s="12">
        <f>IF('Data Entry'!A317="","",'Data Entry'!F317)</f>
        <v/>
      </c>
      <c r="G317" s="13">
        <f>IF('Data Entry'!A317="","",'Data Entry'!G317)</f>
        <v/>
      </c>
      <c r="H317" s="10">
        <f>IF('Data Entry'!A317="","",'Data Entry'!H317)</f>
        <v/>
      </c>
      <c r="I317" s="10">
        <f>IF('Data Entry'!A317="","",'Data Entry'!I317)</f>
        <v/>
      </c>
      <c r="J317" s="12">
        <f>IF('Data Entry'!A317="","",IF('Data Entry'!D317&lt;&gt;"",'Data Entry'!D317,'Data Entry'!E317))</f>
        <v/>
      </c>
      <c r="K317" s="10">
        <f>IF('Data Entry'!A317="","",IFERROR(SUMIFS($H$5:$H$2001,$J$5:$J$2001,$J317,$B$5:$B$2001,$B317,$A$5:$A$2001,(MAXIFS($A$5:$A$2001,$J$5:$J$2001,$J317,$B$5:$B$2001,$B317,$A$5:$A$2001,"&lt;"&amp;$A317))),""))</f>
        <v/>
      </c>
      <c r="L317" s="14">
        <f>IF(OR('Data Entry'!A317="",$K317=""),"",$H317-$K317)</f>
        <v/>
      </c>
      <c r="M317" s="15">
        <f>IF(OR('Data Entry'!A317="",$K317="",$K317=0),"",$L317/$K317)</f>
        <v/>
      </c>
      <c r="N317" s="12">
        <f>IF('Data Entry'!A317="","",IF($L317="","New item",IF($L317&gt;0,"UP",IF($L317&lt;0,"down","same"))))</f>
        <v/>
      </c>
    </row>
    <row r="318">
      <c r="A318" s="11">
        <f>IF('Data Entry'!A318="","",'Data Entry'!A318)</f>
        <v/>
      </c>
      <c r="B318" s="12">
        <f>IF('Data Entry'!A318="","",'Data Entry'!B318)</f>
        <v/>
      </c>
      <c r="C318" s="12">
        <f>IF('Data Entry'!A318="","",'Data Entry'!C318)</f>
        <v/>
      </c>
      <c r="D318" s="12">
        <f>IF('Data Entry'!A318="","",'Data Entry'!D318)</f>
        <v/>
      </c>
      <c r="E318" s="12">
        <f>IF('Data Entry'!A318="","",'Data Entry'!E318)</f>
        <v/>
      </c>
      <c r="F318" s="12">
        <f>IF('Data Entry'!A318="","",'Data Entry'!F318)</f>
        <v/>
      </c>
      <c r="G318" s="13">
        <f>IF('Data Entry'!A318="","",'Data Entry'!G318)</f>
        <v/>
      </c>
      <c r="H318" s="10">
        <f>IF('Data Entry'!A318="","",'Data Entry'!H318)</f>
        <v/>
      </c>
      <c r="I318" s="10">
        <f>IF('Data Entry'!A318="","",'Data Entry'!I318)</f>
        <v/>
      </c>
      <c r="J318" s="12">
        <f>IF('Data Entry'!A318="","",IF('Data Entry'!D318&lt;&gt;"",'Data Entry'!D318,'Data Entry'!E318))</f>
        <v/>
      </c>
      <c r="K318" s="10">
        <f>IF('Data Entry'!A318="","",IFERROR(SUMIFS($H$5:$H$2001,$J$5:$J$2001,$J318,$B$5:$B$2001,$B318,$A$5:$A$2001,(MAXIFS($A$5:$A$2001,$J$5:$J$2001,$J318,$B$5:$B$2001,$B318,$A$5:$A$2001,"&lt;"&amp;$A318))),""))</f>
        <v/>
      </c>
      <c r="L318" s="14">
        <f>IF(OR('Data Entry'!A318="",$K318=""),"",$H318-$K318)</f>
        <v/>
      </c>
      <c r="M318" s="15">
        <f>IF(OR('Data Entry'!A318="",$K318="",$K318=0),"",$L318/$K318)</f>
        <v/>
      </c>
      <c r="N318" s="12">
        <f>IF('Data Entry'!A318="","",IF($L318="","New item",IF($L318&gt;0,"UP",IF($L318&lt;0,"down","same"))))</f>
        <v/>
      </c>
    </row>
    <row r="319">
      <c r="A319" s="11">
        <f>IF('Data Entry'!A319="","",'Data Entry'!A319)</f>
        <v/>
      </c>
      <c r="B319" s="12">
        <f>IF('Data Entry'!A319="","",'Data Entry'!B319)</f>
        <v/>
      </c>
      <c r="C319" s="12">
        <f>IF('Data Entry'!A319="","",'Data Entry'!C319)</f>
        <v/>
      </c>
      <c r="D319" s="12">
        <f>IF('Data Entry'!A319="","",'Data Entry'!D319)</f>
        <v/>
      </c>
      <c r="E319" s="12">
        <f>IF('Data Entry'!A319="","",'Data Entry'!E319)</f>
        <v/>
      </c>
      <c r="F319" s="12">
        <f>IF('Data Entry'!A319="","",'Data Entry'!F319)</f>
        <v/>
      </c>
      <c r="G319" s="13">
        <f>IF('Data Entry'!A319="","",'Data Entry'!G319)</f>
        <v/>
      </c>
      <c r="H319" s="10">
        <f>IF('Data Entry'!A319="","",'Data Entry'!H319)</f>
        <v/>
      </c>
      <c r="I319" s="10">
        <f>IF('Data Entry'!A319="","",'Data Entry'!I319)</f>
        <v/>
      </c>
      <c r="J319" s="12">
        <f>IF('Data Entry'!A319="","",IF('Data Entry'!D319&lt;&gt;"",'Data Entry'!D319,'Data Entry'!E319))</f>
        <v/>
      </c>
      <c r="K319" s="10">
        <f>IF('Data Entry'!A319="","",IFERROR(SUMIFS($H$5:$H$2001,$J$5:$J$2001,$J319,$B$5:$B$2001,$B319,$A$5:$A$2001,(MAXIFS($A$5:$A$2001,$J$5:$J$2001,$J319,$B$5:$B$2001,$B319,$A$5:$A$2001,"&lt;"&amp;$A319))),""))</f>
        <v/>
      </c>
      <c r="L319" s="14">
        <f>IF(OR('Data Entry'!A319="",$K319=""),"",$H319-$K319)</f>
        <v/>
      </c>
      <c r="M319" s="15">
        <f>IF(OR('Data Entry'!A319="",$K319="",$K319=0),"",$L319/$K319)</f>
        <v/>
      </c>
      <c r="N319" s="12">
        <f>IF('Data Entry'!A319="","",IF($L319="","New item",IF($L319&gt;0,"UP",IF($L319&lt;0,"down","same"))))</f>
        <v/>
      </c>
    </row>
    <row r="320">
      <c r="A320" s="11">
        <f>IF('Data Entry'!A320="","",'Data Entry'!A320)</f>
        <v/>
      </c>
      <c r="B320" s="12">
        <f>IF('Data Entry'!A320="","",'Data Entry'!B320)</f>
        <v/>
      </c>
      <c r="C320" s="12">
        <f>IF('Data Entry'!A320="","",'Data Entry'!C320)</f>
        <v/>
      </c>
      <c r="D320" s="12">
        <f>IF('Data Entry'!A320="","",'Data Entry'!D320)</f>
        <v/>
      </c>
      <c r="E320" s="12">
        <f>IF('Data Entry'!A320="","",'Data Entry'!E320)</f>
        <v/>
      </c>
      <c r="F320" s="12">
        <f>IF('Data Entry'!A320="","",'Data Entry'!F320)</f>
        <v/>
      </c>
      <c r="G320" s="13">
        <f>IF('Data Entry'!A320="","",'Data Entry'!G320)</f>
        <v/>
      </c>
      <c r="H320" s="10">
        <f>IF('Data Entry'!A320="","",'Data Entry'!H320)</f>
        <v/>
      </c>
      <c r="I320" s="10">
        <f>IF('Data Entry'!A320="","",'Data Entry'!I320)</f>
        <v/>
      </c>
      <c r="J320" s="12">
        <f>IF('Data Entry'!A320="","",IF('Data Entry'!D320&lt;&gt;"",'Data Entry'!D320,'Data Entry'!E320))</f>
        <v/>
      </c>
      <c r="K320" s="10">
        <f>IF('Data Entry'!A320="","",IFERROR(SUMIFS($H$5:$H$2001,$J$5:$J$2001,$J320,$B$5:$B$2001,$B320,$A$5:$A$2001,(MAXIFS($A$5:$A$2001,$J$5:$J$2001,$J320,$B$5:$B$2001,$B320,$A$5:$A$2001,"&lt;"&amp;$A320))),""))</f>
        <v/>
      </c>
      <c r="L320" s="14">
        <f>IF(OR('Data Entry'!A320="",$K320=""),"",$H320-$K320)</f>
        <v/>
      </c>
      <c r="M320" s="15">
        <f>IF(OR('Data Entry'!A320="",$K320="",$K320=0),"",$L320/$K320)</f>
        <v/>
      </c>
      <c r="N320" s="12">
        <f>IF('Data Entry'!A320="","",IF($L320="","New item",IF($L320&gt;0,"UP",IF($L320&lt;0,"down","same"))))</f>
        <v/>
      </c>
    </row>
    <row r="321">
      <c r="A321" s="11">
        <f>IF('Data Entry'!A321="","",'Data Entry'!A321)</f>
        <v/>
      </c>
      <c r="B321" s="12">
        <f>IF('Data Entry'!A321="","",'Data Entry'!B321)</f>
        <v/>
      </c>
      <c r="C321" s="12">
        <f>IF('Data Entry'!A321="","",'Data Entry'!C321)</f>
        <v/>
      </c>
      <c r="D321" s="12">
        <f>IF('Data Entry'!A321="","",'Data Entry'!D321)</f>
        <v/>
      </c>
      <c r="E321" s="12">
        <f>IF('Data Entry'!A321="","",'Data Entry'!E321)</f>
        <v/>
      </c>
      <c r="F321" s="12">
        <f>IF('Data Entry'!A321="","",'Data Entry'!F321)</f>
        <v/>
      </c>
      <c r="G321" s="13">
        <f>IF('Data Entry'!A321="","",'Data Entry'!G321)</f>
        <v/>
      </c>
      <c r="H321" s="10">
        <f>IF('Data Entry'!A321="","",'Data Entry'!H321)</f>
        <v/>
      </c>
      <c r="I321" s="10">
        <f>IF('Data Entry'!A321="","",'Data Entry'!I321)</f>
        <v/>
      </c>
      <c r="J321" s="12">
        <f>IF('Data Entry'!A321="","",IF('Data Entry'!D321&lt;&gt;"",'Data Entry'!D321,'Data Entry'!E321))</f>
        <v/>
      </c>
      <c r="K321" s="10">
        <f>IF('Data Entry'!A321="","",IFERROR(SUMIFS($H$5:$H$2001,$J$5:$J$2001,$J321,$B$5:$B$2001,$B321,$A$5:$A$2001,(MAXIFS($A$5:$A$2001,$J$5:$J$2001,$J321,$B$5:$B$2001,$B321,$A$5:$A$2001,"&lt;"&amp;$A321))),""))</f>
        <v/>
      </c>
      <c r="L321" s="14">
        <f>IF(OR('Data Entry'!A321="",$K321=""),"",$H321-$K321)</f>
        <v/>
      </c>
      <c r="M321" s="15">
        <f>IF(OR('Data Entry'!A321="",$K321="",$K321=0),"",$L321/$K321)</f>
        <v/>
      </c>
      <c r="N321" s="12">
        <f>IF('Data Entry'!A321="","",IF($L321="","New item",IF($L321&gt;0,"UP",IF($L321&lt;0,"down","same"))))</f>
        <v/>
      </c>
    </row>
    <row r="322">
      <c r="A322" s="11">
        <f>IF('Data Entry'!A322="","",'Data Entry'!A322)</f>
        <v/>
      </c>
      <c r="B322" s="12">
        <f>IF('Data Entry'!A322="","",'Data Entry'!B322)</f>
        <v/>
      </c>
      <c r="C322" s="12">
        <f>IF('Data Entry'!A322="","",'Data Entry'!C322)</f>
        <v/>
      </c>
      <c r="D322" s="12">
        <f>IF('Data Entry'!A322="","",'Data Entry'!D322)</f>
        <v/>
      </c>
      <c r="E322" s="12">
        <f>IF('Data Entry'!A322="","",'Data Entry'!E322)</f>
        <v/>
      </c>
      <c r="F322" s="12">
        <f>IF('Data Entry'!A322="","",'Data Entry'!F322)</f>
        <v/>
      </c>
      <c r="G322" s="13">
        <f>IF('Data Entry'!A322="","",'Data Entry'!G322)</f>
        <v/>
      </c>
      <c r="H322" s="10">
        <f>IF('Data Entry'!A322="","",'Data Entry'!H322)</f>
        <v/>
      </c>
      <c r="I322" s="10">
        <f>IF('Data Entry'!A322="","",'Data Entry'!I322)</f>
        <v/>
      </c>
      <c r="J322" s="12">
        <f>IF('Data Entry'!A322="","",IF('Data Entry'!D322&lt;&gt;"",'Data Entry'!D322,'Data Entry'!E322))</f>
        <v/>
      </c>
      <c r="K322" s="10">
        <f>IF('Data Entry'!A322="","",IFERROR(SUMIFS($H$5:$H$2001,$J$5:$J$2001,$J322,$B$5:$B$2001,$B322,$A$5:$A$2001,(MAXIFS($A$5:$A$2001,$J$5:$J$2001,$J322,$B$5:$B$2001,$B322,$A$5:$A$2001,"&lt;"&amp;$A322))),""))</f>
        <v/>
      </c>
      <c r="L322" s="14">
        <f>IF(OR('Data Entry'!A322="",$K322=""),"",$H322-$K322)</f>
        <v/>
      </c>
      <c r="M322" s="15">
        <f>IF(OR('Data Entry'!A322="",$K322="",$K322=0),"",$L322/$K322)</f>
        <v/>
      </c>
      <c r="N322" s="12">
        <f>IF('Data Entry'!A322="","",IF($L322="","New item",IF($L322&gt;0,"UP",IF($L322&lt;0,"down","same"))))</f>
        <v/>
      </c>
    </row>
    <row r="323">
      <c r="A323" s="11">
        <f>IF('Data Entry'!A323="","",'Data Entry'!A323)</f>
        <v/>
      </c>
      <c r="B323" s="12">
        <f>IF('Data Entry'!A323="","",'Data Entry'!B323)</f>
        <v/>
      </c>
      <c r="C323" s="12">
        <f>IF('Data Entry'!A323="","",'Data Entry'!C323)</f>
        <v/>
      </c>
      <c r="D323" s="12">
        <f>IF('Data Entry'!A323="","",'Data Entry'!D323)</f>
        <v/>
      </c>
      <c r="E323" s="12">
        <f>IF('Data Entry'!A323="","",'Data Entry'!E323)</f>
        <v/>
      </c>
      <c r="F323" s="12">
        <f>IF('Data Entry'!A323="","",'Data Entry'!F323)</f>
        <v/>
      </c>
      <c r="G323" s="13">
        <f>IF('Data Entry'!A323="","",'Data Entry'!G323)</f>
        <v/>
      </c>
      <c r="H323" s="10">
        <f>IF('Data Entry'!A323="","",'Data Entry'!H323)</f>
        <v/>
      </c>
      <c r="I323" s="10">
        <f>IF('Data Entry'!A323="","",'Data Entry'!I323)</f>
        <v/>
      </c>
      <c r="J323" s="12">
        <f>IF('Data Entry'!A323="","",IF('Data Entry'!D323&lt;&gt;"",'Data Entry'!D323,'Data Entry'!E323))</f>
        <v/>
      </c>
      <c r="K323" s="10">
        <f>IF('Data Entry'!A323="","",IFERROR(SUMIFS($H$5:$H$2001,$J$5:$J$2001,$J323,$B$5:$B$2001,$B323,$A$5:$A$2001,(MAXIFS($A$5:$A$2001,$J$5:$J$2001,$J323,$B$5:$B$2001,$B323,$A$5:$A$2001,"&lt;"&amp;$A323))),""))</f>
        <v/>
      </c>
      <c r="L323" s="14">
        <f>IF(OR('Data Entry'!A323="",$K323=""),"",$H323-$K323)</f>
        <v/>
      </c>
      <c r="M323" s="15">
        <f>IF(OR('Data Entry'!A323="",$K323="",$K323=0),"",$L323/$K323)</f>
        <v/>
      </c>
      <c r="N323" s="12">
        <f>IF('Data Entry'!A323="","",IF($L323="","New item",IF($L323&gt;0,"UP",IF($L323&lt;0,"down","same"))))</f>
        <v/>
      </c>
    </row>
    <row r="324">
      <c r="A324" s="11">
        <f>IF('Data Entry'!A324="","",'Data Entry'!A324)</f>
        <v/>
      </c>
      <c r="B324" s="12">
        <f>IF('Data Entry'!A324="","",'Data Entry'!B324)</f>
        <v/>
      </c>
      <c r="C324" s="12">
        <f>IF('Data Entry'!A324="","",'Data Entry'!C324)</f>
        <v/>
      </c>
      <c r="D324" s="12">
        <f>IF('Data Entry'!A324="","",'Data Entry'!D324)</f>
        <v/>
      </c>
      <c r="E324" s="12">
        <f>IF('Data Entry'!A324="","",'Data Entry'!E324)</f>
        <v/>
      </c>
      <c r="F324" s="12">
        <f>IF('Data Entry'!A324="","",'Data Entry'!F324)</f>
        <v/>
      </c>
      <c r="G324" s="13">
        <f>IF('Data Entry'!A324="","",'Data Entry'!G324)</f>
        <v/>
      </c>
      <c r="H324" s="10">
        <f>IF('Data Entry'!A324="","",'Data Entry'!H324)</f>
        <v/>
      </c>
      <c r="I324" s="10">
        <f>IF('Data Entry'!A324="","",'Data Entry'!I324)</f>
        <v/>
      </c>
      <c r="J324" s="12">
        <f>IF('Data Entry'!A324="","",IF('Data Entry'!D324&lt;&gt;"",'Data Entry'!D324,'Data Entry'!E324))</f>
        <v/>
      </c>
      <c r="K324" s="10">
        <f>IF('Data Entry'!A324="","",IFERROR(SUMIFS($H$5:$H$2001,$J$5:$J$2001,$J324,$B$5:$B$2001,$B324,$A$5:$A$2001,(MAXIFS($A$5:$A$2001,$J$5:$J$2001,$J324,$B$5:$B$2001,$B324,$A$5:$A$2001,"&lt;"&amp;$A324))),""))</f>
        <v/>
      </c>
      <c r="L324" s="14">
        <f>IF(OR('Data Entry'!A324="",$K324=""),"",$H324-$K324)</f>
        <v/>
      </c>
      <c r="M324" s="15">
        <f>IF(OR('Data Entry'!A324="",$K324="",$K324=0),"",$L324/$K324)</f>
        <v/>
      </c>
      <c r="N324" s="12">
        <f>IF('Data Entry'!A324="","",IF($L324="","New item",IF($L324&gt;0,"UP",IF($L324&lt;0,"down","same"))))</f>
        <v/>
      </c>
    </row>
    <row r="325">
      <c r="A325" s="11">
        <f>IF('Data Entry'!A325="","",'Data Entry'!A325)</f>
        <v/>
      </c>
      <c r="B325" s="12">
        <f>IF('Data Entry'!A325="","",'Data Entry'!B325)</f>
        <v/>
      </c>
      <c r="C325" s="12">
        <f>IF('Data Entry'!A325="","",'Data Entry'!C325)</f>
        <v/>
      </c>
      <c r="D325" s="12">
        <f>IF('Data Entry'!A325="","",'Data Entry'!D325)</f>
        <v/>
      </c>
      <c r="E325" s="12">
        <f>IF('Data Entry'!A325="","",'Data Entry'!E325)</f>
        <v/>
      </c>
      <c r="F325" s="12">
        <f>IF('Data Entry'!A325="","",'Data Entry'!F325)</f>
        <v/>
      </c>
      <c r="G325" s="13">
        <f>IF('Data Entry'!A325="","",'Data Entry'!G325)</f>
        <v/>
      </c>
      <c r="H325" s="10">
        <f>IF('Data Entry'!A325="","",'Data Entry'!H325)</f>
        <v/>
      </c>
      <c r="I325" s="10">
        <f>IF('Data Entry'!A325="","",'Data Entry'!I325)</f>
        <v/>
      </c>
      <c r="J325" s="12">
        <f>IF('Data Entry'!A325="","",IF('Data Entry'!D325&lt;&gt;"",'Data Entry'!D325,'Data Entry'!E325))</f>
        <v/>
      </c>
      <c r="K325" s="10">
        <f>IF('Data Entry'!A325="","",IFERROR(SUMIFS($H$5:$H$2001,$J$5:$J$2001,$J325,$B$5:$B$2001,$B325,$A$5:$A$2001,(MAXIFS($A$5:$A$2001,$J$5:$J$2001,$J325,$B$5:$B$2001,$B325,$A$5:$A$2001,"&lt;"&amp;$A325))),""))</f>
        <v/>
      </c>
      <c r="L325" s="14">
        <f>IF(OR('Data Entry'!A325="",$K325=""),"",$H325-$K325)</f>
        <v/>
      </c>
      <c r="M325" s="15">
        <f>IF(OR('Data Entry'!A325="",$K325="",$K325=0),"",$L325/$K325)</f>
        <v/>
      </c>
      <c r="N325" s="12">
        <f>IF('Data Entry'!A325="","",IF($L325="","New item",IF($L325&gt;0,"UP",IF($L325&lt;0,"down","same"))))</f>
        <v/>
      </c>
    </row>
    <row r="326">
      <c r="A326" s="11">
        <f>IF('Data Entry'!A326="","",'Data Entry'!A326)</f>
        <v/>
      </c>
      <c r="B326" s="12">
        <f>IF('Data Entry'!A326="","",'Data Entry'!B326)</f>
        <v/>
      </c>
      <c r="C326" s="12">
        <f>IF('Data Entry'!A326="","",'Data Entry'!C326)</f>
        <v/>
      </c>
      <c r="D326" s="12">
        <f>IF('Data Entry'!A326="","",'Data Entry'!D326)</f>
        <v/>
      </c>
      <c r="E326" s="12">
        <f>IF('Data Entry'!A326="","",'Data Entry'!E326)</f>
        <v/>
      </c>
      <c r="F326" s="12">
        <f>IF('Data Entry'!A326="","",'Data Entry'!F326)</f>
        <v/>
      </c>
      <c r="G326" s="13">
        <f>IF('Data Entry'!A326="","",'Data Entry'!G326)</f>
        <v/>
      </c>
      <c r="H326" s="10">
        <f>IF('Data Entry'!A326="","",'Data Entry'!H326)</f>
        <v/>
      </c>
      <c r="I326" s="10">
        <f>IF('Data Entry'!A326="","",'Data Entry'!I326)</f>
        <v/>
      </c>
      <c r="J326" s="12">
        <f>IF('Data Entry'!A326="","",IF('Data Entry'!D326&lt;&gt;"",'Data Entry'!D326,'Data Entry'!E326))</f>
        <v/>
      </c>
      <c r="K326" s="10">
        <f>IF('Data Entry'!A326="","",IFERROR(SUMIFS($H$5:$H$2001,$J$5:$J$2001,$J326,$B$5:$B$2001,$B326,$A$5:$A$2001,(MAXIFS($A$5:$A$2001,$J$5:$J$2001,$J326,$B$5:$B$2001,$B326,$A$5:$A$2001,"&lt;"&amp;$A326))),""))</f>
        <v/>
      </c>
      <c r="L326" s="14">
        <f>IF(OR('Data Entry'!A326="",$K326=""),"",$H326-$K326)</f>
        <v/>
      </c>
      <c r="M326" s="15">
        <f>IF(OR('Data Entry'!A326="",$K326="",$K326=0),"",$L326/$K326)</f>
        <v/>
      </c>
      <c r="N326" s="12">
        <f>IF('Data Entry'!A326="","",IF($L326="","New item",IF($L326&gt;0,"UP",IF($L326&lt;0,"down","same"))))</f>
        <v/>
      </c>
    </row>
    <row r="327">
      <c r="A327" s="11">
        <f>IF('Data Entry'!A327="","",'Data Entry'!A327)</f>
        <v/>
      </c>
      <c r="B327" s="12">
        <f>IF('Data Entry'!A327="","",'Data Entry'!B327)</f>
        <v/>
      </c>
      <c r="C327" s="12">
        <f>IF('Data Entry'!A327="","",'Data Entry'!C327)</f>
        <v/>
      </c>
      <c r="D327" s="12">
        <f>IF('Data Entry'!A327="","",'Data Entry'!D327)</f>
        <v/>
      </c>
      <c r="E327" s="12">
        <f>IF('Data Entry'!A327="","",'Data Entry'!E327)</f>
        <v/>
      </c>
      <c r="F327" s="12">
        <f>IF('Data Entry'!A327="","",'Data Entry'!F327)</f>
        <v/>
      </c>
      <c r="G327" s="13">
        <f>IF('Data Entry'!A327="","",'Data Entry'!G327)</f>
        <v/>
      </c>
      <c r="H327" s="10">
        <f>IF('Data Entry'!A327="","",'Data Entry'!H327)</f>
        <v/>
      </c>
      <c r="I327" s="10">
        <f>IF('Data Entry'!A327="","",'Data Entry'!I327)</f>
        <v/>
      </c>
      <c r="J327" s="12">
        <f>IF('Data Entry'!A327="","",IF('Data Entry'!D327&lt;&gt;"",'Data Entry'!D327,'Data Entry'!E327))</f>
        <v/>
      </c>
      <c r="K327" s="10">
        <f>IF('Data Entry'!A327="","",IFERROR(SUMIFS($H$5:$H$2001,$J$5:$J$2001,$J327,$B$5:$B$2001,$B327,$A$5:$A$2001,(MAXIFS($A$5:$A$2001,$J$5:$J$2001,$J327,$B$5:$B$2001,$B327,$A$5:$A$2001,"&lt;"&amp;$A327))),""))</f>
        <v/>
      </c>
      <c r="L327" s="14">
        <f>IF(OR('Data Entry'!A327="",$K327=""),"",$H327-$K327)</f>
        <v/>
      </c>
      <c r="M327" s="15">
        <f>IF(OR('Data Entry'!A327="",$K327="",$K327=0),"",$L327/$K327)</f>
        <v/>
      </c>
      <c r="N327" s="12">
        <f>IF('Data Entry'!A327="","",IF($L327="","New item",IF($L327&gt;0,"UP",IF($L327&lt;0,"down","same"))))</f>
        <v/>
      </c>
    </row>
    <row r="328">
      <c r="A328" s="11">
        <f>IF('Data Entry'!A328="","",'Data Entry'!A328)</f>
        <v/>
      </c>
      <c r="B328" s="12">
        <f>IF('Data Entry'!A328="","",'Data Entry'!B328)</f>
        <v/>
      </c>
      <c r="C328" s="12">
        <f>IF('Data Entry'!A328="","",'Data Entry'!C328)</f>
        <v/>
      </c>
      <c r="D328" s="12">
        <f>IF('Data Entry'!A328="","",'Data Entry'!D328)</f>
        <v/>
      </c>
      <c r="E328" s="12">
        <f>IF('Data Entry'!A328="","",'Data Entry'!E328)</f>
        <v/>
      </c>
      <c r="F328" s="12">
        <f>IF('Data Entry'!A328="","",'Data Entry'!F328)</f>
        <v/>
      </c>
      <c r="G328" s="13">
        <f>IF('Data Entry'!A328="","",'Data Entry'!G328)</f>
        <v/>
      </c>
      <c r="H328" s="10">
        <f>IF('Data Entry'!A328="","",'Data Entry'!H328)</f>
        <v/>
      </c>
      <c r="I328" s="10">
        <f>IF('Data Entry'!A328="","",'Data Entry'!I328)</f>
        <v/>
      </c>
      <c r="J328" s="12">
        <f>IF('Data Entry'!A328="","",IF('Data Entry'!D328&lt;&gt;"",'Data Entry'!D328,'Data Entry'!E328))</f>
        <v/>
      </c>
      <c r="K328" s="10">
        <f>IF('Data Entry'!A328="","",IFERROR(SUMIFS($H$5:$H$2001,$J$5:$J$2001,$J328,$B$5:$B$2001,$B328,$A$5:$A$2001,(MAXIFS($A$5:$A$2001,$J$5:$J$2001,$J328,$B$5:$B$2001,$B328,$A$5:$A$2001,"&lt;"&amp;$A328))),""))</f>
        <v/>
      </c>
      <c r="L328" s="14">
        <f>IF(OR('Data Entry'!A328="",$K328=""),"",$H328-$K328)</f>
        <v/>
      </c>
      <c r="M328" s="15">
        <f>IF(OR('Data Entry'!A328="",$K328="",$K328=0),"",$L328/$K328)</f>
        <v/>
      </c>
      <c r="N328" s="12">
        <f>IF('Data Entry'!A328="","",IF($L328="","New item",IF($L328&gt;0,"UP",IF($L328&lt;0,"down","same"))))</f>
        <v/>
      </c>
    </row>
    <row r="329">
      <c r="A329" s="11">
        <f>IF('Data Entry'!A329="","",'Data Entry'!A329)</f>
        <v/>
      </c>
      <c r="B329" s="12">
        <f>IF('Data Entry'!A329="","",'Data Entry'!B329)</f>
        <v/>
      </c>
      <c r="C329" s="12">
        <f>IF('Data Entry'!A329="","",'Data Entry'!C329)</f>
        <v/>
      </c>
      <c r="D329" s="12">
        <f>IF('Data Entry'!A329="","",'Data Entry'!D329)</f>
        <v/>
      </c>
      <c r="E329" s="12">
        <f>IF('Data Entry'!A329="","",'Data Entry'!E329)</f>
        <v/>
      </c>
      <c r="F329" s="12">
        <f>IF('Data Entry'!A329="","",'Data Entry'!F329)</f>
        <v/>
      </c>
      <c r="G329" s="13">
        <f>IF('Data Entry'!A329="","",'Data Entry'!G329)</f>
        <v/>
      </c>
      <c r="H329" s="10">
        <f>IF('Data Entry'!A329="","",'Data Entry'!H329)</f>
        <v/>
      </c>
      <c r="I329" s="10">
        <f>IF('Data Entry'!A329="","",'Data Entry'!I329)</f>
        <v/>
      </c>
      <c r="J329" s="12">
        <f>IF('Data Entry'!A329="","",IF('Data Entry'!D329&lt;&gt;"",'Data Entry'!D329,'Data Entry'!E329))</f>
        <v/>
      </c>
      <c r="K329" s="10">
        <f>IF('Data Entry'!A329="","",IFERROR(SUMIFS($H$5:$H$2001,$J$5:$J$2001,$J329,$B$5:$B$2001,$B329,$A$5:$A$2001,(MAXIFS($A$5:$A$2001,$J$5:$J$2001,$J329,$B$5:$B$2001,$B329,$A$5:$A$2001,"&lt;"&amp;$A329))),""))</f>
        <v/>
      </c>
      <c r="L329" s="14">
        <f>IF(OR('Data Entry'!A329="",$K329=""),"",$H329-$K329)</f>
        <v/>
      </c>
      <c r="M329" s="15">
        <f>IF(OR('Data Entry'!A329="",$K329="",$K329=0),"",$L329/$K329)</f>
        <v/>
      </c>
      <c r="N329" s="12">
        <f>IF('Data Entry'!A329="","",IF($L329="","New item",IF($L329&gt;0,"UP",IF($L329&lt;0,"down","same"))))</f>
        <v/>
      </c>
    </row>
    <row r="330">
      <c r="A330" s="11">
        <f>IF('Data Entry'!A330="","",'Data Entry'!A330)</f>
        <v/>
      </c>
      <c r="B330" s="12">
        <f>IF('Data Entry'!A330="","",'Data Entry'!B330)</f>
        <v/>
      </c>
      <c r="C330" s="12">
        <f>IF('Data Entry'!A330="","",'Data Entry'!C330)</f>
        <v/>
      </c>
      <c r="D330" s="12">
        <f>IF('Data Entry'!A330="","",'Data Entry'!D330)</f>
        <v/>
      </c>
      <c r="E330" s="12">
        <f>IF('Data Entry'!A330="","",'Data Entry'!E330)</f>
        <v/>
      </c>
      <c r="F330" s="12">
        <f>IF('Data Entry'!A330="","",'Data Entry'!F330)</f>
        <v/>
      </c>
      <c r="G330" s="13">
        <f>IF('Data Entry'!A330="","",'Data Entry'!G330)</f>
        <v/>
      </c>
      <c r="H330" s="10">
        <f>IF('Data Entry'!A330="","",'Data Entry'!H330)</f>
        <v/>
      </c>
      <c r="I330" s="10">
        <f>IF('Data Entry'!A330="","",'Data Entry'!I330)</f>
        <v/>
      </c>
      <c r="J330" s="12">
        <f>IF('Data Entry'!A330="","",IF('Data Entry'!D330&lt;&gt;"",'Data Entry'!D330,'Data Entry'!E330))</f>
        <v/>
      </c>
      <c r="K330" s="10">
        <f>IF('Data Entry'!A330="","",IFERROR(SUMIFS($H$5:$H$2001,$J$5:$J$2001,$J330,$B$5:$B$2001,$B330,$A$5:$A$2001,(MAXIFS($A$5:$A$2001,$J$5:$J$2001,$J330,$B$5:$B$2001,$B330,$A$5:$A$2001,"&lt;"&amp;$A330))),""))</f>
        <v/>
      </c>
      <c r="L330" s="14">
        <f>IF(OR('Data Entry'!A330="",$K330=""),"",$H330-$K330)</f>
        <v/>
      </c>
      <c r="M330" s="15">
        <f>IF(OR('Data Entry'!A330="",$K330="",$K330=0),"",$L330/$K330)</f>
        <v/>
      </c>
      <c r="N330" s="12">
        <f>IF('Data Entry'!A330="","",IF($L330="","New item",IF($L330&gt;0,"UP",IF($L330&lt;0,"down","same"))))</f>
        <v/>
      </c>
    </row>
    <row r="331">
      <c r="A331" s="11">
        <f>IF('Data Entry'!A331="","",'Data Entry'!A331)</f>
        <v/>
      </c>
      <c r="B331" s="12">
        <f>IF('Data Entry'!A331="","",'Data Entry'!B331)</f>
        <v/>
      </c>
      <c r="C331" s="12">
        <f>IF('Data Entry'!A331="","",'Data Entry'!C331)</f>
        <v/>
      </c>
      <c r="D331" s="12">
        <f>IF('Data Entry'!A331="","",'Data Entry'!D331)</f>
        <v/>
      </c>
      <c r="E331" s="12">
        <f>IF('Data Entry'!A331="","",'Data Entry'!E331)</f>
        <v/>
      </c>
      <c r="F331" s="12">
        <f>IF('Data Entry'!A331="","",'Data Entry'!F331)</f>
        <v/>
      </c>
      <c r="G331" s="13">
        <f>IF('Data Entry'!A331="","",'Data Entry'!G331)</f>
        <v/>
      </c>
      <c r="H331" s="10">
        <f>IF('Data Entry'!A331="","",'Data Entry'!H331)</f>
        <v/>
      </c>
      <c r="I331" s="10">
        <f>IF('Data Entry'!A331="","",'Data Entry'!I331)</f>
        <v/>
      </c>
      <c r="J331" s="12">
        <f>IF('Data Entry'!A331="","",IF('Data Entry'!D331&lt;&gt;"",'Data Entry'!D331,'Data Entry'!E331))</f>
        <v/>
      </c>
      <c r="K331" s="10">
        <f>IF('Data Entry'!A331="","",IFERROR(SUMIFS($H$5:$H$2001,$J$5:$J$2001,$J331,$B$5:$B$2001,$B331,$A$5:$A$2001,(MAXIFS($A$5:$A$2001,$J$5:$J$2001,$J331,$B$5:$B$2001,$B331,$A$5:$A$2001,"&lt;"&amp;$A331))),""))</f>
        <v/>
      </c>
      <c r="L331" s="14">
        <f>IF(OR('Data Entry'!A331="",$K331=""),"",$H331-$K331)</f>
        <v/>
      </c>
      <c r="M331" s="15">
        <f>IF(OR('Data Entry'!A331="",$K331="",$K331=0),"",$L331/$K331)</f>
        <v/>
      </c>
      <c r="N331" s="12">
        <f>IF('Data Entry'!A331="","",IF($L331="","New item",IF($L331&gt;0,"UP",IF($L331&lt;0,"down","same"))))</f>
        <v/>
      </c>
    </row>
    <row r="332">
      <c r="A332" s="11">
        <f>IF('Data Entry'!A332="","",'Data Entry'!A332)</f>
        <v/>
      </c>
      <c r="B332" s="12">
        <f>IF('Data Entry'!A332="","",'Data Entry'!B332)</f>
        <v/>
      </c>
      <c r="C332" s="12">
        <f>IF('Data Entry'!A332="","",'Data Entry'!C332)</f>
        <v/>
      </c>
      <c r="D332" s="12">
        <f>IF('Data Entry'!A332="","",'Data Entry'!D332)</f>
        <v/>
      </c>
      <c r="E332" s="12">
        <f>IF('Data Entry'!A332="","",'Data Entry'!E332)</f>
        <v/>
      </c>
      <c r="F332" s="12">
        <f>IF('Data Entry'!A332="","",'Data Entry'!F332)</f>
        <v/>
      </c>
      <c r="G332" s="13">
        <f>IF('Data Entry'!A332="","",'Data Entry'!G332)</f>
        <v/>
      </c>
      <c r="H332" s="10">
        <f>IF('Data Entry'!A332="","",'Data Entry'!H332)</f>
        <v/>
      </c>
      <c r="I332" s="10">
        <f>IF('Data Entry'!A332="","",'Data Entry'!I332)</f>
        <v/>
      </c>
      <c r="J332" s="12">
        <f>IF('Data Entry'!A332="","",IF('Data Entry'!D332&lt;&gt;"",'Data Entry'!D332,'Data Entry'!E332))</f>
        <v/>
      </c>
      <c r="K332" s="10">
        <f>IF('Data Entry'!A332="","",IFERROR(SUMIFS($H$5:$H$2001,$J$5:$J$2001,$J332,$B$5:$B$2001,$B332,$A$5:$A$2001,(MAXIFS($A$5:$A$2001,$J$5:$J$2001,$J332,$B$5:$B$2001,$B332,$A$5:$A$2001,"&lt;"&amp;$A332))),""))</f>
        <v/>
      </c>
      <c r="L332" s="14">
        <f>IF(OR('Data Entry'!A332="",$K332=""),"",$H332-$K332)</f>
        <v/>
      </c>
      <c r="M332" s="15">
        <f>IF(OR('Data Entry'!A332="",$K332="",$K332=0),"",$L332/$K332)</f>
        <v/>
      </c>
      <c r="N332" s="12">
        <f>IF('Data Entry'!A332="","",IF($L332="","New item",IF($L332&gt;0,"UP",IF($L332&lt;0,"down","same"))))</f>
        <v/>
      </c>
    </row>
    <row r="333">
      <c r="A333" s="11">
        <f>IF('Data Entry'!A333="","",'Data Entry'!A333)</f>
        <v/>
      </c>
      <c r="B333" s="12">
        <f>IF('Data Entry'!A333="","",'Data Entry'!B333)</f>
        <v/>
      </c>
      <c r="C333" s="12">
        <f>IF('Data Entry'!A333="","",'Data Entry'!C333)</f>
        <v/>
      </c>
      <c r="D333" s="12">
        <f>IF('Data Entry'!A333="","",'Data Entry'!D333)</f>
        <v/>
      </c>
      <c r="E333" s="12">
        <f>IF('Data Entry'!A333="","",'Data Entry'!E333)</f>
        <v/>
      </c>
      <c r="F333" s="12">
        <f>IF('Data Entry'!A333="","",'Data Entry'!F333)</f>
        <v/>
      </c>
      <c r="G333" s="13">
        <f>IF('Data Entry'!A333="","",'Data Entry'!G333)</f>
        <v/>
      </c>
      <c r="H333" s="10">
        <f>IF('Data Entry'!A333="","",'Data Entry'!H333)</f>
        <v/>
      </c>
      <c r="I333" s="10">
        <f>IF('Data Entry'!A333="","",'Data Entry'!I333)</f>
        <v/>
      </c>
      <c r="J333" s="12">
        <f>IF('Data Entry'!A333="","",IF('Data Entry'!D333&lt;&gt;"",'Data Entry'!D333,'Data Entry'!E333))</f>
        <v/>
      </c>
      <c r="K333" s="10">
        <f>IF('Data Entry'!A333="","",IFERROR(SUMIFS($H$5:$H$2001,$J$5:$J$2001,$J333,$B$5:$B$2001,$B333,$A$5:$A$2001,(MAXIFS($A$5:$A$2001,$J$5:$J$2001,$J333,$B$5:$B$2001,$B333,$A$5:$A$2001,"&lt;"&amp;$A333))),""))</f>
        <v/>
      </c>
      <c r="L333" s="14">
        <f>IF(OR('Data Entry'!A333="",$K333=""),"",$H333-$K333)</f>
        <v/>
      </c>
      <c r="M333" s="15">
        <f>IF(OR('Data Entry'!A333="",$K333="",$K333=0),"",$L333/$K333)</f>
        <v/>
      </c>
      <c r="N333" s="12">
        <f>IF('Data Entry'!A333="","",IF($L333="","New item",IF($L333&gt;0,"UP",IF($L333&lt;0,"down","same"))))</f>
        <v/>
      </c>
    </row>
    <row r="334">
      <c r="A334" s="11">
        <f>IF('Data Entry'!A334="","",'Data Entry'!A334)</f>
        <v/>
      </c>
      <c r="B334" s="12">
        <f>IF('Data Entry'!A334="","",'Data Entry'!B334)</f>
        <v/>
      </c>
      <c r="C334" s="12">
        <f>IF('Data Entry'!A334="","",'Data Entry'!C334)</f>
        <v/>
      </c>
      <c r="D334" s="12">
        <f>IF('Data Entry'!A334="","",'Data Entry'!D334)</f>
        <v/>
      </c>
      <c r="E334" s="12">
        <f>IF('Data Entry'!A334="","",'Data Entry'!E334)</f>
        <v/>
      </c>
      <c r="F334" s="12">
        <f>IF('Data Entry'!A334="","",'Data Entry'!F334)</f>
        <v/>
      </c>
      <c r="G334" s="13">
        <f>IF('Data Entry'!A334="","",'Data Entry'!G334)</f>
        <v/>
      </c>
      <c r="H334" s="10">
        <f>IF('Data Entry'!A334="","",'Data Entry'!H334)</f>
        <v/>
      </c>
      <c r="I334" s="10">
        <f>IF('Data Entry'!A334="","",'Data Entry'!I334)</f>
        <v/>
      </c>
      <c r="J334" s="12">
        <f>IF('Data Entry'!A334="","",IF('Data Entry'!D334&lt;&gt;"",'Data Entry'!D334,'Data Entry'!E334))</f>
        <v/>
      </c>
      <c r="K334" s="10">
        <f>IF('Data Entry'!A334="","",IFERROR(SUMIFS($H$5:$H$2001,$J$5:$J$2001,$J334,$B$5:$B$2001,$B334,$A$5:$A$2001,(MAXIFS($A$5:$A$2001,$J$5:$J$2001,$J334,$B$5:$B$2001,$B334,$A$5:$A$2001,"&lt;"&amp;$A334))),""))</f>
        <v/>
      </c>
      <c r="L334" s="14">
        <f>IF(OR('Data Entry'!A334="",$K334=""),"",$H334-$K334)</f>
        <v/>
      </c>
      <c r="M334" s="15">
        <f>IF(OR('Data Entry'!A334="",$K334="",$K334=0),"",$L334/$K334)</f>
        <v/>
      </c>
      <c r="N334" s="12">
        <f>IF('Data Entry'!A334="","",IF($L334="","New item",IF($L334&gt;0,"UP",IF($L334&lt;0,"down","same"))))</f>
        <v/>
      </c>
    </row>
    <row r="335">
      <c r="A335" s="11">
        <f>IF('Data Entry'!A335="","",'Data Entry'!A335)</f>
        <v/>
      </c>
      <c r="B335" s="12">
        <f>IF('Data Entry'!A335="","",'Data Entry'!B335)</f>
        <v/>
      </c>
      <c r="C335" s="12">
        <f>IF('Data Entry'!A335="","",'Data Entry'!C335)</f>
        <v/>
      </c>
      <c r="D335" s="12">
        <f>IF('Data Entry'!A335="","",'Data Entry'!D335)</f>
        <v/>
      </c>
      <c r="E335" s="12">
        <f>IF('Data Entry'!A335="","",'Data Entry'!E335)</f>
        <v/>
      </c>
      <c r="F335" s="12">
        <f>IF('Data Entry'!A335="","",'Data Entry'!F335)</f>
        <v/>
      </c>
      <c r="G335" s="13">
        <f>IF('Data Entry'!A335="","",'Data Entry'!G335)</f>
        <v/>
      </c>
      <c r="H335" s="10">
        <f>IF('Data Entry'!A335="","",'Data Entry'!H335)</f>
        <v/>
      </c>
      <c r="I335" s="10">
        <f>IF('Data Entry'!A335="","",'Data Entry'!I335)</f>
        <v/>
      </c>
      <c r="J335" s="12">
        <f>IF('Data Entry'!A335="","",IF('Data Entry'!D335&lt;&gt;"",'Data Entry'!D335,'Data Entry'!E335))</f>
        <v/>
      </c>
      <c r="K335" s="10">
        <f>IF('Data Entry'!A335="","",IFERROR(SUMIFS($H$5:$H$2001,$J$5:$J$2001,$J335,$B$5:$B$2001,$B335,$A$5:$A$2001,(MAXIFS($A$5:$A$2001,$J$5:$J$2001,$J335,$B$5:$B$2001,$B335,$A$5:$A$2001,"&lt;"&amp;$A335))),""))</f>
        <v/>
      </c>
      <c r="L335" s="14">
        <f>IF(OR('Data Entry'!A335="",$K335=""),"",$H335-$K335)</f>
        <v/>
      </c>
      <c r="M335" s="15">
        <f>IF(OR('Data Entry'!A335="",$K335="",$K335=0),"",$L335/$K335)</f>
        <v/>
      </c>
      <c r="N335" s="12">
        <f>IF('Data Entry'!A335="","",IF($L335="","New item",IF($L335&gt;0,"UP",IF($L335&lt;0,"down","same"))))</f>
        <v/>
      </c>
    </row>
    <row r="336">
      <c r="A336" s="11">
        <f>IF('Data Entry'!A336="","",'Data Entry'!A336)</f>
        <v/>
      </c>
      <c r="B336" s="12">
        <f>IF('Data Entry'!A336="","",'Data Entry'!B336)</f>
        <v/>
      </c>
      <c r="C336" s="12">
        <f>IF('Data Entry'!A336="","",'Data Entry'!C336)</f>
        <v/>
      </c>
      <c r="D336" s="12">
        <f>IF('Data Entry'!A336="","",'Data Entry'!D336)</f>
        <v/>
      </c>
      <c r="E336" s="12">
        <f>IF('Data Entry'!A336="","",'Data Entry'!E336)</f>
        <v/>
      </c>
      <c r="F336" s="12">
        <f>IF('Data Entry'!A336="","",'Data Entry'!F336)</f>
        <v/>
      </c>
      <c r="G336" s="13">
        <f>IF('Data Entry'!A336="","",'Data Entry'!G336)</f>
        <v/>
      </c>
      <c r="H336" s="10">
        <f>IF('Data Entry'!A336="","",'Data Entry'!H336)</f>
        <v/>
      </c>
      <c r="I336" s="10">
        <f>IF('Data Entry'!A336="","",'Data Entry'!I336)</f>
        <v/>
      </c>
      <c r="J336" s="12">
        <f>IF('Data Entry'!A336="","",IF('Data Entry'!D336&lt;&gt;"",'Data Entry'!D336,'Data Entry'!E336))</f>
        <v/>
      </c>
      <c r="K336" s="10">
        <f>IF('Data Entry'!A336="","",IFERROR(SUMIFS($H$5:$H$2001,$J$5:$J$2001,$J336,$B$5:$B$2001,$B336,$A$5:$A$2001,(MAXIFS($A$5:$A$2001,$J$5:$J$2001,$J336,$B$5:$B$2001,$B336,$A$5:$A$2001,"&lt;"&amp;$A336))),""))</f>
        <v/>
      </c>
      <c r="L336" s="14">
        <f>IF(OR('Data Entry'!A336="",$K336=""),"",$H336-$K336)</f>
        <v/>
      </c>
      <c r="M336" s="15">
        <f>IF(OR('Data Entry'!A336="",$K336="",$K336=0),"",$L336/$K336)</f>
        <v/>
      </c>
      <c r="N336" s="12">
        <f>IF('Data Entry'!A336="","",IF($L336="","New item",IF($L336&gt;0,"UP",IF($L336&lt;0,"down","same"))))</f>
        <v/>
      </c>
    </row>
    <row r="337">
      <c r="A337" s="11">
        <f>IF('Data Entry'!A337="","",'Data Entry'!A337)</f>
        <v/>
      </c>
      <c r="B337" s="12">
        <f>IF('Data Entry'!A337="","",'Data Entry'!B337)</f>
        <v/>
      </c>
      <c r="C337" s="12">
        <f>IF('Data Entry'!A337="","",'Data Entry'!C337)</f>
        <v/>
      </c>
      <c r="D337" s="12">
        <f>IF('Data Entry'!A337="","",'Data Entry'!D337)</f>
        <v/>
      </c>
      <c r="E337" s="12">
        <f>IF('Data Entry'!A337="","",'Data Entry'!E337)</f>
        <v/>
      </c>
      <c r="F337" s="12">
        <f>IF('Data Entry'!A337="","",'Data Entry'!F337)</f>
        <v/>
      </c>
      <c r="G337" s="13">
        <f>IF('Data Entry'!A337="","",'Data Entry'!G337)</f>
        <v/>
      </c>
      <c r="H337" s="10">
        <f>IF('Data Entry'!A337="","",'Data Entry'!H337)</f>
        <v/>
      </c>
      <c r="I337" s="10">
        <f>IF('Data Entry'!A337="","",'Data Entry'!I337)</f>
        <v/>
      </c>
      <c r="J337" s="12">
        <f>IF('Data Entry'!A337="","",IF('Data Entry'!D337&lt;&gt;"",'Data Entry'!D337,'Data Entry'!E337))</f>
        <v/>
      </c>
      <c r="K337" s="10">
        <f>IF('Data Entry'!A337="","",IFERROR(SUMIFS($H$5:$H$2001,$J$5:$J$2001,$J337,$B$5:$B$2001,$B337,$A$5:$A$2001,(MAXIFS($A$5:$A$2001,$J$5:$J$2001,$J337,$B$5:$B$2001,$B337,$A$5:$A$2001,"&lt;"&amp;$A337))),""))</f>
        <v/>
      </c>
      <c r="L337" s="14">
        <f>IF(OR('Data Entry'!A337="",$K337=""),"",$H337-$K337)</f>
        <v/>
      </c>
      <c r="M337" s="15">
        <f>IF(OR('Data Entry'!A337="",$K337="",$K337=0),"",$L337/$K337)</f>
        <v/>
      </c>
      <c r="N337" s="12">
        <f>IF('Data Entry'!A337="","",IF($L337="","New item",IF($L337&gt;0,"UP",IF($L337&lt;0,"down","same"))))</f>
        <v/>
      </c>
    </row>
    <row r="338">
      <c r="A338" s="11">
        <f>IF('Data Entry'!A338="","",'Data Entry'!A338)</f>
        <v/>
      </c>
      <c r="B338" s="12">
        <f>IF('Data Entry'!A338="","",'Data Entry'!B338)</f>
        <v/>
      </c>
      <c r="C338" s="12">
        <f>IF('Data Entry'!A338="","",'Data Entry'!C338)</f>
        <v/>
      </c>
      <c r="D338" s="12">
        <f>IF('Data Entry'!A338="","",'Data Entry'!D338)</f>
        <v/>
      </c>
      <c r="E338" s="12">
        <f>IF('Data Entry'!A338="","",'Data Entry'!E338)</f>
        <v/>
      </c>
      <c r="F338" s="12">
        <f>IF('Data Entry'!A338="","",'Data Entry'!F338)</f>
        <v/>
      </c>
      <c r="G338" s="13">
        <f>IF('Data Entry'!A338="","",'Data Entry'!G338)</f>
        <v/>
      </c>
      <c r="H338" s="10">
        <f>IF('Data Entry'!A338="","",'Data Entry'!H338)</f>
        <v/>
      </c>
      <c r="I338" s="10">
        <f>IF('Data Entry'!A338="","",'Data Entry'!I338)</f>
        <v/>
      </c>
      <c r="J338" s="12">
        <f>IF('Data Entry'!A338="","",IF('Data Entry'!D338&lt;&gt;"",'Data Entry'!D338,'Data Entry'!E338))</f>
        <v/>
      </c>
      <c r="K338" s="10">
        <f>IF('Data Entry'!A338="","",IFERROR(SUMIFS($H$5:$H$2001,$J$5:$J$2001,$J338,$B$5:$B$2001,$B338,$A$5:$A$2001,(MAXIFS($A$5:$A$2001,$J$5:$J$2001,$J338,$B$5:$B$2001,$B338,$A$5:$A$2001,"&lt;"&amp;$A338))),""))</f>
        <v/>
      </c>
      <c r="L338" s="14">
        <f>IF(OR('Data Entry'!A338="",$K338=""),"",$H338-$K338)</f>
        <v/>
      </c>
      <c r="M338" s="15">
        <f>IF(OR('Data Entry'!A338="",$K338="",$K338=0),"",$L338/$K338)</f>
        <v/>
      </c>
      <c r="N338" s="12">
        <f>IF('Data Entry'!A338="","",IF($L338="","New item",IF($L338&gt;0,"UP",IF($L338&lt;0,"down","same"))))</f>
        <v/>
      </c>
    </row>
    <row r="339">
      <c r="A339" s="11">
        <f>IF('Data Entry'!A339="","",'Data Entry'!A339)</f>
        <v/>
      </c>
      <c r="B339" s="12">
        <f>IF('Data Entry'!A339="","",'Data Entry'!B339)</f>
        <v/>
      </c>
      <c r="C339" s="12">
        <f>IF('Data Entry'!A339="","",'Data Entry'!C339)</f>
        <v/>
      </c>
      <c r="D339" s="12">
        <f>IF('Data Entry'!A339="","",'Data Entry'!D339)</f>
        <v/>
      </c>
      <c r="E339" s="12">
        <f>IF('Data Entry'!A339="","",'Data Entry'!E339)</f>
        <v/>
      </c>
      <c r="F339" s="12">
        <f>IF('Data Entry'!A339="","",'Data Entry'!F339)</f>
        <v/>
      </c>
      <c r="G339" s="13">
        <f>IF('Data Entry'!A339="","",'Data Entry'!G339)</f>
        <v/>
      </c>
      <c r="H339" s="10">
        <f>IF('Data Entry'!A339="","",'Data Entry'!H339)</f>
        <v/>
      </c>
      <c r="I339" s="10">
        <f>IF('Data Entry'!A339="","",'Data Entry'!I339)</f>
        <v/>
      </c>
      <c r="J339" s="12">
        <f>IF('Data Entry'!A339="","",IF('Data Entry'!D339&lt;&gt;"",'Data Entry'!D339,'Data Entry'!E339))</f>
        <v/>
      </c>
      <c r="K339" s="10">
        <f>IF('Data Entry'!A339="","",IFERROR(SUMIFS($H$5:$H$2001,$J$5:$J$2001,$J339,$B$5:$B$2001,$B339,$A$5:$A$2001,(MAXIFS($A$5:$A$2001,$J$5:$J$2001,$J339,$B$5:$B$2001,$B339,$A$5:$A$2001,"&lt;"&amp;$A339))),""))</f>
        <v/>
      </c>
      <c r="L339" s="14">
        <f>IF(OR('Data Entry'!A339="",$K339=""),"",$H339-$K339)</f>
        <v/>
      </c>
      <c r="M339" s="15">
        <f>IF(OR('Data Entry'!A339="",$K339="",$K339=0),"",$L339/$K339)</f>
        <v/>
      </c>
      <c r="N339" s="12">
        <f>IF('Data Entry'!A339="","",IF($L339="","New item",IF($L339&gt;0,"UP",IF($L339&lt;0,"down","same"))))</f>
        <v/>
      </c>
    </row>
    <row r="340">
      <c r="A340" s="11">
        <f>IF('Data Entry'!A340="","",'Data Entry'!A340)</f>
        <v/>
      </c>
      <c r="B340" s="12">
        <f>IF('Data Entry'!A340="","",'Data Entry'!B340)</f>
        <v/>
      </c>
      <c r="C340" s="12">
        <f>IF('Data Entry'!A340="","",'Data Entry'!C340)</f>
        <v/>
      </c>
      <c r="D340" s="12">
        <f>IF('Data Entry'!A340="","",'Data Entry'!D340)</f>
        <v/>
      </c>
      <c r="E340" s="12">
        <f>IF('Data Entry'!A340="","",'Data Entry'!E340)</f>
        <v/>
      </c>
      <c r="F340" s="12">
        <f>IF('Data Entry'!A340="","",'Data Entry'!F340)</f>
        <v/>
      </c>
      <c r="G340" s="13">
        <f>IF('Data Entry'!A340="","",'Data Entry'!G340)</f>
        <v/>
      </c>
      <c r="H340" s="10">
        <f>IF('Data Entry'!A340="","",'Data Entry'!H340)</f>
        <v/>
      </c>
      <c r="I340" s="10">
        <f>IF('Data Entry'!A340="","",'Data Entry'!I340)</f>
        <v/>
      </c>
      <c r="J340" s="12">
        <f>IF('Data Entry'!A340="","",IF('Data Entry'!D340&lt;&gt;"",'Data Entry'!D340,'Data Entry'!E340))</f>
        <v/>
      </c>
      <c r="K340" s="10">
        <f>IF('Data Entry'!A340="","",IFERROR(SUMIFS($H$5:$H$2001,$J$5:$J$2001,$J340,$B$5:$B$2001,$B340,$A$5:$A$2001,(MAXIFS($A$5:$A$2001,$J$5:$J$2001,$J340,$B$5:$B$2001,$B340,$A$5:$A$2001,"&lt;"&amp;$A340))),""))</f>
        <v/>
      </c>
      <c r="L340" s="14">
        <f>IF(OR('Data Entry'!A340="",$K340=""),"",$H340-$K340)</f>
        <v/>
      </c>
      <c r="M340" s="15">
        <f>IF(OR('Data Entry'!A340="",$K340="",$K340=0),"",$L340/$K340)</f>
        <v/>
      </c>
      <c r="N340" s="12">
        <f>IF('Data Entry'!A340="","",IF($L340="","New item",IF($L340&gt;0,"UP",IF($L340&lt;0,"down","same"))))</f>
        <v/>
      </c>
    </row>
    <row r="341">
      <c r="A341" s="11">
        <f>IF('Data Entry'!A341="","",'Data Entry'!A341)</f>
        <v/>
      </c>
      <c r="B341" s="12">
        <f>IF('Data Entry'!A341="","",'Data Entry'!B341)</f>
        <v/>
      </c>
      <c r="C341" s="12">
        <f>IF('Data Entry'!A341="","",'Data Entry'!C341)</f>
        <v/>
      </c>
      <c r="D341" s="12">
        <f>IF('Data Entry'!A341="","",'Data Entry'!D341)</f>
        <v/>
      </c>
      <c r="E341" s="12">
        <f>IF('Data Entry'!A341="","",'Data Entry'!E341)</f>
        <v/>
      </c>
      <c r="F341" s="12">
        <f>IF('Data Entry'!A341="","",'Data Entry'!F341)</f>
        <v/>
      </c>
      <c r="G341" s="13">
        <f>IF('Data Entry'!A341="","",'Data Entry'!G341)</f>
        <v/>
      </c>
      <c r="H341" s="10">
        <f>IF('Data Entry'!A341="","",'Data Entry'!H341)</f>
        <v/>
      </c>
      <c r="I341" s="10">
        <f>IF('Data Entry'!A341="","",'Data Entry'!I341)</f>
        <v/>
      </c>
      <c r="J341" s="12">
        <f>IF('Data Entry'!A341="","",IF('Data Entry'!D341&lt;&gt;"",'Data Entry'!D341,'Data Entry'!E341))</f>
        <v/>
      </c>
      <c r="K341" s="10">
        <f>IF('Data Entry'!A341="","",IFERROR(SUMIFS($H$5:$H$2001,$J$5:$J$2001,$J341,$B$5:$B$2001,$B341,$A$5:$A$2001,(MAXIFS($A$5:$A$2001,$J$5:$J$2001,$J341,$B$5:$B$2001,$B341,$A$5:$A$2001,"&lt;"&amp;$A341))),""))</f>
        <v/>
      </c>
      <c r="L341" s="14">
        <f>IF(OR('Data Entry'!A341="",$K341=""),"",$H341-$K341)</f>
        <v/>
      </c>
      <c r="M341" s="15">
        <f>IF(OR('Data Entry'!A341="",$K341="",$K341=0),"",$L341/$K341)</f>
        <v/>
      </c>
      <c r="N341" s="12">
        <f>IF('Data Entry'!A341="","",IF($L341="","New item",IF($L341&gt;0,"UP",IF($L341&lt;0,"down","same"))))</f>
        <v/>
      </c>
    </row>
    <row r="342">
      <c r="A342" s="11">
        <f>IF('Data Entry'!A342="","",'Data Entry'!A342)</f>
        <v/>
      </c>
      <c r="B342" s="12">
        <f>IF('Data Entry'!A342="","",'Data Entry'!B342)</f>
        <v/>
      </c>
      <c r="C342" s="12">
        <f>IF('Data Entry'!A342="","",'Data Entry'!C342)</f>
        <v/>
      </c>
      <c r="D342" s="12">
        <f>IF('Data Entry'!A342="","",'Data Entry'!D342)</f>
        <v/>
      </c>
      <c r="E342" s="12">
        <f>IF('Data Entry'!A342="","",'Data Entry'!E342)</f>
        <v/>
      </c>
      <c r="F342" s="12">
        <f>IF('Data Entry'!A342="","",'Data Entry'!F342)</f>
        <v/>
      </c>
      <c r="G342" s="13">
        <f>IF('Data Entry'!A342="","",'Data Entry'!G342)</f>
        <v/>
      </c>
      <c r="H342" s="10">
        <f>IF('Data Entry'!A342="","",'Data Entry'!H342)</f>
        <v/>
      </c>
      <c r="I342" s="10">
        <f>IF('Data Entry'!A342="","",'Data Entry'!I342)</f>
        <v/>
      </c>
      <c r="J342" s="12">
        <f>IF('Data Entry'!A342="","",IF('Data Entry'!D342&lt;&gt;"",'Data Entry'!D342,'Data Entry'!E342))</f>
        <v/>
      </c>
      <c r="K342" s="10">
        <f>IF('Data Entry'!A342="","",IFERROR(SUMIFS($H$5:$H$2001,$J$5:$J$2001,$J342,$B$5:$B$2001,$B342,$A$5:$A$2001,(MAXIFS($A$5:$A$2001,$J$5:$J$2001,$J342,$B$5:$B$2001,$B342,$A$5:$A$2001,"&lt;"&amp;$A342))),""))</f>
        <v/>
      </c>
      <c r="L342" s="14">
        <f>IF(OR('Data Entry'!A342="",$K342=""),"",$H342-$K342)</f>
        <v/>
      </c>
      <c r="M342" s="15">
        <f>IF(OR('Data Entry'!A342="",$K342="",$K342=0),"",$L342/$K342)</f>
        <v/>
      </c>
      <c r="N342" s="12">
        <f>IF('Data Entry'!A342="","",IF($L342="","New item",IF($L342&gt;0,"UP",IF($L342&lt;0,"down","same"))))</f>
        <v/>
      </c>
    </row>
    <row r="343">
      <c r="A343" s="11">
        <f>IF('Data Entry'!A343="","",'Data Entry'!A343)</f>
        <v/>
      </c>
      <c r="B343" s="12">
        <f>IF('Data Entry'!A343="","",'Data Entry'!B343)</f>
        <v/>
      </c>
      <c r="C343" s="12">
        <f>IF('Data Entry'!A343="","",'Data Entry'!C343)</f>
        <v/>
      </c>
      <c r="D343" s="12">
        <f>IF('Data Entry'!A343="","",'Data Entry'!D343)</f>
        <v/>
      </c>
      <c r="E343" s="12">
        <f>IF('Data Entry'!A343="","",'Data Entry'!E343)</f>
        <v/>
      </c>
      <c r="F343" s="12">
        <f>IF('Data Entry'!A343="","",'Data Entry'!F343)</f>
        <v/>
      </c>
      <c r="G343" s="13">
        <f>IF('Data Entry'!A343="","",'Data Entry'!G343)</f>
        <v/>
      </c>
      <c r="H343" s="10">
        <f>IF('Data Entry'!A343="","",'Data Entry'!H343)</f>
        <v/>
      </c>
      <c r="I343" s="10">
        <f>IF('Data Entry'!A343="","",'Data Entry'!I343)</f>
        <v/>
      </c>
      <c r="J343" s="12">
        <f>IF('Data Entry'!A343="","",IF('Data Entry'!D343&lt;&gt;"",'Data Entry'!D343,'Data Entry'!E343))</f>
        <v/>
      </c>
      <c r="K343" s="10">
        <f>IF('Data Entry'!A343="","",IFERROR(SUMIFS($H$5:$H$2001,$J$5:$J$2001,$J343,$B$5:$B$2001,$B343,$A$5:$A$2001,(MAXIFS($A$5:$A$2001,$J$5:$J$2001,$J343,$B$5:$B$2001,$B343,$A$5:$A$2001,"&lt;"&amp;$A343))),""))</f>
        <v/>
      </c>
      <c r="L343" s="14">
        <f>IF(OR('Data Entry'!A343="",$K343=""),"",$H343-$K343)</f>
        <v/>
      </c>
      <c r="M343" s="15">
        <f>IF(OR('Data Entry'!A343="",$K343="",$K343=0),"",$L343/$K343)</f>
        <v/>
      </c>
      <c r="N343" s="12">
        <f>IF('Data Entry'!A343="","",IF($L343="","New item",IF($L343&gt;0,"UP",IF($L343&lt;0,"down","same"))))</f>
        <v/>
      </c>
    </row>
    <row r="344">
      <c r="A344" s="11">
        <f>IF('Data Entry'!A344="","",'Data Entry'!A344)</f>
        <v/>
      </c>
      <c r="B344" s="12">
        <f>IF('Data Entry'!A344="","",'Data Entry'!B344)</f>
        <v/>
      </c>
      <c r="C344" s="12">
        <f>IF('Data Entry'!A344="","",'Data Entry'!C344)</f>
        <v/>
      </c>
      <c r="D344" s="12">
        <f>IF('Data Entry'!A344="","",'Data Entry'!D344)</f>
        <v/>
      </c>
      <c r="E344" s="12">
        <f>IF('Data Entry'!A344="","",'Data Entry'!E344)</f>
        <v/>
      </c>
      <c r="F344" s="12">
        <f>IF('Data Entry'!A344="","",'Data Entry'!F344)</f>
        <v/>
      </c>
      <c r="G344" s="13">
        <f>IF('Data Entry'!A344="","",'Data Entry'!G344)</f>
        <v/>
      </c>
      <c r="H344" s="10">
        <f>IF('Data Entry'!A344="","",'Data Entry'!H344)</f>
        <v/>
      </c>
      <c r="I344" s="10">
        <f>IF('Data Entry'!A344="","",'Data Entry'!I344)</f>
        <v/>
      </c>
      <c r="J344" s="12">
        <f>IF('Data Entry'!A344="","",IF('Data Entry'!D344&lt;&gt;"",'Data Entry'!D344,'Data Entry'!E344))</f>
        <v/>
      </c>
      <c r="K344" s="10">
        <f>IF('Data Entry'!A344="","",IFERROR(SUMIFS($H$5:$H$2001,$J$5:$J$2001,$J344,$B$5:$B$2001,$B344,$A$5:$A$2001,(MAXIFS($A$5:$A$2001,$J$5:$J$2001,$J344,$B$5:$B$2001,$B344,$A$5:$A$2001,"&lt;"&amp;$A344))),""))</f>
        <v/>
      </c>
      <c r="L344" s="14">
        <f>IF(OR('Data Entry'!A344="",$K344=""),"",$H344-$K344)</f>
        <v/>
      </c>
      <c r="M344" s="15">
        <f>IF(OR('Data Entry'!A344="",$K344="",$K344=0),"",$L344/$K344)</f>
        <v/>
      </c>
      <c r="N344" s="12">
        <f>IF('Data Entry'!A344="","",IF($L344="","New item",IF($L344&gt;0,"UP",IF($L344&lt;0,"down","same"))))</f>
        <v/>
      </c>
    </row>
    <row r="345">
      <c r="A345" s="11">
        <f>IF('Data Entry'!A345="","",'Data Entry'!A345)</f>
        <v/>
      </c>
      <c r="B345" s="12">
        <f>IF('Data Entry'!A345="","",'Data Entry'!B345)</f>
        <v/>
      </c>
      <c r="C345" s="12">
        <f>IF('Data Entry'!A345="","",'Data Entry'!C345)</f>
        <v/>
      </c>
      <c r="D345" s="12">
        <f>IF('Data Entry'!A345="","",'Data Entry'!D345)</f>
        <v/>
      </c>
      <c r="E345" s="12">
        <f>IF('Data Entry'!A345="","",'Data Entry'!E345)</f>
        <v/>
      </c>
      <c r="F345" s="12">
        <f>IF('Data Entry'!A345="","",'Data Entry'!F345)</f>
        <v/>
      </c>
      <c r="G345" s="13">
        <f>IF('Data Entry'!A345="","",'Data Entry'!G345)</f>
        <v/>
      </c>
      <c r="H345" s="10">
        <f>IF('Data Entry'!A345="","",'Data Entry'!H345)</f>
        <v/>
      </c>
      <c r="I345" s="10">
        <f>IF('Data Entry'!A345="","",'Data Entry'!I345)</f>
        <v/>
      </c>
      <c r="J345" s="12">
        <f>IF('Data Entry'!A345="","",IF('Data Entry'!D345&lt;&gt;"",'Data Entry'!D345,'Data Entry'!E345))</f>
        <v/>
      </c>
      <c r="K345" s="10">
        <f>IF('Data Entry'!A345="","",IFERROR(SUMIFS($H$5:$H$2001,$J$5:$J$2001,$J345,$B$5:$B$2001,$B345,$A$5:$A$2001,(MAXIFS($A$5:$A$2001,$J$5:$J$2001,$J345,$B$5:$B$2001,$B345,$A$5:$A$2001,"&lt;"&amp;$A345))),""))</f>
        <v/>
      </c>
      <c r="L345" s="14">
        <f>IF(OR('Data Entry'!A345="",$K345=""),"",$H345-$K345)</f>
        <v/>
      </c>
      <c r="M345" s="15">
        <f>IF(OR('Data Entry'!A345="",$K345="",$K345=0),"",$L345/$K345)</f>
        <v/>
      </c>
      <c r="N345" s="12">
        <f>IF('Data Entry'!A345="","",IF($L345="","New item",IF($L345&gt;0,"UP",IF($L345&lt;0,"down","same"))))</f>
        <v/>
      </c>
    </row>
    <row r="346">
      <c r="A346" s="11">
        <f>IF('Data Entry'!A346="","",'Data Entry'!A346)</f>
        <v/>
      </c>
      <c r="B346" s="12">
        <f>IF('Data Entry'!A346="","",'Data Entry'!B346)</f>
        <v/>
      </c>
      <c r="C346" s="12">
        <f>IF('Data Entry'!A346="","",'Data Entry'!C346)</f>
        <v/>
      </c>
      <c r="D346" s="12">
        <f>IF('Data Entry'!A346="","",'Data Entry'!D346)</f>
        <v/>
      </c>
      <c r="E346" s="12">
        <f>IF('Data Entry'!A346="","",'Data Entry'!E346)</f>
        <v/>
      </c>
      <c r="F346" s="12">
        <f>IF('Data Entry'!A346="","",'Data Entry'!F346)</f>
        <v/>
      </c>
      <c r="G346" s="13">
        <f>IF('Data Entry'!A346="","",'Data Entry'!G346)</f>
        <v/>
      </c>
      <c r="H346" s="10">
        <f>IF('Data Entry'!A346="","",'Data Entry'!H346)</f>
        <v/>
      </c>
      <c r="I346" s="10">
        <f>IF('Data Entry'!A346="","",'Data Entry'!I346)</f>
        <v/>
      </c>
      <c r="J346" s="12">
        <f>IF('Data Entry'!A346="","",IF('Data Entry'!D346&lt;&gt;"",'Data Entry'!D346,'Data Entry'!E346))</f>
        <v/>
      </c>
      <c r="K346" s="10">
        <f>IF('Data Entry'!A346="","",IFERROR(SUMIFS($H$5:$H$2001,$J$5:$J$2001,$J346,$B$5:$B$2001,$B346,$A$5:$A$2001,(MAXIFS($A$5:$A$2001,$J$5:$J$2001,$J346,$B$5:$B$2001,$B346,$A$5:$A$2001,"&lt;"&amp;$A346))),""))</f>
        <v/>
      </c>
      <c r="L346" s="14">
        <f>IF(OR('Data Entry'!A346="",$K346=""),"",$H346-$K346)</f>
        <v/>
      </c>
      <c r="M346" s="15">
        <f>IF(OR('Data Entry'!A346="",$K346="",$K346=0),"",$L346/$K346)</f>
        <v/>
      </c>
      <c r="N346" s="12">
        <f>IF('Data Entry'!A346="","",IF($L346="","New item",IF($L346&gt;0,"UP",IF($L346&lt;0,"down","same"))))</f>
        <v/>
      </c>
    </row>
    <row r="347">
      <c r="A347" s="11">
        <f>IF('Data Entry'!A347="","",'Data Entry'!A347)</f>
        <v/>
      </c>
      <c r="B347" s="12">
        <f>IF('Data Entry'!A347="","",'Data Entry'!B347)</f>
        <v/>
      </c>
      <c r="C347" s="12">
        <f>IF('Data Entry'!A347="","",'Data Entry'!C347)</f>
        <v/>
      </c>
      <c r="D347" s="12">
        <f>IF('Data Entry'!A347="","",'Data Entry'!D347)</f>
        <v/>
      </c>
      <c r="E347" s="12">
        <f>IF('Data Entry'!A347="","",'Data Entry'!E347)</f>
        <v/>
      </c>
      <c r="F347" s="12">
        <f>IF('Data Entry'!A347="","",'Data Entry'!F347)</f>
        <v/>
      </c>
      <c r="G347" s="13">
        <f>IF('Data Entry'!A347="","",'Data Entry'!G347)</f>
        <v/>
      </c>
      <c r="H347" s="10">
        <f>IF('Data Entry'!A347="","",'Data Entry'!H347)</f>
        <v/>
      </c>
      <c r="I347" s="10">
        <f>IF('Data Entry'!A347="","",'Data Entry'!I347)</f>
        <v/>
      </c>
      <c r="J347" s="12">
        <f>IF('Data Entry'!A347="","",IF('Data Entry'!D347&lt;&gt;"",'Data Entry'!D347,'Data Entry'!E347))</f>
        <v/>
      </c>
      <c r="K347" s="10">
        <f>IF('Data Entry'!A347="","",IFERROR(SUMIFS($H$5:$H$2001,$J$5:$J$2001,$J347,$B$5:$B$2001,$B347,$A$5:$A$2001,(MAXIFS($A$5:$A$2001,$J$5:$J$2001,$J347,$B$5:$B$2001,$B347,$A$5:$A$2001,"&lt;"&amp;$A347))),""))</f>
        <v/>
      </c>
      <c r="L347" s="14">
        <f>IF(OR('Data Entry'!A347="",$K347=""),"",$H347-$K347)</f>
        <v/>
      </c>
      <c r="M347" s="15">
        <f>IF(OR('Data Entry'!A347="",$K347="",$K347=0),"",$L347/$K347)</f>
        <v/>
      </c>
      <c r="N347" s="12">
        <f>IF('Data Entry'!A347="","",IF($L347="","New item",IF($L347&gt;0,"UP",IF($L347&lt;0,"down","same"))))</f>
        <v/>
      </c>
    </row>
    <row r="348">
      <c r="A348" s="11">
        <f>IF('Data Entry'!A348="","",'Data Entry'!A348)</f>
        <v/>
      </c>
      <c r="B348" s="12">
        <f>IF('Data Entry'!A348="","",'Data Entry'!B348)</f>
        <v/>
      </c>
      <c r="C348" s="12">
        <f>IF('Data Entry'!A348="","",'Data Entry'!C348)</f>
        <v/>
      </c>
      <c r="D348" s="12">
        <f>IF('Data Entry'!A348="","",'Data Entry'!D348)</f>
        <v/>
      </c>
      <c r="E348" s="12">
        <f>IF('Data Entry'!A348="","",'Data Entry'!E348)</f>
        <v/>
      </c>
      <c r="F348" s="12">
        <f>IF('Data Entry'!A348="","",'Data Entry'!F348)</f>
        <v/>
      </c>
      <c r="G348" s="13">
        <f>IF('Data Entry'!A348="","",'Data Entry'!G348)</f>
        <v/>
      </c>
      <c r="H348" s="10">
        <f>IF('Data Entry'!A348="","",'Data Entry'!H348)</f>
        <v/>
      </c>
      <c r="I348" s="10">
        <f>IF('Data Entry'!A348="","",'Data Entry'!I348)</f>
        <v/>
      </c>
      <c r="J348" s="12">
        <f>IF('Data Entry'!A348="","",IF('Data Entry'!D348&lt;&gt;"",'Data Entry'!D348,'Data Entry'!E348))</f>
        <v/>
      </c>
      <c r="K348" s="10">
        <f>IF('Data Entry'!A348="","",IFERROR(SUMIFS($H$5:$H$2001,$J$5:$J$2001,$J348,$B$5:$B$2001,$B348,$A$5:$A$2001,(MAXIFS($A$5:$A$2001,$J$5:$J$2001,$J348,$B$5:$B$2001,$B348,$A$5:$A$2001,"&lt;"&amp;$A348))),""))</f>
        <v/>
      </c>
      <c r="L348" s="14">
        <f>IF(OR('Data Entry'!A348="",$K348=""),"",$H348-$K348)</f>
        <v/>
      </c>
      <c r="M348" s="15">
        <f>IF(OR('Data Entry'!A348="",$K348="",$K348=0),"",$L348/$K348)</f>
        <v/>
      </c>
      <c r="N348" s="12">
        <f>IF('Data Entry'!A348="","",IF($L348="","New item",IF($L348&gt;0,"UP",IF($L348&lt;0,"down","same"))))</f>
        <v/>
      </c>
    </row>
    <row r="349">
      <c r="A349" s="11">
        <f>IF('Data Entry'!A349="","",'Data Entry'!A349)</f>
        <v/>
      </c>
      <c r="B349" s="12">
        <f>IF('Data Entry'!A349="","",'Data Entry'!B349)</f>
        <v/>
      </c>
      <c r="C349" s="12">
        <f>IF('Data Entry'!A349="","",'Data Entry'!C349)</f>
        <v/>
      </c>
      <c r="D349" s="12">
        <f>IF('Data Entry'!A349="","",'Data Entry'!D349)</f>
        <v/>
      </c>
      <c r="E349" s="12">
        <f>IF('Data Entry'!A349="","",'Data Entry'!E349)</f>
        <v/>
      </c>
      <c r="F349" s="12">
        <f>IF('Data Entry'!A349="","",'Data Entry'!F349)</f>
        <v/>
      </c>
      <c r="G349" s="13">
        <f>IF('Data Entry'!A349="","",'Data Entry'!G349)</f>
        <v/>
      </c>
      <c r="H349" s="10">
        <f>IF('Data Entry'!A349="","",'Data Entry'!H349)</f>
        <v/>
      </c>
      <c r="I349" s="10">
        <f>IF('Data Entry'!A349="","",'Data Entry'!I349)</f>
        <v/>
      </c>
      <c r="J349" s="12">
        <f>IF('Data Entry'!A349="","",IF('Data Entry'!D349&lt;&gt;"",'Data Entry'!D349,'Data Entry'!E349))</f>
        <v/>
      </c>
      <c r="K349" s="10">
        <f>IF('Data Entry'!A349="","",IFERROR(SUMIFS($H$5:$H$2001,$J$5:$J$2001,$J349,$B$5:$B$2001,$B349,$A$5:$A$2001,(MAXIFS($A$5:$A$2001,$J$5:$J$2001,$J349,$B$5:$B$2001,$B349,$A$5:$A$2001,"&lt;"&amp;$A349))),""))</f>
        <v/>
      </c>
      <c r="L349" s="14">
        <f>IF(OR('Data Entry'!A349="",$K349=""),"",$H349-$K349)</f>
        <v/>
      </c>
      <c r="M349" s="15">
        <f>IF(OR('Data Entry'!A349="",$K349="",$K349=0),"",$L349/$K349)</f>
        <v/>
      </c>
      <c r="N349" s="12">
        <f>IF('Data Entry'!A349="","",IF($L349="","New item",IF($L349&gt;0,"UP",IF($L349&lt;0,"down","same"))))</f>
        <v/>
      </c>
    </row>
    <row r="350">
      <c r="A350" s="11">
        <f>IF('Data Entry'!A350="","",'Data Entry'!A350)</f>
        <v/>
      </c>
      <c r="B350" s="12">
        <f>IF('Data Entry'!A350="","",'Data Entry'!B350)</f>
        <v/>
      </c>
      <c r="C350" s="12">
        <f>IF('Data Entry'!A350="","",'Data Entry'!C350)</f>
        <v/>
      </c>
      <c r="D350" s="12">
        <f>IF('Data Entry'!A350="","",'Data Entry'!D350)</f>
        <v/>
      </c>
      <c r="E350" s="12">
        <f>IF('Data Entry'!A350="","",'Data Entry'!E350)</f>
        <v/>
      </c>
      <c r="F350" s="12">
        <f>IF('Data Entry'!A350="","",'Data Entry'!F350)</f>
        <v/>
      </c>
      <c r="G350" s="13">
        <f>IF('Data Entry'!A350="","",'Data Entry'!G350)</f>
        <v/>
      </c>
      <c r="H350" s="10">
        <f>IF('Data Entry'!A350="","",'Data Entry'!H350)</f>
        <v/>
      </c>
      <c r="I350" s="10">
        <f>IF('Data Entry'!A350="","",'Data Entry'!I350)</f>
        <v/>
      </c>
      <c r="J350" s="12">
        <f>IF('Data Entry'!A350="","",IF('Data Entry'!D350&lt;&gt;"",'Data Entry'!D350,'Data Entry'!E350))</f>
        <v/>
      </c>
      <c r="K350" s="10">
        <f>IF('Data Entry'!A350="","",IFERROR(SUMIFS($H$5:$H$2001,$J$5:$J$2001,$J350,$B$5:$B$2001,$B350,$A$5:$A$2001,(MAXIFS($A$5:$A$2001,$J$5:$J$2001,$J350,$B$5:$B$2001,$B350,$A$5:$A$2001,"&lt;"&amp;$A350))),""))</f>
        <v/>
      </c>
      <c r="L350" s="14">
        <f>IF(OR('Data Entry'!A350="",$K350=""),"",$H350-$K350)</f>
        <v/>
      </c>
      <c r="M350" s="15">
        <f>IF(OR('Data Entry'!A350="",$K350="",$K350=0),"",$L350/$K350)</f>
        <v/>
      </c>
      <c r="N350" s="12">
        <f>IF('Data Entry'!A350="","",IF($L350="","New item",IF($L350&gt;0,"UP",IF($L350&lt;0,"down","same"))))</f>
        <v/>
      </c>
    </row>
    <row r="351">
      <c r="A351" s="11">
        <f>IF('Data Entry'!A351="","",'Data Entry'!A351)</f>
        <v/>
      </c>
      <c r="B351" s="12">
        <f>IF('Data Entry'!A351="","",'Data Entry'!B351)</f>
        <v/>
      </c>
      <c r="C351" s="12">
        <f>IF('Data Entry'!A351="","",'Data Entry'!C351)</f>
        <v/>
      </c>
      <c r="D351" s="12">
        <f>IF('Data Entry'!A351="","",'Data Entry'!D351)</f>
        <v/>
      </c>
      <c r="E351" s="12">
        <f>IF('Data Entry'!A351="","",'Data Entry'!E351)</f>
        <v/>
      </c>
      <c r="F351" s="12">
        <f>IF('Data Entry'!A351="","",'Data Entry'!F351)</f>
        <v/>
      </c>
      <c r="G351" s="13">
        <f>IF('Data Entry'!A351="","",'Data Entry'!G351)</f>
        <v/>
      </c>
      <c r="H351" s="10">
        <f>IF('Data Entry'!A351="","",'Data Entry'!H351)</f>
        <v/>
      </c>
      <c r="I351" s="10">
        <f>IF('Data Entry'!A351="","",'Data Entry'!I351)</f>
        <v/>
      </c>
      <c r="J351" s="12">
        <f>IF('Data Entry'!A351="","",IF('Data Entry'!D351&lt;&gt;"",'Data Entry'!D351,'Data Entry'!E351))</f>
        <v/>
      </c>
      <c r="K351" s="10">
        <f>IF('Data Entry'!A351="","",IFERROR(SUMIFS($H$5:$H$2001,$J$5:$J$2001,$J351,$B$5:$B$2001,$B351,$A$5:$A$2001,(MAXIFS($A$5:$A$2001,$J$5:$J$2001,$J351,$B$5:$B$2001,$B351,$A$5:$A$2001,"&lt;"&amp;$A351))),""))</f>
        <v/>
      </c>
      <c r="L351" s="14">
        <f>IF(OR('Data Entry'!A351="",$K351=""),"",$H351-$K351)</f>
        <v/>
      </c>
      <c r="M351" s="15">
        <f>IF(OR('Data Entry'!A351="",$K351="",$K351=0),"",$L351/$K351)</f>
        <v/>
      </c>
      <c r="N351" s="12">
        <f>IF('Data Entry'!A351="","",IF($L351="","New item",IF($L351&gt;0,"UP",IF($L351&lt;0,"down","same"))))</f>
        <v/>
      </c>
    </row>
    <row r="352">
      <c r="A352" s="11">
        <f>IF('Data Entry'!A352="","",'Data Entry'!A352)</f>
        <v/>
      </c>
      <c r="B352" s="12">
        <f>IF('Data Entry'!A352="","",'Data Entry'!B352)</f>
        <v/>
      </c>
      <c r="C352" s="12">
        <f>IF('Data Entry'!A352="","",'Data Entry'!C352)</f>
        <v/>
      </c>
      <c r="D352" s="12">
        <f>IF('Data Entry'!A352="","",'Data Entry'!D352)</f>
        <v/>
      </c>
      <c r="E352" s="12">
        <f>IF('Data Entry'!A352="","",'Data Entry'!E352)</f>
        <v/>
      </c>
      <c r="F352" s="12">
        <f>IF('Data Entry'!A352="","",'Data Entry'!F352)</f>
        <v/>
      </c>
      <c r="G352" s="13">
        <f>IF('Data Entry'!A352="","",'Data Entry'!G352)</f>
        <v/>
      </c>
      <c r="H352" s="10">
        <f>IF('Data Entry'!A352="","",'Data Entry'!H352)</f>
        <v/>
      </c>
      <c r="I352" s="10">
        <f>IF('Data Entry'!A352="","",'Data Entry'!I352)</f>
        <v/>
      </c>
      <c r="J352" s="12">
        <f>IF('Data Entry'!A352="","",IF('Data Entry'!D352&lt;&gt;"",'Data Entry'!D352,'Data Entry'!E352))</f>
        <v/>
      </c>
      <c r="K352" s="10">
        <f>IF('Data Entry'!A352="","",IFERROR(SUMIFS($H$5:$H$2001,$J$5:$J$2001,$J352,$B$5:$B$2001,$B352,$A$5:$A$2001,(MAXIFS($A$5:$A$2001,$J$5:$J$2001,$J352,$B$5:$B$2001,$B352,$A$5:$A$2001,"&lt;"&amp;$A352))),""))</f>
        <v/>
      </c>
      <c r="L352" s="14">
        <f>IF(OR('Data Entry'!A352="",$K352=""),"",$H352-$K352)</f>
        <v/>
      </c>
      <c r="M352" s="15">
        <f>IF(OR('Data Entry'!A352="",$K352="",$K352=0),"",$L352/$K352)</f>
        <v/>
      </c>
      <c r="N352" s="12">
        <f>IF('Data Entry'!A352="","",IF($L352="","New item",IF($L352&gt;0,"UP",IF($L352&lt;0,"down","same"))))</f>
        <v/>
      </c>
    </row>
    <row r="353">
      <c r="A353" s="11">
        <f>IF('Data Entry'!A353="","",'Data Entry'!A353)</f>
        <v/>
      </c>
      <c r="B353" s="12">
        <f>IF('Data Entry'!A353="","",'Data Entry'!B353)</f>
        <v/>
      </c>
      <c r="C353" s="12">
        <f>IF('Data Entry'!A353="","",'Data Entry'!C353)</f>
        <v/>
      </c>
      <c r="D353" s="12">
        <f>IF('Data Entry'!A353="","",'Data Entry'!D353)</f>
        <v/>
      </c>
      <c r="E353" s="12">
        <f>IF('Data Entry'!A353="","",'Data Entry'!E353)</f>
        <v/>
      </c>
      <c r="F353" s="12">
        <f>IF('Data Entry'!A353="","",'Data Entry'!F353)</f>
        <v/>
      </c>
      <c r="G353" s="13">
        <f>IF('Data Entry'!A353="","",'Data Entry'!G353)</f>
        <v/>
      </c>
      <c r="H353" s="10">
        <f>IF('Data Entry'!A353="","",'Data Entry'!H353)</f>
        <v/>
      </c>
      <c r="I353" s="10">
        <f>IF('Data Entry'!A353="","",'Data Entry'!I353)</f>
        <v/>
      </c>
      <c r="J353" s="12">
        <f>IF('Data Entry'!A353="","",IF('Data Entry'!D353&lt;&gt;"",'Data Entry'!D353,'Data Entry'!E353))</f>
        <v/>
      </c>
      <c r="K353" s="10">
        <f>IF('Data Entry'!A353="","",IFERROR(SUMIFS($H$5:$H$2001,$J$5:$J$2001,$J353,$B$5:$B$2001,$B353,$A$5:$A$2001,(MAXIFS($A$5:$A$2001,$J$5:$J$2001,$J353,$B$5:$B$2001,$B353,$A$5:$A$2001,"&lt;"&amp;$A353))),""))</f>
        <v/>
      </c>
      <c r="L353" s="14">
        <f>IF(OR('Data Entry'!A353="",$K353=""),"",$H353-$K353)</f>
        <v/>
      </c>
      <c r="M353" s="15">
        <f>IF(OR('Data Entry'!A353="",$K353="",$K353=0),"",$L353/$K353)</f>
        <v/>
      </c>
      <c r="N353" s="12">
        <f>IF('Data Entry'!A353="","",IF($L353="","New item",IF($L353&gt;0,"UP",IF($L353&lt;0,"down","same"))))</f>
        <v/>
      </c>
    </row>
    <row r="354">
      <c r="A354" s="11">
        <f>IF('Data Entry'!A354="","",'Data Entry'!A354)</f>
        <v/>
      </c>
      <c r="B354" s="12">
        <f>IF('Data Entry'!A354="","",'Data Entry'!B354)</f>
        <v/>
      </c>
      <c r="C354" s="12">
        <f>IF('Data Entry'!A354="","",'Data Entry'!C354)</f>
        <v/>
      </c>
      <c r="D354" s="12">
        <f>IF('Data Entry'!A354="","",'Data Entry'!D354)</f>
        <v/>
      </c>
      <c r="E354" s="12">
        <f>IF('Data Entry'!A354="","",'Data Entry'!E354)</f>
        <v/>
      </c>
      <c r="F354" s="12">
        <f>IF('Data Entry'!A354="","",'Data Entry'!F354)</f>
        <v/>
      </c>
      <c r="G354" s="13">
        <f>IF('Data Entry'!A354="","",'Data Entry'!G354)</f>
        <v/>
      </c>
      <c r="H354" s="10">
        <f>IF('Data Entry'!A354="","",'Data Entry'!H354)</f>
        <v/>
      </c>
      <c r="I354" s="10">
        <f>IF('Data Entry'!A354="","",'Data Entry'!I354)</f>
        <v/>
      </c>
      <c r="J354" s="12">
        <f>IF('Data Entry'!A354="","",IF('Data Entry'!D354&lt;&gt;"",'Data Entry'!D354,'Data Entry'!E354))</f>
        <v/>
      </c>
      <c r="K354" s="10">
        <f>IF('Data Entry'!A354="","",IFERROR(SUMIFS($H$5:$H$2001,$J$5:$J$2001,$J354,$B$5:$B$2001,$B354,$A$5:$A$2001,(MAXIFS($A$5:$A$2001,$J$5:$J$2001,$J354,$B$5:$B$2001,$B354,$A$5:$A$2001,"&lt;"&amp;$A354))),""))</f>
        <v/>
      </c>
      <c r="L354" s="14">
        <f>IF(OR('Data Entry'!A354="",$K354=""),"",$H354-$K354)</f>
        <v/>
      </c>
      <c r="M354" s="15">
        <f>IF(OR('Data Entry'!A354="",$K354="",$K354=0),"",$L354/$K354)</f>
        <v/>
      </c>
      <c r="N354" s="12">
        <f>IF('Data Entry'!A354="","",IF($L354="","New item",IF($L354&gt;0,"UP",IF($L354&lt;0,"down","same"))))</f>
        <v/>
      </c>
    </row>
    <row r="355">
      <c r="A355" s="11">
        <f>IF('Data Entry'!A355="","",'Data Entry'!A355)</f>
        <v/>
      </c>
      <c r="B355" s="12">
        <f>IF('Data Entry'!A355="","",'Data Entry'!B355)</f>
        <v/>
      </c>
      <c r="C355" s="12">
        <f>IF('Data Entry'!A355="","",'Data Entry'!C355)</f>
        <v/>
      </c>
      <c r="D355" s="12">
        <f>IF('Data Entry'!A355="","",'Data Entry'!D355)</f>
        <v/>
      </c>
      <c r="E355" s="12">
        <f>IF('Data Entry'!A355="","",'Data Entry'!E355)</f>
        <v/>
      </c>
      <c r="F355" s="12">
        <f>IF('Data Entry'!A355="","",'Data Entry'!F355)</f>
        <v/>
      </c>
      <c r="G355" s="13">
        <f>IF('Data Entry'!A355="","",'Data Entry'!G355)</f>
        <v/>
      </c>
      <c r="H355" s="10">
        <f>IF('Data Entry'!A355="","",'Data Entry'!H355)</f>
        <v/>
      </c>
      <c r="I355" s="10">
        <f>IF('Data Entry'!A355="","",'Data Entry'!I355)</f>
        <v/>
      </c>
      <c r="J355" s="12">
        <f>IF('Data Entry'!A355="","",IF('Data Entry'!D355&lt;&gt;"",'Data Entry'!D355,'Data Entry'!E355))</f>
        <v/>
      </c>
      <c r="K355" s="10">
        <f>IF('Data Entry'!A355="","",IFERROR(SUMIFS($H$5:$H$2001,$J$5:$J$2001,$J355,$B$5:$B$2001,$B355,$A$5:$A$2001,(MAXIFS($A$5:$A$2001,$J$5:$J$2001,$J355,$B$5:$B$2001,$B355,$A$5:$A$2001,"&lt;"&amp;$A355))),""))</f>
        <v/>
      </c>
      <c r="L355" s="14">
        <f>IF(OR('Data Entry'!A355="",$K355=""),"",$H355-$K355)</f>
        <v/>
      </c>
      <c r="M355" s="15">
        <f>IF(OR('Data Entry'!A355="",$K355="",$K355=0),"",$L355/$K355)</f>
        <v/>
      </c>
      <c r="N355" s="12">
        <f>IF('Data Entry'!A355="","",IF($L355="","New item",IF($L355&gt;0,"UP",IF($L355&lt;0,"down","same"))))</f>
        <v/>
      </c>
    </row>
    <row r="356">
      <c r="A356" s="11">
        <f>IF('Data Entry'!A356="","",'Data Entry'!A356)</f>
        <v/>
      </c>
      <c r="B356" s="12">
        <f>IF('Data Entry'!A356="","",'Data Entry'!B356)</f>
        <v/>
      </c>
      <c r="C356" s="12">
        <f>IF('Data Entry'!A356="","",'Data Entry'!C356)</f>
        <v/>
      </c>
      <c r="D356" s="12">
        <f>IF('Data Entry'!A356="","",'Data Entry'!D356)</f>
        <v/>
      </c>
      <c r="E356" s="12">
        <f>IF('Data Entry'!A356="","",'Data Entry'!E356)</f>
        <v/>
      </c>
      <c r="F356" s="12">
        <f>IF('Data Entry'!A356="","",'Data Entry'!F356)</f>
        <v/>
      </c>
      <c r="G356" s="13">
        <f>IF('Data Entry'!A356="","",'Data Entry'!G356)</f>
        <v/>
      </c>
      <c r="H356" s="10">
        <f>IF('Data Entry'!A356="","",'Data Entry'!H356)</f>
        <v/>
      </c>
      <c r="I356" s="10">
        <f>IF('Data Entry'!A356="","",'Data Entry'!I356)</f>
        <v/>
      </c>
      <c r="J356" s="12">
        <f>IF('Data Entry'!A356="","",IF('Data Entry'!D356&lt;&gt;"",'Data Entry'!D356,'Data Entry'!E356))</f>
        <v/>
      </c>
      <c r="K356" s="10">
        <f>IF('Data Entry'!A356="","",IFERROR(SUMIFS($H$5:$H$2001,$J$5:$J$2001,$J356,$B$5:$B$2001,$B356,$A$5:$A$2001,(MAXIFS($A$5:$A$2001,$J$5:$J$2001,$J356,$B$5:$B$2001,$B356,$A$5:$A$2001,"&lt;"&amp;$A356))),""))</f>
        <v/>
      </c>
      <c r="L356" s="14">
        <f>IF(OR('Data Entry'!A356="",$K356=""),"",$H356-$K356)</f>
        <v/>
      </c>
      <c r="M356" s="15">
        <f>IF(OR('Data Entry'!A356="",$K356="",$K356=0),"",$L356/$K356)</f>
        <v/>
      </c>
      <c r="N356" s="12">
        <f>IF('Data Entry'!A356="","",IF($L356="","New item",IF($L356&gt;0,"UP",IF($L356&lt;0,"down","same"))))</f>
        <v/>
      </c>
    </row>
    <row r="357">
      <c r="A357" s="11">
        <f>IF('Data Entry'!A357="","",'Data Entry'!A357)</f>
        <v/>
      </c>
      <c r="B357" s="12">
        <f>IF('Data Entry'!A357="","",'Data Entry'!B357)</f>
        <v/>
      </c>
      <c r="C357" s="12">
        <f>IF('Data Entry'!A357="","",'Data Entry'!C357)</f>
        <v/>
      </c>
      <c r="D357" s="12">
        <f>IF('Data Entry'!A357="","",'Data Entry'!D357)</f>
        <v/>
      </c>
      <c r="E357" s="12">
        <f>IF('Data Entry'!A357="","",'Data Entry'!E357)</f>
        <v/>
      </c>
      <c r="F357" s="12">
        <f>IF('Data Entry'!A357="","",'Data Entry'!F357)</f>
        <v/>
      </c>
      <c r="G357" s="13">
        <f>IF('Data Entry'!A357="","",'Data Entry'!G357)</f>
        <v/>
      </c>
      <c r="H357" s="10">
        <f>IF('Data Entry'!A357="","",'Data Entry'!H357)</f>
        <v/>
      </c>
      <c r="I357" s="10">
        <f>IF('Data Entry'!A357="","",'Data Entry'!I357)</f>
        <v/>
      </c>
      <c r="J357" s="12">
        <f>IF('Data Entry'!A357="","",IF('Data Entry'!D357&lt;&gt;"",'Data Entry'!D357,'Data Entry'!E357))</f>
        <v/>
      </c>
      <c r="K357" s="10">
        <f>IF('Data Entry'!A357="","",IFERROR(SUMIFS($H$5:$H$2001,$J$5:$J$2001,$J357,$B$5:$B$2001,$B357,$A$5:$A$2001,(MAXIFS($A$5:$A$2001,$J$5:$J$2001,$J357,$B$5:$B$2001,$B357,$A$5:$A$2001,"&lt;"&amp;$A357))),""))</f>
        <v/>
      </c>
      <c r="L357" s="14">
        <f>IF(OR('Data Entry'!A357="",$K357=""),"",$H357-$K357)</f>
        <v/>
      </c>
      <c r="M357" s="15">
        <f>IF(OR('Data Entry'!A357="",$K357="",$K357=0),"",$L357/$K357)</f>
        <v/>
      </c>
      <c r="N357" s="12">
        <f>IF('Data Entry'!A357="","",IF($L357="","New item",IF($L357&gt;0,"UP",IF($L357&lt;0,"down","same"))))</f>
        <v/>
      </c>
    </row>
    <row r="358">
      <c r="A358" s="11">
        <f>IF('Data Entry'!A358="","",'Data Entry'!A358)</f>
        <v/>
      </c>
      <c r="B358" s="12">
        <f>IF('Data Entry'!A358="","",'Data Entry'!B358)</f>
        <v/>
      </c>
      <c r="C358" s="12">
        <f>IF('Data Entry'!A358="","",'Data Entry'!C358)</f>
        <v/>
      </c>
      <c r="D358" s="12">
        <f>IF('Data Entry'!A358="","",'Data Entry'!D358)</f>
        <v/>
      </c>
      <c r="E358" s="12">
        <f>IF('Data Entry'!A358="","",'Data Entry'!E358)</f>
        <v/>
      </c>
      <c r="F358" s="12">
        <f>IF('Data Entry'!A358="","",'Data Entry'!F358)</f>
        <v/>
      </c>
      <c r="G358" s="13">
        <f>IF('Data Entry'!A358="","",'Data Entry'!G358)</f>
        <v/>
      </c>
      <c r="H358" s="10">
        <f>IF('Data Entry'!A358="","",'Data Entry'!H358)</f>
        <v/>
      </c>
      <c r="I358" s="10">
        <f>IF('Data Entry'!A358="","",'Data Entry'!I358)</f>
        <v/>
      </c>
      <c r="J358" s="12">
        <f>IF('Data Entry'!A358="","",IF('Data Entry'!D358&lt;&gt;"",'Data Entry'!D358,'Data Entry'!E358))</f>
        <v/>
      </c>
      <c r="K358" s="10">
        <f>IF('Data Entry'!A358="","",IFERROR(SUMIFS($H$5:$H$2001,$J$5:$J$2001,$J358,$B$5:$B$2001,$B358,$A$5:$A$2001,(MAXIFS($A$5:$A$2001,$J$5:$J$2001,$J358,$B$5:$B$2001,$B358,$A$5:$A$2001,"&lt;"&amp;$A358))),""))</f>
        <v/>
      </c>
      <c r="L358" s="14">
        <f>IF(OR('Data Entry'!A358="",$K358=""),"",$H358-$K358)</f>
        <v/>
      </c>
      <c r="M358" s="15">
        <f>IF(OR('Data Entry'!A358="",$K358="",$K358=0),"",$L358/$K358)</f>
        <v/>
      </c>
      <c r="N358" s="12">
        <f>IF('Data Entry'!A358="","",IF($L358="","New item",IF($L358&gt;0,"UP",IF($L358&lt;0,"down","same"))))</f>
        <v/>
      </c>
    </row>
    <row r="359">
      <c r="A359" s="11">
        <f>IF('Data Entry'!A359="","",'Data Entry'!A359)</f>
        <v/>
      </c>
      <c r="B359" s="12">
        <f>IF('Data Entry'!A359="","",'Data Entry'!B359)</f>
        <v/>
      </c>
      <c r="C359" s="12">
        <f>IF('Data Entry'!A359="","",'Data Entry'!C359)</f>
        <v/>
      </c>
      <c r="D359" s="12">
        <f>IF('Data Entry'!A359="","",'Data Entry'!D359)</f>
        <v/>
      </c>
      <c r="E359" s="12">
        <f>IF('Data Entry'!A359="","",'Data Entry'!E359)</f>
        <v/>
      </c>
      <c r="F359" s="12">
        <f>IF('Data Entry'!A359="","",'Data Entry'!F359)</f>
        <v/>
      </c>
      <c r="G359" s="13">
        <f>IF('Data Entry'!A359="","",'Data Entry'!G359)</f>
        <v/>
      </c>
      <c r="H359" s="10">
        <f>IF('Data Entry'!A359="","",'Data Entry'!H359)</f>
        <v/>
      </c>
      <c r="I359" s="10">
        <f>IF('Data Entry'!A359="","",'Data Entry'!I359)</f>
        <v/>
      </c>
      <c r="J359" s="12">
        <f>IF('Data Entry'!A359="","",IF('Data Entry'!D359&lt;&gt;"",'Data Entry'!D359,'Data Entry'!E359))</f>
        <v/>
      </c>
      <c r="K359" s="10">
        <f>IF('Data Entry'!A359="","",IFERROR(SUMIFS($H$5:$H$2001,$J$5:$J$2001,$J359,$B$5:$B$2001,$B359,$A$5:$A$2001,(MAXIFS($A$5:$A$2001,$J$5:$J$2001,$J359,$B$5:$B$2001,$B359,$A$5:$A$2001,"&lt;"&amp;$A359))),""))</f>
        <v/>
      </c>
      <c r="L359" s="14">
        <f>IF(OR('Data Entry'!A359="",$K359=""),"",$H359-$K359)</f>
        <v/>
      </c>
      <c r="M359" s="15">
        <f>IF(OR('Data Entry'!A359="",$K359="",$K359=0),"",$L359/$K359)</f>
        <v/>
      </c>
      <c r="N359" s="12">
        <f>IF('Data Entry'!A359="","",IF($L359="","New item",IF($L359&gt;0,"UP",IF($L359&lt;0,"down","same"))))</f>
        <v/>
      </c>
    </row>
    <row r="360">
      <c r="A360" s="11">
        <f>IF('Data Entry'!A360="","",'Data Entry'!A360)</f>
        <v/>
      </c>
      <c r="B360" s="12">
        <f>IF('Data Entry'!A360="","",'Data Entry'!B360)</f>
        <v/>
      </c>
      <c r="C360" s="12">
        <f>IF('Data Entry'!A360="","",'Data Entry'!C360)</f>
        <v/>
      </c>
      <c r="D360" s="12">
        <f>IF('Data Entry'!A360="","",'Data Entry'!D360)</f>
        <v/>
      </c>
      <c r="E360" s="12">
        <f>IF('Data Entry'!A360="","",'Data Entry'!E360)</f>
        <v/>
      </c>
      <c r="F360" s="12">
        <f>IF('Data Entry'!A360="","",'Data Entry'!F360)</f>
        <v/>
      </c>
      <c r="G360" s="13">
        <f>IF('Data Entry'!A360="","",'Data Entry'!G360)</f>
        <v/>
      </c>
      <c r="H360" s="10">
        <f>IF('Data Entry'!A360="","",'Data Entry'!H360)</f>
        <v/>
      </c>
      <c r="I360" s="10">
        <f>IF('Data Entry'!A360="","",'Data Entry'!I360)</f>
        <v/>
      </c>
      <c r="J360" s="12">
        <f>IF('Data Entry'!A360="","",IF('Data Entry'!D360&lt;&gt;"",'Data Entry'!D360,'Data Entry'!E360))</f>
        <v/>
      </c>
      <c r="K360" s="10">
        <f>IF('Data Entry'!A360="","",IFERROR(SUMIFS($H$5:$H$2001,$J$5:$J$2001,$J360,$B$5:$B$2001,$B360,$A$5:$A$2001,(MAXIFS($A$5:$A$2001,$J$5:$J$2001,$J360,$B$5:$B$2001,$B360,$A$5:$A$2001,"&lt;"&amp;$A360))),""))</f>
        <v/>
      </c>
      <c r="L360" s="14">
        <f>IF(OR('Data Entry'!A360="",$K360=""),"",$H360-$K360)</f>
        <v/>
      </c>
      <c r="M360" s="15">
        <f>IF(OR('Data Entry'!A360="",$K360="",$K360=0),"",$L360/$K360)</f>
        <v/>
      </c>
      <c r="N360" s="12">
        <f>IF('Data Entry'!A360="","",IF($L360="","New item",IF($L360&gt;0,"UP",IF($L360&lt;0,"down","same"))))</f>
        <v/>
      </c>
    </row>
    <row r="361">
      <c r="A361" s="11">
        <f>IF('Data Entry'!A361="","",'Data Entry'!A361)</f>
        <v/>
      </c>
      <c r="B361" s="12">
        <f>IF('Data Entry'!A361="","",'Data Entry'!B361)</f>
        <v/>
      </c>
      <c r="C361" s="12">
        <f>IF('Data Entry'!A361="","",'Data Entry'!C361)</f>
        <v/>
      </c>
      <c r="D361" s="12">
        <f>IF('Data Entry'!A361="","",'Data Entry'!D361)</f>
        <v/>
      </c>
      <c r="E361" s="12">
        <f>IF('Data Entry'!A361="","",'Data Entry'!E361)</f>
        <v/>
      </c>
      <c r="F361" s="12">
        <f>IF('Data Entry'!A361="","",'Data Entry'!F361)</f>
        <v/>
      </c>
      <c r="G361" s="13">
        <f>IF('Data Entry'!A361="","",'Data Entry'!G361)</f>
        <v/>
      </c>
      <c r="H361" s="10">
        <f>IF('Data Entry'!A361="","",'Data Entry'!H361)</f>
        <v/>
      </c>
      <c r="I361" s="10">
        <f>IF('Data Entry'!A361="","",'Data Entry'!I361)</f>
        <v/>
      </c>
      <c r="J361" s="12">
        <f>IF('Data Entry'!A361="","",IF('Data Entry'!D361&lt;&gt;"",'Data Entry'!D361,'Data Entry'!E361))</f>
        <v/>
      </c>
      <c r="K361" s="10">
        <f>IF('Data Entry'!A361="","",IFERROR(SUMIFS($H$5:$H$2001,$J$5:$J$2001,$J361,$B$5:$B$2001,$B361,$A$5:$A$2001,(MAXIFS($A$5:$A$2001,$J$5:$J$2001,$J361,$B$5:$B$2001,$B361,$A$5:$A$2001,"&lt;"&amp;$A361))),""))</f>
        <v/>
      </c>
      <c r="L361" s="14">
        <f>IF(OR('Data Entry'!A361="",$K361=""),"",$H361-$K361)</f>
        <v/>
      </c>
      <c r="M361" s="15">
        <f>IF(OR('Data Entry'!A361="",$K361="",$K361=0),"",$L361/$K361)</f>
        <v/>
      </c>
      <c r="N361" s="12">
        <f>IF('Data Entry'!A361="","",IF($L361="","New item",IF($L361&gt;0,"UP",IF($L361&lt;0,"down","same"))))</f>
        <v/>
      </c>
    </row>
    <row r="362">
      <c r="A362" s="11">
        <f>IF('Data Entry'!A362="","",'Data Entry'!A362)</f>
        <v/>
      </c>
      <c r="B362" s="12">
        <f>IF('Data Entry'!A362="","",'Data Entry'!B362)</f>
        <v/>
      </c>
      <c r="C362" s="12">
        <f>IF('Data Entry'!A362="","",'Data Entry'!C362)</f>
        <v/>
      </c>
      <c r="D362" s="12">
        <f>IF('Data Entry'!A362="","",'Data Entry'!D362)</f>
        <v/>
      </c>
      <c r="E362" s="12">
        <f>IF('Data Entry'!A362="","",'Data Entry'!E362)</f>
        <v/>
      </c>
      <c r="F362" s="12">
        <f>IF('Data Entry'!A362="","",'Data Entry'!F362)</f>
        <v/>
      </c>
      <c r="G362" s="13">
        <f>IF('Data Entry'!A362="","",'Data Entry'!G362)</f>
        <v/>
      </c>
      <c r="H362" s="10">
        <f>IF('Data Entry'!A362="","",'Data Entry'!H362)</f>
        <v/>
      </c>
      <c r="I362" s="10">
        <f>IF('Data Entry'!A362="","",'Data Entry'!I362)</f>
        <v/>
      </c>
      <c r="J362" s="12">
        <f>IF('Data Entry'!A362="","",IF('Data Entry'!D362&lt;&gt;"",'Data Entry'!D362,'Data Entry'!E362))</f>
        <v/>
      </c>
      <c r="K362" s="10">
        <f>IF('Data Entry'!A362="","",IFERROR(SUMIFS($H$5:$H$2001,$J$5:$J$2001,$J362,$B$5:$B$2001,$B362,$A$5:$A$2001,(MAXIFS($A$5:$A$2001,$J$5:$J$2001,$J362,$B$5:$B$2001,$B362,$A$5:$A$2001,"&lt;"&amp;$A362))),""))</f>
        <v/>
      </c>
      <c r="L362" s="14">
        <f>IF(OR('Data Entry'!A362="",$K362=""),"",$H362-$K362)</f>
        <v/>
      </c>
      <c r="M362" s="15">
        <f>IF(OR('Data Entry'!A362="",$K362="",$K362=0),"",$L362/$K362)</f>
        <v/>
      </c>
      <c r="N362" s="12">
        <f>IF('Data Entry'!A362="","",IF($L362="","New item",IF($L362&gt;0,"UP",IF($L362&lt;0,"down","same"))))</f>
        <v/>
      </c>
    </row>
    <row r="363">
      <c r="A363" s="11">
        <f>IF('Data Entry'!A363="","",'Data Entry'!A363)</f>
        <v/>
      </c>
      <c r="B363" s="12">
        <f>IF('Data Entry'!A363="","",'Data Entry'!B363)</f>
        <v/>
      </c>
      <c r="C363" s="12">
        <f>IF('Data Entry'!A363="","",'Data Entry'!C363)</f>
        <v/>
      </c>
      <c r="D363" s="12">
        <f>IF('Data Entry'!A363="","",'Data Entry'!D363)</f>
        <v/>
      </c>
      <c r="E363" s="12">
        <f>IF('Data Entry'!A363="","",'Data Entry'!E363)</f>
        <v/>
      </c>
      <c r="F363" s="12">
        <f>IF('Data Entry'!A363="","",'Data Entry'!F363)</f>
        <v/>
      </c>
      <c r="G363" s="13">
        <f>IF('Data Entry'!A363="","",'Data Entry'!G363)</f>
        <v/>
      </c>
      <c r="H363" s="10">
        <f>IF('Data Entry'!A363="","",'Data Entry'!H363)</f>
        <v/>
      </c>
      <c r="I363" s="10">
        <f>IF('Data Entry'!A363="","",'Data Entry'!I363)</f>
        <v/>
      </c>
      <c r="J363" s="12">
        <f>IF('Data Entry'!A363="","",IF('Data Entry'!D363&lt;&gt;"",'Data Entry'!D363,'Data Entry'!E363))</f>
        <v/>
      </c>
      <c r="K363" s="10">
        <f>IF('Data Entry'!A363="","",IFERROR(SUMIFS($H$5:$H$2001,$J$5:$J$2001,$J363,$B$5:$B$2001,$B363,$A$5:$A$2001,(MAXIFS($A$5:$A$2001,$J$5:$J$2001,$J363,$B$5:$B$2001,$B363,$A$5:$A$2001,"&lt;"&amp;$A363))),""))</f>
        <v/>
      </c>
      <c r="L363" s="14">
        <f>IF(OR('Data Entry'!A363="",$K363=""),"",$H363-$K363)</f>
        <v/>
      </c>
      <c r="M363" s="15">
        <f>IF(OR('Data Entry'!A363="",$K363="",$K363=0),"",$L363/$K363)</f>
        <v/>
      </c>
      <c r="N363" s="12">
        <f>IF('Data Entry'!A363="","",IF($L363="","New item",IF($L363&gt;0,"UP",IF($L363&lt;0,"down","same"))))</f>
        <v/>
      </c>
    </row>
    <row r="364">
      <c r="A364" s="11">
        <f>IF('Data Entry'!A364="","",'Data Entry'!A364)</f>
        <v/>
      </c>
      <c r="B364" s="12">
        <f>IF('Data Entry'!A364="","",'Data Entry'!B364)</f>
        <v/>
      </c>
      <c r="C364" s="12">
        <f>IF('Data Entry'!A364="","",'Data Entry'!C364)</f>
        <v/>
      </c>
      <c r="D364" s="12">
        <f>IF('Data Entry'!A364="","",'Data Entry'!D364)</f>
        <v/>
      </c>
      <c r="E364" s="12">
        <f>IF('Data Entry'!A364="","",'Data Entry'!E364)</f>
        <v/>
      </c>
      <c r="F364" s="12">
        <f>IF('Data Entry'!A364="","",'Data Entry'!F364)</f>
        <v/>
      </c>
      <c r="G364" s="13">
        <f>IF('Data Entry'!A364="","",'Data Entry'!G364)</f>
        <v/>
      </c>
      <c r="H364" s="10">
        <f>IF('Data Entry'!A364="","",'Data Entry'!H364)</f>
        <v/>
      </c>
      <c r="I364" s="10">
        <f>IF('Data Entry'!A364="","",'Data Entry'!I364)</f>
        <v/>
      </c>
      <c r="J364" s="12">
        <f>IF('Data Entry'!A364="","",IF('Data Entry'!D364&lt;&gt;"",'Data Entry'!D364,'Data Entry'!E364))</f>
        <v/>
      </c>
      <c r="K364" s="10">
        <f>IF('Data Entry'!A364="","",IFERROR(SUMIFS($H$5:$H$2001,$J$5:$J$2001,$J364,$B$5:$B$2001,$B364,$A$5:$A$2001,(MAXIFS($A$5:$A$2001,$J$5:$J$2001,$J364,$B$5:$B$2001,$B364,$A$5:$A$2001,"&lt;"&amp;$A364))),""))</f>
        <v/>
      </c>
      <c r="L364" s="14">
        <f>IF(OR('Data Entry'!A364="",$K364=""),"",$H364-$K364)</f>
        <v/>
      </c>
      <c r="M364" s="15">
        <f>IF(OR('Data Entry'!A364="",$K364="",$K364=0),"",$L364/$K364)</f>
        <v/>
      </c>
      <c r="N364" s="12">
        <f>IF('Data Entry'!A364="","",IF($L364="","New item",IF($L364&gt;0,"UP",IF($L364&lt;0,"down","same"))))</f>
        <v/>
      </c>
    </row>
    <row r="365">
      <c r="A365" s="11">
        <f>IF('Data Entry'!A365="","",'Data Entry'!A365)</f>
        <v/>
      </c>
      <c r="B365" s="12">
        <f>IF('Data Entry'!A365="","",'Data Entry'!B365)</f>
        <v/>
      </c>
      <c r="C365" s="12">
        <f>IF('Data Entry'!A365="","",'Data Entry'!C365)</f>
        <v/>
      </c>
      <c r="D365" s="12">
        <f>IF('Data Entry'!A365="","",'Data Entry'!D365)</f>
        <v/>
      </c>
      <c r="E365" s="12">
        <f>IF('Data Entry'!A365="","",'Data Entry'!E365)</f>
        <v/>
      </c>
      <c r="F365" s="12">
        <f>IF('Data Entry'!A365="","",'Data Entry'!F365)</f>
        <v/>
      </c>
      <c r="G365" s="13">
        <f>IF('Data Entry'!A365="","",'Data Entry'!G365)</f>
        <v/>
      </c>
      <c r="H365" s="10">
        <f>IF('Data Entry'!A365="","",'Data Entry'!H365)</f>
        <v/>
      </c>
      <c r="I365" s="10">
        <f>IF('Data Entry'!A365="","",'Data Entry'!I365)</f>
        <v/>
      </c>
      <c r="J365" s="12">
        <f>IF('Data Entry'!A365="","",IF('Data Entry'!D365&lt;&gt;"",'Data Entry'!D365,'Data Entry'!E365))</f>
        <v/>
      </c>
      <c r="K365" s="10">
        <f>IF('Data Entry'!A365="","",IFERROR(SUMIFS($H$5:$H$2001,$J$5:$J$2001,$J365,$B$5:$B$2001,$B365,$A$5:$A$2001,(MAXIFS($A$5:$A$2001,$J$5:$J$2001,$J365,$B$5:$B$2001,$B365,$A$5:$A$2001,"&lt;"&amp;$A365))),""))</f>
        <v/>
      </c>
      <c r="L365" s="14">
        <f>IF(OR('Data Entry'!A365="",$K365=""),"",$H365-$K365)</f>
        <v/>
      </c>
      <c r="M365" s="15">
        <f>IF(OR('Data Entry'!A365="",$K365="",$K365=0),"",$L365/$K365)</f>
        <v/>
      </c>
      <c r="N365" s="12">
        <f>IF('Data Entry'!A365="","",IF($L365="","New item",IF($L365&gt;0,"UP",IF($L365&lt;0,"down","same"))))</f>
        <v/>
      </c>
    </row>
    <row r="366">
      <c r="A366" s="11">
        <f>IF('Data Entry'!A366="","",'Data Entry'!A366)</f>
        <v/>
      </c>
      <c r="B366" s="12">
        <f>IF('Data Entry'!A366="","",'Data Entry'!B366)</f>
        <v/>
      </c>
      <c r="C366" s="12">
        <f>IF('Data Entry'!A366="","",'Data Entry'!C366)</f>
        <v/>
      </c>
      <c r="D366" s="12">
        <f>IF('Data Entry'!A366="","",'Data Entry'!D366)</f>
        <v/>
      </c>
      <c r="E366" s="12">
        <f>IF('Data Entry'!A366="","",'Data Entry'!E366)</f>
        <v/>
      </c>
      <c r="F366" s="12">
        <f>IF('Data Entry'!A366="","",'Data Entry'!F366)</f>
        <v/>
      </c>
      <c r="G366" s="13">
        <f>IF('Data Entry'!A366="","",'Data Entry'!G366)</f>
        <v/>
      </c>
      <c r="H366" s="10">
        <f>IF('Data Entry'!A366="","",'Data Entry'!H366)</f>
        <v/>
      </c>
      <c r="I366" s="10">
        <f>IF('Data Entry'!A366="","",'Data Entry'!I366)</f>
        <v/>
      </c>
      <c r="J366" s="12">
        <f>IF('Data Entry'!A366="","",IF('Data Entry'!D366&lt;&gt;"",'Data Entry'!D366,'Data Entry'!E366))</f>
        <v/>
      </c>
      <c r="K366" s="10">
        <f>IF('Data Entry'!A366="","",IFERROR(SUMIFS($H$5:$H$2001,$J$5:$J$2001,$J366,$B$5:$B$2001,$B366,$A$5:$A$2001,(MAXIFS($A$5:$A$2001,$J$5:$J$2001,$J366,$B$5:$B$2001,$B366,$A$5:$A$2001,"&lt;"&amp;$A366))),""))</f>
        <v/>
      </c>
      <c r="L366" s="14">
        <f>IF(OR('Data Entry'!A366="",$K366=""),"",$H366-$K366)</f>
        <v/>
      </c>
      <c r="M366" s="15">
        <f>IF(OR('Data Entry'!A366="",$K366="",$K366=0),"",$L366/$K366)</f>
        <v/>
      </c>
      <c r="N366" s="12">
        <f>IF('Data Entry'!A366="","",IF($L366="","New item",IF($L366&gt;0,"UP",IF($L366&lt;0,"down","same"))))</f>
        <v/>
      </c>
    </row>
    <row r="367">
      <c r="A367" s="11">
        <f>IF('Data Entry'!A367="","",'Data Entry'!A367)</f>
        <v/>
      </c>
      <c r="B367" s="12">
        <f>IF('Data Entry'!A367="","",'Data Entry'!B367)</f>
        <v/>
      </c>
      <c r="C367" s="12">
        <f>IF('Data Entry'!A367="","",'Data Entry'!C367)</f>
        <v/>
      </c>
      <c r="D367" s="12">
        <f>IF('Data Entry'!A367="","",'Data Entry'!D367)</f>
        <v/>
      </c>
      <c r="E367" s="12">
        <f>IF('Data Entry'!A367="","",'Data Entry'!E367)</f>
        <v/>
      </c>
      <c r="F367" s="12">
        <f>IF('Data Entry'!A367="","",'Data Entry'!F367)</f>
        <v/>
      </c>
      <c r="G367" s="13">
        <f>IF('Data Entry'!A367="","",'Data Entry'!G367)</f>
        <v/>
      </c>
      <c r="H367" s="10">
        <f>IF('Data Entry'!A367="","",'Data Entry'!H367)</f>
        <v/>
      </c>
      <c r="I367" s="10">
        <f>IF('Data Entry'!A367="","",'Data Entry'!I367)</f>
        <v/>
      </c>
      <c r="J367" s="12">
        <f>IF('Data Entry'!A367="","",IF('Data Entry'!D367&lt;&gt;"",'Data Entry'!D367,'Data Entry'!E367))</f>
        <v/>
      </c>
      <c r="K367" s="10">
        <f>IF('Data Entry'!A367="","",IFERROR(SUMIFS($H$5:$H$2001,$J$5:$J$2001,$J367,$B$5:$B$2001,$B367,$A$5:$A$2001,(MAXIFS($A$5:$A$2001,$J$5:$J$2001,$J367,$B$5:$B$2001,$B367,$A$5:$A$2001,"&lt;"&amp;$A367))),""))</f>
        <v/>
      </c>
      <c r="L367" s="14">
        <f>IF(OR('Data Entry'!A367="",$K367=""),"",$H367-$K367)</f>
        <v/>
      </c>
      <c r="M367" s="15">
        <f>IF(OR('Data Entry'!A367="",$K367="",$K367=0),"",$L367/$K367)</f>
        <v/>
      </c>
      <c r="N367" s="12">
        <f>IF('Data Entry'!A367="","",IF($L367="","New item",IF($L367&gt;0,"UP",IF($L367&lt;0,"down","same"))))</f>
        <v/>
      </c>
    </row>
    <row r="368">
      <c r="A368" s="11">
        <f>IF('Data Entry'!A368="","",'Data Entry'!A368)</f>
        <v/>
      </c>
      <c r="B368" s="12">
        <f>IF('Data Entry'!A368="","",'Data Entry'!B368)</f>
        <v/>
      </c>
      <c r="C368" s="12">
        <f>IF('Data Entry'!A368="","",'Data Entry'!C368)</f>
        <v/>
      </c>
      <c r="D368" s="12">
        <f>IF('Data Entry'!A368="","",'Data Entry'!D368)</f>
        <v/>
      </c>
      <c r="E368" s="12">
        <f>IF('Data Entry'!A368="","",'Data Entry'!E368)</f>
        <v/>
      </c>
      <c r="F368" s="12">
        <f>IF('Data Entry'!A368="","",'Data Entry'!F368)</f>
        <v/>
      </c>
      <c r="G368" s="13">
        <f>IF('Data Entry'!A368="","",'Data Entry'!G368)</f>
        <v/>
      </c>
      <c r="H368" s="10">
        <f>IF('Data Entry'!A368="","",'Data Entry'!H368)</f>
        <v/>
      </c>
      <c r="I368" s="10">
        <f>IF('Data Entry'!A368="","",'Data Entry'!I368)</f>
        <v/>
      </c>
      <c r="J368" s="12">
        <f>IF('Data Entry'!A368="","",IF('Data Entry'!D368&lt;&gt;"",'Data Entry'!D368,'Data Entry'!E368))</f>
        <v/>
      </c>
      <c r="K368" s="10">
        <f>IF('Data Entry'!A368="","",IFERROR(SUMIFS($H$5:$H$2001,$J$5:$J$2001,$J368,$B$5:$B$2001,$B368,$A$5:$A$2001,(MAXIFS($A$5:$A$2001,$J$5:$J$2001,$J368,$B$5:$B$2001,$B368,$A$5:$A$2001,"&lt;"&amp;$A368))),""))</f>
        <v/>
      </c>
      <c r="L368" s="14">
        <f>IF(OR('Data Entry'!A368="",$K368=""),"",$H368-$K368)</f>
        <v/>
      </c>
      <c r="M368" s="15">
        <f>IF(OR('Data Entry'!A368="",$K368="",$K368=0),"",$L368/$K368)</f>
        <v/>
      </c>
      <c r="N368" s="12">
        <f>IF('Data Entry'!A368="","",IF($L368="","New item",IF($L368&gt;0,"UP",IF($L368&lt;0,"down","same"))))</f>
        <v/>
      </c>
    </row>
    <row r="369">
      <c r="A369" s="11">
        <f>IF('Data Entry'!A369="","",'Data Entry'!A369)</f>
        <v/>
      </c>
      <c r="B369" s="12">
        <f>IF('Data Entry'!A369="","",'Data Entry'!B369)</f>
        <v/>
      </c>
      <c r="C369" s="12">
        <f>IF('Data Entry'!A369="","",'Data Entry'!C369)</f>
        <v/>
      </c>
      <c r="D369" s="12">
        <f>IF('Data Entry'!A369="","",'Data Entry'!D369)</f>
        <v/>
      </c>
      <c r="E369" s="12">
        <f>IF('Data Entry'!A369="","",'Data Entry'!E369)</f>
        <v/>
      </c>
      <c r="F369" s="12">
        <f>IF('Data Entry'!A369="","",'Data Entry'!F369)</f>
        <v/>
      </c>
      <c r="G369" s="13">
        <f>IF('Data Entry'!A369="","",'Data Entry'!G369)</f>
        <v/>
      </c>
      <c r="H369" s="10">
        <f>IF('Data Entry'!A369="","",'Data Entry'!H369)</f>
        <v/>
      </c>
      <c r="I369" s="10">
        <f>IF('Data Entry'!A369="","",'Data Entry'!I369)</f>
        <v/>
      </c>
      <c r="J369" s="12">
        <f>IF('Data Entry'!A369="","",IF('Data Entry'!D369&lt;&gt;"",'Data Entry'!D369,'Data Entry'!E369))</f>
        <v/>
      </c>
      <c r="K369" s="10">
        <f>IF('Data Entry'!A369="","",IFERROR(SUMIFS($H$5:$H$2001,$J$5:$J$2001,$J369,$B$5:$B$2001,$B369,$A$5:$A$2001,(MAXIFS($A$5:$A$2001,$J$5:$J$2001,$J369,$B$5:$B$2001,$B369,$A$5:$A$2001,"&lt;"&amp;$A369))),""))</f>
        <v/>
      </c>
      <c r="L369" s="14">
        <f>IF(OR('Data Entry'!A369="",$K369=""),"",$H369-$K369)</f>
        <v/>
      </c>
      <c r="M369" s="15">
        <f>IF(OR('Data Entry'!A369="",$K369="",$K369=0),"",$L369/$K369)</f>
        <v/>
      </c>
      <c r="N369" s="12">
        <f>IF('Data Entry'!A369="","",IF($L369="","New item",IF($L369&gt;0,"UP",IF($L369&lt;0,"down","same"))))</f>
        <v/>
      </c>
    </row>
    <row r="370">
      <c r="A370" s="11">
        <f>IF('Data Entry'!A370="","",'Data Entry'!A370)</f>
        <v/>
      </c>
      <c r="B370" s="12">
        <f>IF('Data Entry'!A370="","",'Data Entry'!B370)</f>
        <v/>
      </c>
      <c r="C370" s="12">
        <f>IF('Data Entry'!A370="","",'Data Entry'!C370)</f>
        <v/>
      </c>
      <c r="D370" s="12">
        <f>IF('Data Entry'!A370="","",'Data Entry'!D370)</f>
        <v/>
      </c>
      <c r="E370" s="12">
        <f>IF('Data Entry'!A370="","",'Data Entry'!E370)</f>
        <v/>
      </c>
      <c r="F370" s="12">
        <f>IF('Data Entry'!A370="","",'Data Entry'!F370)</f>
        <v/>
      </c>
      <c r="G370" s="13">
        <f>IF('Data Entry'!A370="","",'Data Entry'!G370)</f>
        <v/>
      </c>
      <c r="H370" s="10">
        <f>IF('Data Entry'!A370="","",'Data Entry'!H370)</f>
        <v/>
      </c>
      <c r="I370" s="10">
        <f>IF('Data Entry'!A370="","",'Data Entry'!I370)</f>
        <v/>
      </c>
      <c r="J370" s="12">
        <f>IF('Data Entry'!A370="","",IF('Data Entry'!D370&lt;&gt;"",'Data Entry'!D370,'Data Entry'!E370))</f>
        <v/>
      </c>
      <c r="K370" s="10">
        <f>IF('Data Entry'!A370="","",IFERROR(SUMIFS($H$5:$H$2001,$J$5:$J$2001,$J370,$B$5:$B$2001,$B370,$A$5:$A$2001,(MAXIFS($A$5:$A$2001,$J$5:$J$2001,$J370,$B$5:$B$2001,$B370,$A$5:$A$2001,"&lt;"&amp;$A370))),""))</f>
        <v/>
      </c>
      <c r="L370" s="14">
        <f>IF(OR('Data Entry'!A370="",$K370=""),"",$H370-$K370)</f>
        <v/>
      </c>
      <c r="M370" s="15">
        <f>IF(OR('Data Entry'!A370="",$K370="",$K370=0),"",$L370/$K370)</f>
        <v/>
      </c>
      <c r="N370" s="12">
        <f>IF('Data Entry'!A370="","",IF($L370="","New item",IF($L370&gt;0,"UP",IF($L370&lt;0,"down","same"))))</f>
        <v/>
      </c>
    </row>
    <row r="371">
      <c r="A371" s="11">
        <f>IF('Data Entry'!A371="","",'Data Entry'!A371)</f>
        <v/>
      </c>
      <c r="B371" s="12">
        <f>IF('Data Entry'!A371="","",'Data Entry'!B371)</f>
        <v/>
      </c>
      <c r="C371" s="12">
        <f>IF('Data Entry'!A371="","",'Data Entry'!C371)</f>
        <v/>
      </c>
      <c r="D371" s="12">
        <f>IF('Data Entry'!A371="","",'Data Entry'!D371)</f>
        <v/>
      </c>
      <c r="E371" s="12">
        <f>IF('Data Entry'!A371="","",'Data Entry'!E371)</f>
        <v/>
      </c>
      <c r="F371" s="12">
        <f>IF('Data Entry'!A371="","",'Data Entry'!F371)</f>
        <v/>
      </c>
      <c r="G371" s="13">
        <f>IF('Data Entry'!A371="","",'Data Entry'!G371)</f>
        <v/>
      </c>
      <c r="H371" s="10">
        <f>IF('Data Entry'!A371="","",'Data Entry'!H371)</f>
        <v/>
      </c>
      <c r="I371" s="10">
        <f>IF('Data Entry'!A371="","",'Data Entry'!I371)</f>
        <v/>
      </c>
      <c r="J371" s="12">
        <f>IF('Data Entry'!A371="","",IF('Data Entry'!D371&lt;&gt;"",'Data Entry'!D371,'Data Entry'!E371))</f>
        <v/>
      </c>
      <c r="K371" s="10">
        <f>IF('Data Entry'!A371="","",IFERROR(SUMIFS($H$5:$H$2001,$J$5:$J$2001,$J371,$B$5:$B$2001,$B371,$A$5:$A$2001,(MAXIFS($A$5:$A$2001,$J$5:$J$2001,$J371,$B$5:$B$2001,$B371,$A$5:$A$2001,"&lt;"&amp;$A371))),""))</f>
        <v/>
      </c>
      <c r="L371" s="14">
        <f>IF(OR('Data Entry'!A371="",$K371=""),"",$H371-$K371)</f>
        <v/>
      </c>
      <c r="M371" s="15">
        <f>IF(OR('Data Entry'!A371="",$K371="",$K371=0),"",$L371/$K371)</f>
        <v/>
      </c>
      <c r="N371" s="12">
        <f>IF('Data Entry'!A371="","",IF($L371="","New item",IF($L371&gt;0,"UP",IF($L371&lt;0,"down","same"))))</f>
        <v/>
      </c>
    </row>
    <row r="372">
      <c r="A372" s="11">
        <f>IF('Data Entry'!A372="","",'Data Entry'!A372)</f>
        <v/>
      </c>
      <c r="B372" s="12">
        <f>IF('Data Entry'!A372="","",'Data Entry'!B372)</f>
        <v/>
      </c>
      <c r="C372" s="12">
        <f>IF('Data Entry'!A372="","",'Data Entry'!C372)</f>
        <v/>
      </c>
      <c r="D372" s="12">
        <f>IF('Data Entry'!A372="","",'Data Entry'!D372)</f>
        <v/>
      </c>
      <c r="E372" s="12">
        <f>IF('Data Entry'!A372="","",'Data Entry'!E372)</f>
        <v/>
      </c>
      <c r="F372" s="12">
        <f>IF('Data Entry'!A372="","",'Data Entry'!F372)</f>
        <v/>
      </c>
      <c r="G372" s="13">
        <f>IF('Data Entry'!A372="","",'Data Entry'!G372)</f>
        <v/>
      </c>
      <c r="H372" s="10">
        <f>IF('Data Entry'!A372="","",'Data Entry'!H372)</f>
        <v/>
      </c>
      <c r="I372" s="10">
        <f>IF('Data Entry'!A372="","",'Data Entry'!I372)</f>
        <v/>
      </c>
      <c r="J372" s="12">
        <f>IF('Data Entry'!A372="","",IF('Data Entry'!D372&lt;&gt;"",'Data Entry'!D372,'Data Entry'!E372))</f>
        <v/>
      </c>
      <c r="K372" s="10">
        <f>IF('Data Entry'!A372="","",IFERROR(SUMIFS($H$5:$H$2001,$J$5:$J$2001,$J372,$B$5:$B$2001,$B372,$A$5:$A$2001,(MAXIFS($A$5:$A$2001,$J$5:$J$2001,$J372,$B$5:$B$2001,$B372,$A$5:$A$2001,"&lt;"&amp;$A372))),""))</f>
        <v/>
      </c>
      <c r="L372" s="14">
        <f>IF(OR('Data Entry'!A372="",$K372=""),"",$H372-$K372)</f>
        <v/>
      </c>
      <c r="M372" s="15">
        <f>IF(OR('Data Entry'!A372="",$K372="",$K372=0),"",$L372/$K372)</f>
        <v/>
      </c>
      <c r="N372" s="12">
        <f>IF('Data Entry'!A372="","",IF($L372="","New item",IF($L372&gt;0,"UP",IF($L372&lt;0,"down","same"))))</f>
        <v/>
      </c>
    </row>
    <row r="373">
      <c r="A373" s="11">
        <f>IF('Data Entry'!A373="","",'Data Entry'!A373)</f>
        <v/>
      </c>
      <c r="B373" s="12">
        <f>IF('Data Entry'!A373="","",'Data Entry'!B373)</f>
        <v/>
      </c>
      <c r="C373" s="12">
        <f>IF('Data Entry'!A373="","",'Data Entry'!C373)</f>
        <v/>
      </c>
      <c r="D373" s="12">
        <f>IF('Data Entry'!A373="","",'Data Entry'!D373)</f>
        <v/>
      </c>
      <c r="E373" s="12">
        <f>IF('Data Entry'!A373="","",'Data Entry'!E373)</f>
        <v/>
      </c>
      <c r="F373" s="12">
        <f>IF('Data Entry'!A373="","",'Data Entry'!F373)</f>
        <v/>
      </c>
      <c r="G373" s="13">
        <f>IF('Data Entry'!A373="","",'Data Entry'!G373)</f>
        <v/>
      </c>
      <c r="H373" s="10">
        <f>IF('Data Entry'!A373="","",'Data Entry'!H373)</f>
        <v/>
      </c>
      <c r="I373" s="10">
        <f>IF('Data Entry'!A373="","",'Data Entry'!I373)</f>
        <v/>
      </c>
      <c r="J373" s="12">
        <f>IF('Data Entry'!A373="","",IF('Data Entry'!D373&lt;&gt;"",'Data Entry'!D373,'Data Entry'!E373))</f>
        <v/>
      </c>
      <c r="K373" s="10">
        <f>IF('Data Entry'!A373="","",IFERROR(SUMIFS($H$5:$H$2001,$J$5:$J$2001,$J373,$B$5:$B$2001,$B373,$A$5:$A$2001,(MAXIFS($A$5:$A$2001,$J$5:$J$2001,$J373,$B$5:$B$2001,$B373,$A$5:$A$2001,"&lt;"&amp;$A373))),""))</f>
        <v/>
      </c>
      <c r="L373" s="14">
        <f>IF(OR('Data Entry'!A373="",$K373=""),"",$H373-$K373)</f>
        <v/>
      </c>
      <c r="M373" s="15">
        <f>IF(OR('Data Entry'!A373="",$K373="",$K373=0),"",$L373/$K373)</f>
        <v/>
      </c>
      <c r="N373" s="12">
        <f>IF('Data Entry'!A373="","",IF($L373="","New item",IF($L373&gt;0,"UP",IF($L373&lt;0,"down","same"))))</f>
        <v/>
      </c>
    </row>
    <row r="374">
      <c r="A374" s="11">
        <f>IF('Data Entry'!A374="","",'Data Entry'!A374)</f>
        <v/>
      </c>
      <c r="B374" s="12">
        <f>IF('Data Entry'!A374="","",'Data Entry'!B374)</f>
        <v/>
      </c>
      <c r="C374" s="12">
        <f>IF('Data Entry'!A374="","",'Data Entry'!C374)</f>
        <v/>
      </c>
      <c r="D374" s="12">
        <f>IF('Data Entry'!A374="","",'Data Entry'!D374)</f>
        <v/>
      </c>
      <c r="E374" s="12">
        <f>IF('Data Entry'!A374="","",'Data Entry'!E374)</f>
        <v/>
      </c>
      <c r="F374" s="12">
        <f>IF('Data Entry'!A374="","",'Data Entry'!F374)</f>
        <v/>
      </c>
      <c r="G374" s="13">
        <f>IF('Data Entry'!A374="","",'Data Entry'!G374)</f>
        <v/>
      </c>
      <c r="H374" s="10">
        <f>IF('Data Entry'!A374="","",'Data Entry'!H374)</f>
        <v/>
      </c>
      <c r="I374" s="10">
        <f>IF('Data Entry'!A374="","",'Data Entry'!I374)</f>
        <v/>
      </c>
      <c r="J374" s="12">
        <f>IF('Data Entry'!A374="","",IF('Data Entry'!D374&lt;&gt;"",'Data Entry'!D374,'Data Entry'!E374))</f>
        <v/>
      </c>
      <c r="K374" s="10">
        <f>IF('Data Entry'!A374="","",IFERROR(SUMIFS($H$5:$H$2001,$J$5:$J$2001,$J374,$B$5:$B$2001,$B374,$A$5:$A$2001,(MAXIFS($A$5:$A$2001,$J$5:$J$2001,$J374,$B$5:$B$2001,$B374,$A$5:$A$2001,"&lt;"&amp;$A374))),""))</f>
        <v/>
      </c>
      <c r="L374" s="14">
        <f>IF(OR('Data Entry'!A374="",$K374=""),"",$H374-$K374)</f>
        <v/>
      </c>
      <c r="M374" s="15">
        <f>IF(OR('Data Entry'!A374="",$K374="",$K374=0),"",$L374/$K374)</f>
        <v/>
      </c>
      <c r="N374" s="12">
        <f>IF('Data Entry'!A374="","",IF($L374="","New item",IF($L374&gt;0,"UP",IF($L374&lt;0,"down","same"))))</f>
        <v/>
      </c>
    </row>
    <row r="375">
      <c r="A375" s="11">
        <f>IF('Data Entry'!A375="","",'Data Entry'!A375)</f>
        <v/>
      </c>
      <c r="B375" s="12">
        <f>IF('Data Entry'!A375="","",'Data Entry'!B375)</f>
        <v/>
      </c>
      <c r="C375" s="12">
        <f>IF('Data Entry'!A375="","",'Data Entry'!C375)</f>
        <v/>
      </c>
      <c r="D375" s="12">
        <f>IF('Data Entry'!A375="","",'Data Entry'!D375)</f>
        <v/>
      </c>
      <c r="E375" s="12">
        <f>IF('Data Entry'!A375="","",'Data Entry'!E375)</f>
        <v/>
      </c>
      <c r="F375" s="12">
        <f>IF('Data Entry'!A375="","",'Data Entry'!F375)</f>
        <v/>
      </c>
      <c r="G375" s="13">
        <f>IF('Data Entry'!A375="","",'Data Entry'!G375)</f>
        <v/>
      </c>
      <c r="H375" s="10">
        <f>IF('Data Entry'!A375="","",'Data Entry'!H375)</f>
        <v/>
      </c>
      <c r="I375" s="10">
        <f>IF('Data Entry'!A375="","",'Data Entry'!I375)</f>
        <v/>
      </c>
      <c r="J375" s="12">
        <f>IF('Data Entry'!A375="","",IF('Data Entry'!D375&lt;&gt;"",'Data Entry'!D375,'Data Entry'!E375))</f>
        <v/>
      </c>
      <c r="K375" s="10">
        <f>IF('Data Entry'!A375="","",IFERROR(SUMIFS($H$5:$H$2001,$J$5:$J$2001,$J375,$B$5:$B$2001,$B375,$A$5:$A$2001,(MAXIFS($A$5:$A$2001,$J$5:$J$2001,$J375,$B$5:$B$2001,$B375,$A$5:$A$2001,"&lt;"&amp;$A375))),""))</f>
        <v/>
      </c>
      <c r="L375" s="14">
        <f>IF(OR('Data Entry'!A375="",$K375=""),"",$H375-$K375)</f>
        <v/>
      </c>
      <c r="M375" s="15">
        <f>IF(OR('Data Entry'!A375="",$K375="",$K375=0),"",$L375/$K375)</f>
        <v/>
      </c>
      <c r="N375" s="12">
        <f>IF('Data Entry'!A375="","",IF($L375="","New item",IF($L375&gt;0,"UP",IF($L375&lt;0,"down","same"))))</f>
        <v/>
      </c>
    </row>
    <row r="376">
      <c r="A376" s="11">
        <f>IF('Data Entry'!A376="","",'Data Entry'!A376)</f>
        <v/>
      </c>
      <c r="B376" s="12">
        <f>IF('Data Entry'!A376="","",'Data Entry'!B376)</f>
        <v/>
      </c>
      <c r="C376" s="12">
        <f>IF('Data Entry'!A376="","",'Data Entry'!C376)</f>
        <v/>
      </c>
      <c r="D376" s="12">
        <f>IF('Data Entry'!A376="","",'Data Entry'!D376)</f>
        <v/>
      </c>
      <c r="E376" s="12">
        <f>IF('Data Entry'!A376="","",'Data Entry'!E376)</f>
        <v/>
      </c>
      <c r="F376" s="12">
        <f>IF('Data Entry'!A376="","",'Data Entry'!F376)</f>
        <v/>
      </c>
      <c r="G376" s="13">
        <f>IF('Data Entry'!A376="","",'Data Entry'!G376)</f>
        <v/>
      </c>
      <c r="H376" s="10">
        <f>IF('Data Entry'!A376="","",'Data Entry'!H376)</f>
        <v/>
      </c>
      <c r="I376" s="10">
        <f>IF('Data Entry'!A376="","",'Data Entry'!I376)</f>
        <v/>
      </c>
      <c r="J376" s="12">
        <f>IF('Data Entry'!A376="","",IF('Data Entry'!D376&lt;&gt;"",'Data Entry'!D376,'Data Entry'!E376))</f>
        <v/>
      </c>
      <c r="K376" s="10">
        <f>IF('Data Entry'!A376="","",IFERROR(SUMIFS($H$5:$H$2001,$J$5:$J$2001,$J376,$B$5:$B$2001,$B376,$A$5:$A$2001,(MAXIFS($A$5:$A$2001,$J$5:$J$2001,$J376,$B$5:$B$2001,$B376,$A$5:$A$2001,"&lt;"&amp;$A376))),""))</f>
        <v/>
      </c>
      <c r="L376" s="14">
        <f>IF(OR('Data Entry'!A376="",$K376=""),"",$H376-$K376)</f>
        <v/>
      </c>
      <c r="M376" s="15">
        <f>IF(OR('Data Entry'!A376="",$K376="",$K376=0),"",$L376/$K376)</f>
        <v/>
      </c>
      <c r="N376" s="12">
        <f>IF('Data Entry'!A376="","",IF($L376="","New item",IF($L376&gt;0,"UP",IF($L376&lt;0,"down","same"))))</f>
        <v/>
      </c>
    </row>
    <row r="377">
      <c r="A377" s="11">
        <f>IF('Data Entry'!A377="","",'Data Entry'!A377)</f>
        <v/>
      </c>
      <c r="B377" s="12">
        <f>IF('Data Entry'!A377="","",'Data Entry'!B377)</f>
        <v/>
      </c>
      <c r="C377" s="12">
        <f>IF('Data Entry'!A377="","",'Data Entry'!C377)</f>
        <v/>
      </c>
      <c r="D377" s="12">
        <f>IF('Data Entry'!A377="","",'Data Entry'!D377)</f>
        <v/>
      </c>
      <c r="E377" s="12">
        <f>IF('Data Entry'!A377="","",'Data Entry'!E377)</f>
        <v/>
      </c>
      <c r="F377" s="12">
        <f>IF('Data Entry'!A377="","",'Data Entry'!F377)</f>
        <v/>
      </c>
      <c r="G377" s="13">
        <f>IF('Data Entry'!A377="","",'Data Entry'!G377)</f>
        <v/>
      </c>
      <c r="H377" s="10">
        <f>IF('Data Entry'!A377="","",'Data Entry'!H377)</f>
        <v/>
      </c>
      <c r="I377" s="10">
        <f>IF('Data Entry'!A377="","",'Data Entry'!I377)</f>
        <v/>
      </c>
      <c r="J377" s="12">
        <f>IF('Data Entry'!A377="","",IF('Data Entry'!D377&lt;&gt;"",'Data Entry'!D377,'Data Entry'!E377))</f>
        <v/>
      </c>
      <c r="K377" s="10">
        <f>IF('Data Entry'!A377="","",IFERROR(SUMIFS($H$5:$H$2001,$J$5:$J$2001,$J377,$B$5:$B$2001,$B377,$A$5:$A$2001,(MAXIFS($A$5:$A$2001,$J$5:$J$2001,$J377,$B$5:$B$2001,$B377,$A$5:$A$2001,"&lt;"&amp;$A377))),""))</f>
        <v/>
      </c>
      <c r="L377" s="14">
        <f>IF(OR('Data Entry'!A377="",$K377=""),"",$H377-$K377)</f>
        <v/>
      </c>
      <c r="M377" s="15">
        <f>IF(OR('Data Entry'!A377="",$K377="",$K377=0),"",$L377/$K377)</f>
        <v/>
      </c>
      <c r="N377" s="12">
        <f>IF('Data Entry'!A377="","",IF($L377="","New item",IF($L377&gt;0,"UP",IF($L377&lt;0,"down","same"))))</f>
        <v/>
      </c>
    </row>
    <row r="378">
      <c r="A378" s="11">
        <f>IF('Data Entry'!A378="","",'Data Entry'!A378)</f>
        <v/>
      </c>
      <c r="B378" s="12">
        <f>IF('Data Entry'!A378="","",'Data Entry'!B378)</f>
        <v/>
      </c>
      <c r="C378" s="12">
        <f>IF('Data Entry'!A378="","",'Data Entry'!C378)</f>
        <v/>
      </c>
      <c r="D378" s="12">
        <f>IF('Data Entry'!A378="","",'Data Entry'!D378)</f>
        <v/>
      </c>
      <c r="E378" s="12">
        <f>IF('Data Entry'!A378="","",'Data Entry'!E378)</f>
        <v/>
      </c>
      <c r="F378" s="12">
        <f>IF('Data Entry'!A378="","",'Data Entry'!F378)</f>
        <v/>
      </c>
      <c r="G378" s="13">
        <f>IF('Data Entry'!A378="","",'Data Entry'!G378)</f>
        <v/>
      </c>
      <c r="H378" s="10">
        <f>IF('Data Entry'!A378="","",'Data Entry'!H378)</f>
        <v/>
      </c>
      <c r="I378" s="10">
        <f>IF('Data Entry'!A378="","",'Data Entry'!I378)</f>
        <v/>
      </c>
      <c r="J378" s="12">
        <f>IF('Data Entry'!A378="","",IF('Data Entry'!D378&lt;&gt;"",'Data Entry'!D378,'Data Entry'!E378))</f>
        <v/>
      </c>
      <c r="K378" s="10">
        <f>IF('Data Entry'!A378="","",IFERROR(SUMIFS($H$5:$H$2001,$J$5:$J$2001,$J378,$B$5:$B$2001,$B378,$A$5:$A$2001,(MAXIFS($A$5:$A$2001,$J$5:$J$2001,$J378,$B$5:$B$2001,$B378,$A$5:$A$2001,"&lt;"&amp;$A378))),""))</f>
        <v/>
      </c>
      <c r="L378" s="14">
        <f>IF(OR('Data Entry'!A378="",$K378=""),"",$H378-$K378)</f>
        <v/>
      </c>
      <c r="M378" s="15">
        <f>IF(OR('Data Entry'!A378="",$K378="",$K378=0),"",$L378/$K378)</f>
        <v/>
      </c>
      <c r="N378" s="12">
        <f>IF('Data Entry'!A378="","",IF($L378="","New item",IF($L378&gt;0,"UP",IF($L378&lt;0,"down","same"))))</f>
        <v/>
      </c>
    </row>
    <row r="379">
      <c r="A379" s="11">
        <f>IF('Data Entry'!A379="","",'Data Entry'!A379)</f>
        <v/>
      </c>
      <c r="B379" s="12">
        <f>IF('Data Entry'!A379="","",'Data Entry'!B379)</f>
        <v/>
      </c>
      <c r="C379" s="12">
        <f>IF('Data Entry'!A379="","",'Data Entry'!C379)</f>
        <v/>
      </c>
      <c r="D379" s="12">
        <f>IF('Data Entry'!A379="","",'Data Entry'!D379)</f>
        <v/>
      </c>
      <c r="E379" s="12">
        <f>IF('Data Entry'!A379="","",'Data Entry'!E379)</f>
        <v/>
      </c>
      <c r="F379" s="12">
        <f>IF('Data Entry'!A379="","",'Data Entry'!F379)</f>
        <v/>
      </c>
      <c r="G379" s="13">
        <f>IF('Data Entry'!A379="","",'Data Entry'!G379)</f>
        <v/>
      </c>
      <c r="H379" s="10">
        <f>IF('Data Entry'!A379="","",'Data Entry'!H379)</f>
        <v/>
      </c>
      <c r="I379" s="10">
        <f>IF('Data Entry'!A379="","",'Data Entry'!I379)</f>
        <v/>
      </c>
      <c r="J379" s="12">
        <f>IF('Data Entry'!A379="","",IF('Data Entry'!D379&lt;&gt;"",'Data Entry'!D379,'Data Entry'!E379))</f>
        <v/>
      </c>
      <c r="K379" s="10">
        <f>IF('Data Entry'!A379="","",IFERROR(SUMIFS($H$5:$H$2001,$J$5:$J$2001,$J379,$B$5:$B$2001,$B379,$A$5:$A$2001,(MAXIFS($A$5:$A$2001,$J$5:$J$2001,$J379,$B$5:$B$2001,$B379,$A$5:$A$2001,"&lt;"&amp;$A379))),""))</f>
        <v/>
      </c>
      <c r="L379" s="14">
        <f>IF(OR('Data Entry'!A379="",$K379=""),"",$H379-$K379)</f>
        <v/>
      </c>
      <c r="M379" s="15">
        <f>IF(OR('Data Entry'!A379="",$K379="",$K379=0),"",$L379/$K379)</f>
        <v/>
      </c>
      <c r="N379" s="12">
        <f>IF('Data Entry'!A379="","",IF($L379="","New item",IF($L379&gt;0,"UP",IF($L379&lt;0,"down","same"))))</f>
        <v/>
      </c>
    </row>
    <row r="380">
      <c r="A380" s="11">
        <f>IF('Data Entry'!A380="","",'Data Entry'!A380)</f>
        <v/>
      </c>
      <c r="B380" s="12">
        <f>IF('Data Entry'!A380="","",'Data Entry'!B380)</f>
        <v/>
      </c>
      <c r="C380" s="12">
        <f>IF('Data Entry'!A380="","",'Data Entry'!C380)</f>
        <v/>
      </c>
      <c r="D380" s="12">
        <f>IF('Data Entry'!A380="","",'Data Entry'!D380)</f>
        <v/>
      </c>
      <c r="E380" s="12">
        <f>IF('Data Entry'!A380="","",'Data Entry'!E380)</f>
        <v/>
      </c>
      <c r="F380" s="12">
        <f>IF('Data Entry'!A380="","",'Data Entry'!F380)</f>
        <v/>
      </c>
      <c r="G380" s="13">
        <f>IF('Data Entry'!A380="","",'Data Entry'!G380)</f>
        <v/>
      </c>
      <c r="H380" s="10">
        <f>IF('Data Entry'!A380="","",'Data Entry'!H380)</f>
        <v/>
      </c>
      <c r="I380" s="10">
        <f>IF('Data Entry'!A380="","",'Data Entry'!I380)</f>
        <v/>
      </c>
      <c r="J380" s="12">
        <f>IF('Data Entry'!A380="","",IF('Data Entry'!D380&lt;&gt;"",'Data Entry'!D380,'Data Entry'!E380))</f>
        <v/>
      </c>
      <c r="K380" s="10">
        <f>IF('Data Entry'!A380="","",IFERROR(SUMIFS($H$5:$H$2001,$J$5:$J$2001,$J380,$B$5:$B$2001,$B380,$A$5:$A$2001,(MAXIFS($A$5:$A$2001,$J$5:$J$2001,$J380,$B$5:$B$2001,$B380,$A$5:$A$2001,"&lt;"&amp;$A380))),""))</f>
        <v/>
      </c>
      <c r="L380" s="14">
        <f>IF(OR('Data Entry'!A380="",$K380=""),"",$H380-$K380)</f>
        <v/>
      </c>
      <c r="M380" s="15">
        <f>IF(OR('Data Entry'!A380="",$K380="",$K380=0),"",$L380/$K380)</f>
        <v/>
      </c>
      <c r="N380" s="12">
        <f>IF('Data Entry'!A380="","",IF($L380="","New item",IF($L380&gt;0,"UP",IF($L380&lt;0,"down","same"))))</f>
        <v/>
      </c>
    </row>
    <row r="381">
      <c r="A381" s="11">
        <f>IF('Data Entry'!A381="","",'Data Entry'!A381)</f>
        <v/>
      </c>
      <c r="B381" s="12">
        <f>IF('Data Entry'!A381="","",'Data Entry'!B381)</f>
        <v/>
      </c>
      <c r="C381" s="12">
        <f>IF('Data Entry'!A381="","",'Data Entry'!C381)</f>
        <v/>
      </c>
      <c r="D381" s="12">
        <f>IF('Data Entry'!A381="","",'Data Entry'!D381)</f>
        <v/>
      </c>
      <c r="E381" s="12">
        <f>IF('Data Entry'!A381="","",'Data Entry'!E381)</f>
        <v/>
      </c>
      <c r="F381" s="12">
        <f>IF('Data Entry'!A381="","",'Data Entry'!F381)</f>
        <v/>
      </c>
      <c r="G381" s="13">
        <f>IF('Data Entry'!A381="","",'Data Entry'!G381)</f>
        <v/>
      </c>
      <c r="H381" s="10">
        <f>IF('Data Entry'!A381="","",'Data Entry'!H381)</f>
        <v/>
      </c>
      <c r="I381" s="10">
        <f>IF('Data Entry'!A381="","",'Data Entry'!I381)</f>
        <v/>
      </c>
      <c r="J381" s="12">
        <f>IF('Data Entry'!A381="","",IF('Data Entry'!D381&lt;&gt;"",'Data Entry'!D381,'Data Entry'!E381))</f>
        <v/>
      </c>
      <c r="K381" s="10">
        <f>IF('Data Entry'!A381="","",IFERROR(SUMIFS($H$5:$H$2001,$J$5:$J$2001,$J381,$B$5:$B$2001,$B381,$A$5:$A$2001,(MAXIFS($A$5:$A$2001,$J$5:$J$2001,$J381,$B$5:$B$2001,$B381,$A$5:$A$2001,"&lt;"&amp;$A381))),""))</f>
        <v/>
      </c>
      <c r="L381" s="14">
        <f>IF(OR('Data Entry'!A381="",$K381=""),"",$H381-$K381)</f>
        <v/>
      </c>
      <c r="M381" s="15">
        <f>IF(OR('Data Entry'!A381="",$K381="",$K381=0),"",$L381/$K381)</f>
        <v/>
      </c>
      <c r="N381" s="12">
        <f>IF('Data Entry'!A381="","",IF($L381="","New item",IF($L381&gt;0,"UP",IF($L381&lt;0,"down","same"))))</f>
        <v/>
      </c>
    </row>
    <row r="382">
      <c r="A382" s="11">
        <f>IF('Data Entry'!A382="","",'Data Entry'!A382)</f>
        <v/>
      </c>
      <c r="B382" s="12">
        <f>IF('Data Entry'!A382="","",'Data Entry'!B382)</f>
        <v/>
      </c>
      <c r="C382" s="12">
        <f>IF('Data Entry'!A382="","",'Data Entry'!C382)</f>
        <v/>
      </c>
      <c r="D382" s="12">
        <f>IF('Data Entry'!A382="","",'Data Entry'!D382)</f>
        <v/>
      </c>
      <c r="E382" s="12">
        <f>IF('Data Entry'!A382="","",'Data Entry'!E382)</f>
        <v/>
      </c>
      <c r="F382" s="12">
        <f>IF('Data Entry'!A382="","",'Data Entry'!F382)</f>
        <v/>
      </c>
      <c r="G382" s="13">
        <f>IF('Data Entry'!A382="","",'Data Entry'!G382)</f>
        <v/>
      </c>
      <c r="H382" s="10">
        <f>IF('Data Entry'!A382="","",'Data Entry'!H382)</f>
        <v/>
      </c>
      <c r="I382" s="10">
        <f>IF('Data Entry'!A382="","",'Data Entry'!I382)</f>
        <v/>
      </c>
      <c r="J382" s="12">
        <f>IF('Data Entry'!A382="","",IF('Data Entry'!D382&lt;&gt;"",'Data Entry'!D382,'Data Entry'!E382))</f>
        <v/>
      </c>
      <c r="K382" s="10">
        <f>IF('Data Entry'!A382="","",IFERROR(SUMIFS($H$5:$H$2001,$J$5:$J$2001,$J382,$B$5:$B$2001,$B382,$A$5:$A$2001,(MAXIFS($A$5:$A$2001,$J$5:$J$2001,$J382,$B$5:$B$2001,$B382,$A$5:$A$2001,"&lt;"&amp;$A382))),""))</f>
        <v/>
      </c>
      <c r="L382" s="14">
        <f>IF(OR('Data Entry'!A382="",$K382=""),"",$H382-$K382)</f>
        <v/>
      </c>
      <c r="M382" s="15">
        <f>IF(OR('Data Entry'!A382="",$K382="",$K382=0),"",$L382/$K382)</f>
        <v/>
      </c>
      <c r="N382" s="12">
        <f>IF('Data Entry'!A382="","",IF($L382="","New item",IF($L382&gt;0,"UP",IF($L382&lt;0,"down","same"))))</f>
        <v/>
      </c>
    </row>
    <row r="383">
      <c r="A383" s="11">
        <f>IF('Data Entry'!A383="","",'Data Entry'!A383)</f>
        <v/>
      </c>
      <c r="B383" s="12">
        <f>IF('Data Entry'!A383="","",'Data Entry'!B383)</f>
        <v/>
      </c>
      <c r="C383" s="12">
        <f>IF('Data Entry'!A383="","",'Data Entry'!C383)</f>
        <v/>
      </c>
      <c r="D383" s="12">
        <f>IF('Data Entry'!A383="","",'Data Entry'!D383)</f>
        <v/>
      </c>
      <c r="E383" s="12">
        <f>IF('Data Entry'!A383="","",'Data Entry'!E383)</f>
        <v/>
      </c>
      <c r="F383" s="12">
        <f>IF('Data Entry'!A383="","",'Data Entry'!F383)</f>
        <v/>
      </c>
      <c r="G383" s="13">
        <f>IF('Data Entry'!A383="","",'Data Entry'!G383)</f>
        <v/>
      </c>
      <c r="H383" s="10">
        <f>IF('Data Entry'!A383="","",'Data Entry'!H383)</f>
        <v/>
      </c>
      <c r="I383" s="10">
        <f>IF('Data Entry'!A383="","",'Data Entry'!I383)</f>
        <v/>
      </c>
      <c r="J383" s="12">
        <f>IF('Data Entry'!A383="","",IF('Data Entry'!D383&lt;&gt;"",'Data Entry'!D383,'Data Entry'!E383))</f>
        <v/>
      </c>
      <c r="K383" s="10">
        <f>IF('Data Entry'!A383="","",IFERROR(SUMIFS($H$5:$H$2001,$J$5:$J$2001,$J383,$B$5:$B$2001,$B383,$A$5:$A$2001,(MAXIFS($A$5:$A$2001,$J$5:$J$2001,$J383,$B$5:$B$2001,$B383,$A$5:$A$2001,"&lt;"&amp;$A383))),""))</f>
        <v/>
      </c>
      <c r="L383" s="14">
        <f>IF(OR('Data Entry'!A383="",$K383=""),"",$H383-$K383)</f>
        <v/>
      </c>
      <c r="M383" s="15">
        <f>IF(OR('Data Entry'!A383="",$K383="",$K383=0),"",$L383/$K383)</f>
        <v/>
      </c>
      <c r="N383" s="12">
        <f>IF('Data Entry'!A383="","",IF($L383="","New item",IF($L383&gt;0,"UP",IF($L383&lt;0,"down","same"))))</f>
        <v/>
      </c>
    </row>
    <row r="384">
      <c r="A384" s="11">
        <f>IF('Data Entry'!A384="","",'Data Entry'!A384)</f>
        <v/>
      </c>
      <c r="B384" s="12">
        <f>IF('Data Entry'!A384="","",'Data Entry'!B384)</f>
        <v/>
      </c>
      <c r="C384" s="12">
        <f>IF('Data Entry'!A384="","",'Data Entry'!C384)</f>
        <v/>
      </c>
      <c r="D384" s="12">
        <f>IF('Data Entry'!A384="","",'Data Entry'!D384)</f>
        <v/>
      </c>
      <c r="E384" s="12">
        <f>IF('Data Entry'!A384="","",'Data Entry'!E384)</f>
        <v/>
      </c>
      <c r="F384" s="12">
        <f>IF('Data Entry'!A384="","",'Data Entry'!F384)</f>
        <v/>
      </c>
      <c r="G384" s="13">
        <f>IF('Data Entry'!A384="","",'Data Entry'!G384)</f>
        <v/>
      </c>
      <c r="H384" s="10">
        <f>IF('Data Entry'!A384="","",'Data Entry'!H384)</f>
        <v/>
      </c>
      <c r="I384" s="10">
        <f>IF('Data Entry'!A384="","",'Data Entry'!I384)</f>
        <v/>
      </c>
      <c r="J384" s="12">
        <f>IF('Data Entry'!A384="","",IF('Data Entry'!D384&lt;&gt;"",'Data Entry'!D384,'Data Entry'!E384))</f>
        <v/>
      </c>
      <c r="K384" s="10">
        <f>IF('Data Entry'!A384="","",IFERROR(SUMIFS($H$5:$H$2001,$J$5:$J$2001,$J384,$B$5:$B$2001,$B384,$A$5:$A$2001,(MAXIFS($A$5:$A$2001,$J$5:$J$2001,$J384,$B$5:$B$2001,$B384,$A$5:$A$2001,"&lt;"&amp;$A384))),""))</f>
        <v/>
      </c>
      <c r="L384" s="14">
        <f>IF(OR('Data Entry'!A384="",$K384=""),"",$H384-$K384)</f>
        <v/>
      </c>
      <c r="M384" s="15">
        <f>IF(OR('Data Entry'!A384="",$K384="",$K384=0),"",$L384/$K384)</f>
        <v/>
      </c>
      <c r="N384" s="12">
        <f>IF('Data Entry'!A384="","",IF($L384="","New item",IF($L384&gt;0,"UP",IF($L384&lt;0,"down","same"))))</f>
        <v/>
      </c>
    </row>
    <row r="385">
      <c r="A385" s="11">
        <f>IF('Data Entry'!A385="","",'Data Entry'!A385)</f>
        <v/>
      </c>
      <c r="B385" s="12">
        <f>IF('Data Entry'!A385="","",'Data Entry'!B385)</f>
        <v/>
      </c>
      <c r="C385" s="12">
        <f>IF('Data Entry'!A385="","",'Data Entry'!C385)</f>
        <v/>
      </c>
      <c r="D385" s="12">
        <f>IF('Data Entry'!A385="","",'Data Entry'!D385)</f>
        <v/>
      </c>
      <c r="E385" s="12">
        <f>IF('Data Entry'!A385="","",'Data Entry'!E385)</f>
        <v/>
      </c>
      <c r="F385" s="12">
        <f>IF('Data Entry'!A385="","",'Data Entry'!F385)</f>
        <v/>
      </c>
      <c r="G385" s="13">
        <f>IF('Data Entry'!A385="","",'Data Entry'!G385)</f>
        <v/>
      </c>
      <c r="H385" s="10">
        <f>IF('Data Entry'!A385="","",'Data Entry'!H385)</f>
        <v/>
      </c>
      <c r="I385" s="10">
        <f>IF('Data Entry'!A385="","",'Data Entry'!I385)</f>
        <v/>
      </c>
      <c r="J385" s="12">
        <f>IF('Data Entry'!A385="","",IF('Data Entry'!D385&lt;&gt;"",'Data Entry'!D385,'Data Entry'!E385))</f>
        <v/>
      </c>
      <c r="K385" s="10">
        <f>IF('Data Entry'!A385="","",IFERROR(SUMIFS($H$5:$H$2001,$J$5:$J$2001,$J385,$B$5:$B$2001,$B385,$A$5:$A$2001,(MAXIFS($A$5:$A$2001,$J$5:$J$2001,$J385,$B$5:$B$2001,$B385,$A$5:$A$2001,"&lt;"&amp;$A385))),""))</f>
        <v/>
      </c>
      <c r="L385" s="14">
        <f>IF(OR('Data Entry'!A385="",$K385=""),"",$H385-$K385)</f>
        <v/>
      </c>
      <c r="M385" s="15">
        <f>IF(OR('Data Entry'!A385="",$K385="",$K385=0),"",$L385/$K385)</f>
        <v/>
      </c>
      <c r="N385" s="12">
        <f>IF('Data Entry'!A385="","",IF($L385="","New item",IF($L385&gt;0,"UP",IF($L385&lt;0,"down","same"))))</f>
        <v/>
      </c>
    </row>
    <row r="386">
      <c r="A386" s="11">
        <f>IF('Data Entry'!A386="","",'Data Entry'!A386)</f>
        <v/>
      </c>
      <c r="B386" s="12">
        <f>IF('Data Entry'!A386="","",'Data Entry'!B386)</f>
        <v/>
      </c>
      <c r="C386" s="12">
        <f>IF('Data Entry'!A386="","",'Data Entry'!C386)</f>
        <v/>
      </c>
      <c r="D386" s="12">
        <f>IF('Data Entry'!A386="","",'Data Entry'!D386)</f>
        <v/>
      </c>
      <c r="E386" s="12">
        <f>IF('Data Entry'!A386="","",'Data Entry'!E386)</f>
        <v/>
      </c>
      <c r="F386" s="12">
        <f>IF('Data Entry'!A386="","",'Data Entry'!F386)</f>
        <v/>
      </c>
      <c r="G386" s="13">
        <f>IF('Data Entry'!A386="","",'Data Entry'!G386)</f>
        <v/>
      </c>
      <c r="H386" s="10">
        <f>IF('Data Entry'!A386="","",'Data Entry'!H386)</f>
        <v/>
      </c>
      <c r="I386" s="10">
        <f>IF('Data Entry'!A386="","",'Data Entry'!I386)</f>
        <v/>
      </c>
      <c r="J386" s="12">
        <f>IF('Data Entry'!A386="","",IF('Data Entry'!D386&lt;&gt;"",'Data Entry'!D386,'Data Entry'!E386))</f>
        <v/>
      </c>
      <c r="K386" s="10">
        <f>IF('Data Entry'!A386="","",IFERROR(SUMIFS($H$5:$H$2001,$J$5:$J$2001,$J386,$B$5:$B$2001,$B386,$A$5:$A$2001,(MAXIFS($A$5:$A$2001,$J$5:$J$2001,$J386,$B$5:$B$2001,$B386,$A$5:$A$2001,"&lt;"&amp;$A386))),""))</f>
        <v/>
      </c>
      <c r="L386" s="14">
        <f>IF(OR('Data Entry'!A386="",$K386=""),"",$H386-$K386)</f>
        <v/>
      </c>
      <c r="M386" s="15">
        <f>IF(OR('Data Entry'!A386="",$K386="",$K386=0),"",$L386/$K386)</f>
        <v/>
      </c>
      <c r="N386" s="12">
        <f>IF('Data Entry'!A386="","",IF($L386="","New item",IF($L386&gt;0,"UP",IF($L386&lt;0,"down","same"))))</f>
        <v/>
      </c>
    </row>
    <row r="387">
      <c r="A387" s="11">
        <f>IF('Data Entry'!A387="","",'Data Entry'!A387)</f>
        <v/>
      </c>
      <c r="B387" s="12">
        <f>IF('Data Entry'!A387="","",'Data Entry'!B387)</f>
        <v/>
      </c>
      <c r="C387" s="12">
        <f>IF('Data Entry'!A387="","",'Data Entry'!C387)</f>
        <v/>
      </c>
      <c r="D387" s="12">
        <f>IF('Data Entry'!A387="","",'Data Entry'!D387)</f>
        <v/>
      </c>
      <c r="E387" s="12">
        <f>IF('Data Entry'!A387="","",'Data Entry'!E387)</f>
        <v/>
      </c>
      <c r="F387" s="12">
        <f>IF('Data Entry'!A387="","",'Data Entry'!F387)</f>
        <v/>
      </c>
      <c r="G387" s="13">
        <f>IF('Data Entry'!A387="","",'Data Entry'!G387)</f>
        <v/>
      </c>
      <c r="H387" s="10">
        <f>IF('Data Entry'!A387="","",'Data Entry'!H387)</f>
        <v/>
      </c>
      <c r="I387" s="10">
        <f>IF('Data Entry'!A387="","",'Data Entry'!I387)</f>
        <v/>
      </c>
      <c r="J387" s="12">
        <f>IF('Data Entry'!A387="","",IF('Data Entry'!D387&lt;&gt;"",'Data Entry'!D387,'Data Entry'!E387))</f>
        <v/>
      </c>
      <c r="K387" s="10">
        <f>IF('Data Entry'!A387="","",IFERROR(SUMIFS($H$5:$H$2001,$J$5:$J$2001,$J387,$B$5:$B$2001,$B387,$A$5:$A$2001,(MAXIFS($A$5:$A$2001,$J$5:$J$2001,$J387,$B$5:$B$2001,$B387,$A$5:$A$2001,"&lt;"&amp;$A387))),""))</f>
        <v/>
      </c>
      <c r="L387" s="14">
        <f>IF(OR('Data Entry'!A387="",$K387=""),"",$H387-$K387)</f>
        <v/>
      </c>
      <c r="M387" s="15">
        <f>IF(OR('Data Entry'!A387="",$K387="",$K387=0),"",$L387/$K387)</f>
        <v/>
      </c>
      <c r="N387" s="12">
        <f>IF('Data Entry'!A387="","",IF($L387="","New item",IF($L387&gt;0,"UP",IF($L387&lt;0,"down","same"))))</f>
        <v/>
      </c>
    </row>
    <row r="388">
      <c r="A388" s="11">
        <f>IF('Data Entry'!A388="","",'Data Entry'!A388)</f>
        <v/>
      </c>
      <c r="B388" s="12">
        <f>IF('Data Entry'!A388="","",'Data Entry'!B388)</f>
        <v/>
      </c>
      <c r="C388" s="12">
        <f>IF('Data Entry'!A388="","",'Data Entry'!C388)</f>
        <v/>
      </c>
      <c r="D388" s="12">
        <f>IF('Data Entry'!A388="","",'Data Entry'!D388)</f>
        <v/>
      </c>
      <c r="E388" s="12">
        <f>IF('Data Entry'!A388="","",'Data Entry'!E388)</f>
        <v/>
      </c>
      <c r="F388" s="12">
        <f>IF('Data Entry'!A388="","",'Data Entry'!F388)</f>
        <v/>
      </c>
      <c r="G388" s="13">
        <f>IF('Data Entry'!A388="","",'Data Entry'!G388)</f>
        <v/>
      </c>
      <c r="H388" s="10">
        <f>IF('Data Entry'!A388="","",'Data Entry'!H388)</f>
        <v/>
      </c>
      <c r="I388" s="10">
        <f>IF('Data Entry'!A388="","",'Data Entry'!I388)</f>
        <v/>
      </c>
      <c r="J388" s="12">
        <f>IF('Data Entry'!A388="","",IF('Data Entry'!D388&lt;&gt;"",'Data Entry'!D388,'Data Entry'!E388))</f>
        <v/>
      </c>
      <c r="K388" s="10">
        <f>IF('Data Entry'!A388="","",IFERROR(SUMIFS($H$5:$H$2001,$J$5:$J$2001,$J388,$B$5:$B$2001,$B388,$A$5:$A$2001,(MAXIFS($A$5:$A$2001,$J$5:$J$2001,$J388,$B$5:$B$2001,$B388,$A$5:$A$2001,"&lt;"&amp;$A388))),""))</f>
        <v/>
      </c>
      <c r="L388" s="14">
        <f>IF(OR('Data Entry'!A388="",$K388=""),"",$H388-$K388)</f>
        <v/>
      </c>
      <c r="M388" s="15">
        <f>IF(OR('Data Entry'!A388="",$K388="",$K388=0),"",$L388/$K388)</f>
        <v/>
      </c>
      <c r="N388" s="12">
        <f>IF('Data Entry'!A388="","",IF($L388="","New item",IF($L388&gt;0,"UP",IF($L388&lt;0,"down","same"))))</f>
        <v/>
      </c>
    </row>
    <row r="389">
      <c r="A389" s="11">
        <f>IF('Data Entry'!A389="","",'Data Entry'!A389)</f>
        <v/>
      </c>
      <c r="B389" s="12">
        <f>IF('Data Entry'!A389="","",'Data Entry'!B389)</f>
        <v/>
      </c>
      <c r="C389" s="12">
        <f>IF('Data Entry'!A389="","",'Data Entry'!C389)</f>
        <v/>
      </c>
      <c r="D389" s="12">
        <f>IF('Data Entry'!A389="","",'Data Entry'!D389)</f>
        <v/>
      </c>
      <c r="E389" s="12">
        <f>IF('Data Entry'!A389="","",'Data Entry'!E389)</f>
        <v/>
      </c>
      <c r="F389" s="12">
        <f>IF('Data Entry'!A389="","",'Data Entry'!F389)</f>
        <v/>
      </c>
      <c r="G389" s="13">
        <f>IF('Data Entry'!A389="","",'Data Entry'!G389)</f>
        <v/>
      </c>
      <c r="H389" s="10">
        <f>IF('Data Entry'!A389="","",'Data Entry'!H389)</f>
        <v/>
      </c>
      <c r="I389" s="10">
        <f>IF('Data Entry'!A389="","",'Data Entry'!I389)</f>
        <v/>
      </c>
      <c r="J389" s="12">
        <f>IF('Data Entry'!A389="","",IF('Data Entry'!D389&lt;&gt;"",'Data Entry'!D389,'Data Entry'!E389))</f>
        <v/>
      </c>
      <c r="K389" s="10">
        <f>IF('Data Entry'!A389="","",IFERROR(SUMIFS($H$5:$H$2001,$J$5:$J$2001,$J389,$B$5:$B$2001,$B389,$A$5:$A$2001,(MAXIFS($A$5:$A$2001,$J$5:$J$2001,$J389,$B$5:$B$2001,$B389,$A$5:$A$2001,"&lt;"&amp;$A389))),""))</f>
        <v/>
      </c>
      <c r="L389" s="14">
        <f>IF(OR('Data Entry'!A389="",$K389=""),"",$H389-$K389)</f>
        <v/>
      </c>
      <c r="M389" s="15">
        <f>IF(OR('Data Entry'!A389="",$K389="",$K389=0),"",$L389/$K389)</f>
        <v/>
      </c>
      <c r="N389" s="12">
        <f>IF('Data Entry'!A389="","",IF($L389="","New item",IF($L389&gt;0,"UP",IF($L389&lt;0,"down","same"))))</f>
        <v/>
      </c>
    </row>
    <row r="390">
      <c r="A390" s="11">
        <f>IF('Data Entry'!A390="","",'Data Entry'!A390)</f>
        <v/>
      </c>
      <c r="B390" s="12">
        <f>IF('Data Entry'!A390="","",'Data Entry'!B390)</f>
        <v/>
      </c>
      <c r="C390" s="12">
        <f>IF('Data Entry'!A390="","",'Data Entry'!C390)</f>
        <v/>
      </c>
      <c r="D390" s="12">
        <f>IF('Data Entry'!A390="","",'Data Entry'!D390)</f>
        <v/>
      </c>
      <c r="E390" s="12">
        <f>IF('Data Entry'!A390="","",'Data Entry'!E390)</f>
        <v/>
      </c>
      <c r="F390" s="12">
        <f>IF('Data Entry'!A390="","",'Data Entry'!F390)</f>
        <v/>
      </c>
      <c r="G390" s="13">
        <f>IF('Data Entry'!A390="","",'Data Entry'!G390)</f>
        <v/>
      </c>
      <c r="H390" s="10">
        <f>IF('Data Entry'!A390="","",'Data Entry'!H390)</f>
        <v/>
      </c>
      <c r="I390" s="10">
        <f>IF('Data Entry'!A390="","",'Data Entry'!I390)</f>
        <v/>
      </c>
      <c r="J390" s="12">
        <f>IF('Data Entry'!A390="","",IF('Data Entry'!D390&lt;&gt;"",'Data Entry'!D390,'Data Entry'!E390))</f>
        <v/>
      </c>
      <c r="K390" s="10">
        <f>IF('Data Entry'!A390="","",IFERROR(SUMIFS($H$5:$H$2001,$J$5:$J$2001,$J390,$B$5:$B$2001,$B390,$A$5:$A$2001,(MAXIFS($A$5:$A$2001,$J$5:$J$2001,$J390,$B$5:$B$2001,$B390,$A$5:$A$2001,"&lt;"&amp;$A390))),""))</f>
        <v/>
      </c>
      <c r="L390" s="14">
        <f>IF(OR('Data Entry'!A390="",$K390=""),"",$H390-$K390)</f>
        <v/>
      </c>
      <c r="M390" s="15">
        <f>IF(OR('Data Entry'!A390="",$K390="",$K390=0),"",$L390/$K390)</f>
        <v/>
      </c>
      <c r="N390" s="12">
        <f>IF('Data Entry'!A390="","",IF($L390="","New item",IF($L390&gt;0,"UP",IF($L390&lt;0,"down","same"))))</f>
        <v/>
      </c>
    </row>
    <row r="391">
      <c r="A391" s="11">
        <f>IF('Data Entry'!A391="","",'Data Entry'!A391)</f>
        <v/>
      </c>
      <c r="B391" s="12">
        <f>IF('Data Entry'!A391="","",'Data Entry'!B391)</f>
        <v/>
      </c>
      <c r="C391" s="12">
        <f>IF('Data Entry'!A391="","",'Data Entry'!C391)</f>
        <v/>
      </c>
      <c r="D391" s="12">
        <f>IF('Data Entry'!A391="","",'Data Entry'!D391)</f>
        <v/>
      </c>
      <c r="E391" s="12">
        <f>IF('Data Entry'!A391="","",'Data Entry'!E391)</f>
        <v/>
      </c>
      <c r="F391" s="12">
        <f>IF('Data Entry'!A391="","",'Data Entry'!F391)</f>
        <v/>
      </c>
      <c r="G391" s="13">
        <f>IF('Data Entry'!A391="","",'Data Entry'!G391)</f>
        <v/>
      </c>
      <c r="H391" s="10">
        <f>IF('Data Entry'!A391="","",'Data Entry'!H391)</f>
        <v/>
      </c>
      <c r="I391" s="10">
        <f>IF('Data Entry'!A391="","",'Data Entry'!I391)</f>
        <v/>
      </c>
      <c r="J391" s="12">
        <f>IF('Data Entry'!A391="","",IF('Data Entry'!D391&lt;&gt;"",'Data Entry'!D391,'Data Entry'!E391))</f>
        <v/>
      </c>
      <c r="K391" s="10">
        <f>IF('Data Entry'!A391="","",IFERROR(SUMIFS($H$5:$H$2001,$J$5:$J$2001,$J391,$B$5:$B$2001,$B391,$A$5:$A$2001,(MAXIFS($A$5:$A$2001,$J$5:$J$2001,$J391,$B$5:$B$2001,$B391,$A$5:$A$2001,"&lt;"&amp;$A391))),""))</f>
        <v/>
      </c>
      <c r="L391" s="14">
        <f>IF(OR('Data Entry'!A391="",$K391=""),"",$H391-$K391)</f>
        <v/>
      </c>
      <c r="M391" s="15">
        <f>IF(OR('Data Entry'!A391="",$K391="",$K391=0),"",$L391/$K391)</f>
        <v/>
      </c>
      <c r="N391" s="12">
        <f>IF('Data Entry'!A391="","",IF($L391="","New item",IF($L391&gt;0,"UP",IF($L391&lt;0,"down","same"))))</f>
        <v/>
      </c>
    </row>
    <row r="392">
      <c r="A392" s="11">
        <f>IF('Data Entry'!A392="","",'Data Entry'!A392)</f>
        <v/>
      </c>
      <c r="B392" s="12">
        <f>IF('Data Entry'!A392="","",'Data Entry'!B392)</f>
        <v/>
      </c>
      <c r="C392" s="12">
        <f>IF('Data Entry'!A392="","",'Data Entry'!C392)</f>
        <v/>
      </c>
      <c r="D392" s="12">
        <f>IF('Data Entry'!A392="","",'Data Entry'!D392)</f>
        <v/>
      </c>
      <c r="E392" s="12">
        <f>IF('Data Entry'!A392="","",'Data Entry'!E392)</f>
        <v/>
      </c>
      <c r="F392" s="12">
        <f>IF('Data Entry'!A392="","",'Data Entry'!F392)</f>
        <v/>
      </c>
      <c r="G392" s="13">
        <f>IF('Data Entry'!A392="","",'Data Entry'!G392)</f>
        <v/>
      </c>
      <c r="H392" s="10">
        <f>IF('Data Entry'!A392="","",'Data Entry'!H392)</f>
        <v/>
      </c>
      <c r="I392" s="10">
        <f>IF('Data Entry'!A392="","",'Data Entry'!I392)</f>
        <v/>
      </c>
      <c r="J392" s="12">
        <f>IF('Data Entry'!A392="","",IF('Data Entry'!D392&lt;&gt;"",'Data Entry'!D392,'Data Entry'!E392))</f>
        <v/>
      </c>
      <c r="K392" s="10">
        <f>IF('Data Entry'!A392="","",IFERROR(SUMIFS($H$5:$H$2001,$J$5:$J$2001,$J392,$B$5:$B$2001,$B392,$A$5:$A$2001,(MAXIFS($A$5:$A$2001,$J$5:$J$2001,$J392,$B$5:$B$2001,$B392,$A$5:$A$2001,"&lt;"&amp;$A392))),""))</f>
        <v/>
      </c>
      <c r="L392" s="14">
        <f>IF(OR('Data Entry'!A392="",$K392=""),"",$H392-$K392)</f>
        <v/>
      </c>
      <c r="M392" s="15">
        <f>IF(OR('Data Entry'!A392="",$K392="",$K392=0),"",$L392/$K392)</f>
        <v/>
      </c>
      <c r="N392" s="12">
        <f>IF('Data Entry'!A392="","",IF($L392="","New item",IF($L392&gt;0,"UP",IF($L392&lt;0,"down","same"))))</f>
        <v/>
      </c>
    </row>
    <row r="393">
      <c r="A393" s="11">
        <f>IF('Data Entry'!A393="","",'Data Entry'!A393)</f>
        <v/>
      </c>
      <c r="B393" s="12">
        <f>IF('Data Entry'!A393="","",'Data Entry'!B393)</f>
        <v/>
      </c>
      <c r="C393" s="12">
        <f>IF('Data Entry'!A393="","",'Data Entry'!C393)</f>
        <v/>
      </c>
      <c r="D393" s="12">
        <f>IF('Data Entry'!A393="","",'Data Entry'!D393)</f>
        <v/>
      </c>
      <c r="E393" s="12">
        <f>IF('Data Entry'!A393="","",'Data Entry'!E393)</f>
        <v/>
      </c>
      <c r="F393" s="12">
        <f>IF('Data Entry'!A393="","",'Data Entry'!F393)</f>
        <v/>
      </c>
      <c r="G393" s="13">
        <f>IF('Data Entry'!A393="","",'Data Entry'!G393)</f>
        <v/>
      </c>
      <c r="H393" s="10">
        <f>IF('Data Entry'!A393="","",'Data Entry'!H393)</f>
        <v/>
      </c>
      <c r="I393" s="10">
        <f>IF('Data Entry'!A393="","",'Data Entry'!I393)</f>
        <v/>
      </c>
      <c r="J393" s="12">
        <f>IF('Data Entry'!A393="","",IF('Data Entry'!D393&lt;&gt;"",'Data Entry'!D393,'Data Entry'!E393))</f>
        <v/>
      </c>
      <c r="K393" s="10">
        <f>IF('Data Entry'!A393="","",IFERROR(SUMIFS($H$5:$H$2001,$J$5:$J$2001,$J393,$B$5:$B$2001,$B393,$A$5:$A$2001,(MAXIFS($A$5:$A$2001,$J$5:$J$2001,$J393,$B$5:$B$2001,$B393,$A$5:$A$2001,"&lt;"&amp;$A393))),""))</f>
        <v/>
      </c>
      <c r="L393" s="14">
        <f>IF(OR('Data Entry'!A393="",$K393=""),"",$H393-$K393)</f>
        <v/>
      </c>
      <c r="M393" s="15">
        <f>IF(OR('Data Entry'!A393="",$K393="",$K393=0),"",$L393/$K393)</f>
        <v/>
      </c>
      <c r="N393" s="12">
        <f>IF('Data Entry'!A393="","",IF($L393="","New item",IF($L393&gt;0,"UP",IF($L393&lt;0,"down","same"))))</f>
        <v/>
      </c>
    </row>
    <row r="394">
      <c r="A394" s="11">
        <f>IF('Data Entry'!A394="","",'Data Entry'!A394)</f>
        <v/>
      </c>
      <c r="B394" s="12">
        <f>IF('Data Entry'!A394="","",'Data Entry'!B394)</f>
        <v/>
      </c>
      <c r="C394" s="12">
        <f>IF('Data Entry'!A394="","",'Data Entry'!C394)</f>
        <v/>
      </c>
      <c r="D394" s="12">
        <f>IF('Data Entry'!A394="","",'Data Entry'!D394)</f>
        <v/>
      </c>
      <c r="E394" s="12">
        <f>IF('Data Entry'!A394="","",'Data Entry'!E394)</f>
        <v/>
      </c>
      <c r="F394" s="12">
        <f>IF('Data Entry'!A394="","",'Data Entry'!F394)</f>
        <v/>
      </c>
      <c r="G394" s="13">
        <f>IF('Data Entry'!A394="","",'Data Entry'!G394)</f>
        <v/>
      </c>
      <c r="H394" s="10">
        <f>IF('Data Entry'!A394="","",'Data Entry'!H394)</f>
        <v/>
      </c>
      <c r="I394" s="10">
        <f>IF('Data Entry'!A394="","",'Data Entry'!I394)</f>
        <v/>
      </c>
      <c r="J394" s="12">
        <f>IF('Data Entry'!A394="","",IF('Data Entry'!D394&lt;&gt;"",'Data Entry'!D394,'Data Entry'!E394))</f>
        <v/>
      </c>
      <c r="K394" s="10">
        <f>IF('Data Entry'!A394="","",IFERROR(SUMIFS($H$5:$H$2001,$J$5:$J$2001,$J394,$B$5:$B$2001,$B394,$A$5:$A$2001,(MAXIFS($A$5:$A$2001,$J$5:$J$2001,$J394,$B$5:$B$2001,$B394,$A$5:$A$2001,"&lt;"&amp;$A394))),""))</f>
        <v/>
      </c>
      <c r="L394" s="14">
        <f>IF(OR('Data Entry'!A394="",$K394=""),"",$H394-$K394)</f>
        <v/>
      </c>
      <c r="M394" s="15">
        <f>IF(OR('Data Entry'!A394="",$K394="",$K394=0),"",$L394/$K394)</f>
        <v/>
      </c>
      <c r="N394" s="12">
        <f>IF('Data Entry'!A394="","",IF($L394="","New item",IF($L394&gt;0,"UP",IF($L394&lt;0,"down","same"))))</f>
        <v/>
      </c>
    </row>
    <row r="395">
      <c r="A395" s="11">
        <f>IF('Data Entry'!A395="","",'Data Entry'!A395)</f>
        <v/>
      </c>
      <c r="B395" s="12">
        <f>IF('Data Entry'!A395="","",'Data Entry'!B395)</f>
        <v/>
      </c>
      <c r="C395" s="12">
        <f>IF('Data Entry'!A395="","",'Data Entry'!C395)</f>
        <v/>
      </c>
      <c r="D395" s="12">
        <f>IF('Data Entry'!A395="","",'Data Entry'!D395)</f>
        <v/>
      </c>
      <c r="E395" s="12">
        <f>IF('Data Entry'!A395="","",'Data Entry'!E395)</f>
        <v/>
      </c>
      <c r="F395" s="12">
        <f>IF('Data Entry'!A395="","",'Data Entry'!F395)</f>
        <v/>
      </c>
      <c r="G395" s="13">
        <f>IF('Data Entry'!A395="","",'Data Entry'!G395)</f>
        <v/>
      </c>
      <c r="H395" s="10">
        <f>IF('Data Entry'!A395="","",'Data Entry'!H395)</f>
        <v/>
      </c>
      <c r="I395" s="10">
        <f>IF('Data Entry'!A395="","",'Data Entry'!I395)</f>
        <v/>
      </c>
      <c r="J395" s="12">
        <f>IF('Data Entry'!A395="","",IF('Data Entry'!D395&lt;&gt;"",'Data Entry'!D395,'Data Entry'!E395))</f>
        <v/>
      </c>
      <c r="K395" s="10">
        <f>IF('Data Entry'!A395="","",IFERROR(SUMIFS($H$5:$H$2001,$J$5:$J$2001,$J395,$B$5:$B$2001,$B395,$A$5:$A$2001,(MAXIFS($A$5:$A$2001,$J$5:$J$2001,$J395,$B$5:$B$2001,$B395,$A$5:$A$2001,"&lt;"&amp;$A395))),""))</f>
        <v/>
      </c>
      <c r="L395" s="14">
        <f>IF(OR('Data Entry'!A395="",$K395=""),"",$H395-$K395)</f>
        <v/>
      </c>
      <c r="M395" s="15">
        <f>IF(OR('Data Entry'!A395="",$K395="",$K395=0),"",$L395/$K395)</f>
        <v/>
      </c>
      <c r="N395" s="12">
        <f>IF('Data Entry'!A395="","",IF($L395="","New item",IF($L395&gt;0,"UP",IF($L395&lt;0,"down","same"))))</f>
        <v/>
      </c>
    </row>
    <row r="396">
      <c r="A396" s="11">
        <f>IF('Data Entry'!A396="","",'Data Entry'!A396)</f>
        <v/>
      </c>
      <c r="B396" s="12">
        <f>IF('Data Entry'!A396="","",'Data Entry'!B396)</f>
        <v/>
      </c>
      <c r="C396" s="12">
        <f>IF('Data Entry'!A396="","",'Data Entry'!C396)</f>
        <v/>
      </c>
      <c r="D396" s="12">
        <f>IF('Data Entry'!A396="","",'Data Entry'!D396)</f>
        <v/>
      </c>
      <c r="E396" s="12">
        <f>IF('Data Entry'!A396="","",'Data Entry'!E396)</f>
        <v/>
      </c>
      <c r="F396" s="12">
        <f>IF('Data Entry'!A396="","",'Data Entry'!F396)</f>
        <v/>
      </c>
      <c r="G396" s="13">
        <f>IF('Data Entry'!A396="","",'Data Entry'!G396)</f>
        <v/>
      </c>
      <c r="H396" s="10">
        <f>IF('Data Entry'!A396="","",'Data Entry'!H396)</f>
        <v/>
      </c>
      <c r="I396" s="10">
        <f>IF('Data Entry'!A396="","",'Data Entry'!I396)</f>
        <v/>
      </c>
      <c r="J396" s="12">
        <f>IF('Data Entry'!A396="","",IF('Data Entry'!D396&lt;&gt;"",'Data Entry'!D396,'Data Entry'!E396))</f>
        <v/>
      </c>
      <c r="K396" s="10">
        <f>IF('Data Entry'!A396="","",IFERROR(SUMIFS($H$5:$H$2001,$J$5:$J$2001,$J396,$B$5:$B$2001,$B396,$A$5:$A$2001,(MAXIFS($A$5:$A$2001,$J$5:$J$2001,$J396,$B$5:$B$2001,$B396,$A$5:$A$2001,"&lt;"&amp;$A396))),""))</f>
        <v/>
      </c>
      <c r="L396" s="14">
        <f>IF(OR('Data Entry'!A396="",$K396=""),"",$H396-$K396)</f>
        <v/>
      </c>
      <c r="M396" s="15">
        <f>IF(OR('Data Entry'!A396="",$K396="",$K396=0),"",$L396/$K396)</f>
        <v/>
      </c>
      <c r="N396" s="12">
        <f>IF('Data Entry'!A396="","",IF($L396="","New item",IF($L396&gt;0,"UP",IF($L396&lt;0,"down","same"))))</f>
        <v/>
      </c>
    </row>
    <row r="397">
      <c r="A397" s="11">
        <f>IF('Data Entry'!A397="","",'Data Entry'!A397)</f>
        <v/>
      </c>
      <c r="B397" s="12">
        <f>IF('Data Entry'!A397="","",'Data Entry'!B397)</f>
        <v/>
      </c>
      <c r="C397" s="12">
        <f>IF('Data Entry'!A397="","",'Data Entry'!C397)</f>
        <v/>
      </c>
      <c r="D397" s="12">
        <f>IF('Data Entry'!A397="","",'Data Entry'!D397)</f>
        <v/>
      </c>
      <c r="E397" s="12">
        <f>IF('Data Entry'!A397="","",'Data Entry'!E397)</f>
        <v/>
      </c>
      <c r="F397" s="12">
        <f>IF('Data Entry'!A397="","",'Data Entry'!F397)</f>
        <v/>
      </c>
      <c r="G397" s="13">
        <f>IF('Data Entry'!A397="","",'Data Entry'!G397)</f>
        <v/>
      </c>
      <c r="H397" s="10">
        <f>IF('Data Entry'!A397="","",'Data Entry'!H397)</f>
        <v/>
      </c>
      <c r="I397" s="10">
        <f>IF('Data Entry'!A397="","",'Data Entry'!I397)</f>
        <v/>
      </c>
      <c r="J397" s="12">
        <f>IF('Data Entry'!A397="","",IF('Data Entry'!D397&lt;&gt;"",'Data Entry'!D397,'Data Entry'!E397))</f>
        <v/>
      </c>
      <c r="K397" s="10">
        <f>IF('Data Entry'!A397="","",IFERROR(SUMIFS($H$5:$H$2001,$J$5:$J$2001,$J397,$B$5:$B$2001,$B397,$A$5:$A$2001,(MAXIFS($A$5:$A$2001,$J$5:$J$2001,$J397,$B$5:$B$2001,$B397,$A$5:$A$2001,"&lt;"&amp;$A397))),""))</f>
        <v/>
      </c>
      <c r="L397" s="14">
        <f>IF(OR('Data Entry'!A397="",$K397=""),"",$H397-$K397)</f>
        <v/>
      </c>
      <c r="M397" s="15">
        <f>IF(OR('Data Entry'!A397="",$K397="",$K397=0),"",$L397/$K397)</f>
        <v/>
      </c>
      <c r="N397" s="12">
        <f>IF('Data Entry'!A397="","",IF($L397="","New item",IF($L397&gt;0,"UP",IF($L397&lt;0,"down","same"))))</f>
        <v/>
      </c>
    </row>
    <row r="398">
      <c r="A398" s="11">
        <f>IF('Data Entry'!A398="","",'Data Entry'!A398)</f>
        <v/>
      </c>
      <c r="B398" s="12">
        <f>IF('Data Entry'!A398="","",'Data Entry'!B398)</f>
        <v/>
      </c>
      <c r="C398" s="12">
        <f>IF('Data Entry'!A398="","",'Data Entry'!C398)</f>
        <v/>
      </c>
      <c r="D398" s="12">
        <f>IF('Data Entry'!A398="","",'Data Entry'!D398)</f>
        <v/>
      </c>
      <c r="E398" s="12">
        <f>IF('Data Entry'!A398="","",'Data Entry'!E398)</f>
        <v/>
      </c>
      <c r="F398" s="12">
        <f>IF('Data Entry'!A398="","",'Data Entry'!F398)</f>
        <v/>
      </c>
      <c r="G398" s="13">
        <f>IF('Data Entry'!A398="","",'Data Entry'!G398)</f>
        <v/>
      </c>
      <c r="H398" s="10">
        <f>IF('Data Entry'!A398="","",'Data Entry'!H398)</f>
        <v/>
      </c>
      <c r="I398" s="10">
        <f>IF('Data Entry'!A398="","",'Data Entry'!I398)</f>
        <v/>
      </c>
      <c r="J398" s="12">
        <f>IF('Data Entry'!A398="","",IF('Data Entry'!D398&lt;&gt;"",'Data Entry'!D398,'Data Entry'!E398))</f>
        <v/>
      </c>
      <c r="K398" s="10">
        <f>IF('Data Entry'!A398="","",IFERROR(SUMIFS($H$5:$H$2001,$J$5:$J$2001,$J398,$B$5:$B$2001,$B398,$A$5:$A$2001,(MAXIFS($A$5:$A$2001,$J$5:$J$2001,$J398,$B$5:$B$2001,$B398,$A$5:$A$2001,"&lt;"&amp;$A398))),""))</f>
        <v/>
      </c>
      <c r="L398" s="14">
        <f>IF(OR('Data Entry'!A398="",$K398=""),"",$H398-$K398)</f>
        <v/>
      </c>
      <c r="M398" s="15">
        <f>IF(OR('Data Entry'!A398="",$K398="",$K398=0),"",$L398/$K398)</f>
        <v/>
      </c>
      <c r="N398" s="12">
        <f>IF('Data Entry'!A398="","",IF($L398="","New item",IF($L398&gt;0,"UP",IF($L398&lt;0,"down","same"))))</f>
        <v/>
      </c>
    </row>
    <row r="399">
      <c r="A399" s="11">
        <f>IF('Data Entry'!A399="","",'Data Entry'!A399)</f>
        <v/>
      </c>
      <c r="B399" s="12">
        <f>IF('Data Entry'!A399="","",'Data Entry'!B399)</f>
        <v/>
      </c>
      <c r="C399" s="12">
        <f>IF('Data Entry'!A399="","",'Data Entry'!C399)</f>
        <v/>
      </c>
      <c r="D399" s="12">
        <f>IF('Data Entry'!A399="","",'Data Entry'!D399)</f>
        <v/>
      </c>
      <c r="E399" s="12">
        <f>IF('Data Entry'!A399="","",'Data Entry'!E399)</f>
        <v/>
      </c>
      <c r="F399" s="12">
        <f>IF('Data Entry'!A399="","",'Data Entry'!F399)</f>
        <v/>
      </c>
      <c r="G399" s="13">
        <f>IF('Data Entry'!A399="","",'Data Entry'!G399)</f>
        <v/>
      </c>
      <c r="H399" s="10">
        <f>IF('Data Entry'!A399="","",'Data Entry'!H399)</f>
        <v/>
      </c>
      <c r="I399" s="10">
        <f>IF('Data Entry'!A399="","",'Data Entry'!I399)</f>
        <v/>
      </c>
      <c r="J399" s="12">
        <f>IF('Data Entry'!A399="","",IF('Data Entry'!D399&lt;&gt;"",'Data Entry'!D399,'Data Entry'!E399))</f>
        <v/>
      </c>
      <c r="K399" s="10">
        <f>IF('Data Entry'!A399="","",IFERROR(SUMIFS($H$5:$H$2001,$J$5:$J$2001,$J399,$B$5:$B$2001,$B399,$A$5:$A$2001,(MAXIFS($A$5:$A$2001,$J$5:$J$2001,$J399,$B$5:$B$2001,$B399,$A$5:$A$2001,"&lt;"&amp;$A399))),""))</f>
        <v/>
      </c>
      <c r="L399" s="14">
        <f>IF(OR('Data Entry'!A399="",$K399=""),"",$H399-$K399)</f>
        <v/>
      </c>
      <c r="M399" s="15">
        <f>IF(OR('Data Entry'!A399="",$K399="",$K399=0),"",$L399/$K399)</f>
        <v/>
      </c>
      <c r="N399" s="12">
        <f>IF('Data Entry'!A399="","",IF($L399="","New item",IF($L399&gt;0,"UP",IF($L399&lt;0,"down","same"))))</f>
        <v/>
      </c>
    </row>
    <row r="400">
      <c r="A400" s="11">
        <f>IF('Data Entry'!A400="","",'Data Entry'!A400)</f>
        <v/>
      </c>
      <c r="B400" s="12">
        <f>IF('Data Entry'!A400="","",'Data Entry'!B400)</f>
        <v/>
      </c>
      <c r="C400" s="12">
        <f>IF('Data Entry'!A400="","",'Data Entry'!C400)</f>
        <v/>
      </c>
      <c r="D400" s="12">
        <f>IF('Data Entry'!A400="","",'Data Entry'!D400)</f>
        <v/>
      </c>
      <c r="E400" s="12">
        <f>IF('Data Entry'!A400="","",'Data Entry'!E400)</f>
        <v/>
      </c>
      <c r="F400" s="12">
        <f>IF('Data Entry'!A400="","",'Data Entry'!F400)</f>
        <v/>
      </c>
      <c r="G400" s="13">
        <f>IF('Data Entry'!A400="","",'Data Entry'!G400)</f>
        <v/>
      </c>
      <c r="H400" s="10">
        <f>IF('Data Entry'!A400="","",'Data Entry'!H400)</f>
        <v/>
      </c>
      <c r="I400" s="10">
        <f>IF('Data Entry'!A400="","",'Data Entry'!I400)</f>
        <v/>
      </c>
      <c r="J400" s="12">
        <f>IF('Data Entry'!A400="","",IF('Data Entry'!D400&lt;&gt;"",'Data Entry'!D400,'Data Entry'!E400))</f>
        <v/>
      </c>
      <c r="K400" s="10">
        <f>IF('Data Entry'!A400="","",IFERROR(SUMIFS($H$5:$H$2001,$J$5:$J$2001,$J400,$B$5:$B$2001,$B400,$A$5:$A$2001,(MAXIFS($A$5:$A$2001,$J$5:$J$2001,$J400,$B$5:$B$2001,$B400,$A$5:$A$2001,"&lt;"&amp;$A400))),""))</f>
        <v/>
      </c>
      <c r="L400" s="14">
        <f>IF(OR('Data Entry'!A400="",$K400=""),"",$H400-$K400)</f>
        <v/>
      </c>
      <c r="M400" s="15">
        <f>IF(OR('Data Entry'!A400="",$K400="",$K400=0),"",$L400/$K400)</f>
        <v/>
      </c>
      <c r="N400" s="12">
        <f>IF('Data Entry'!A400="","",IF($L400="","New item",IF($L400&gt;0,"UP",IF($L400&lt;0,"down","same"))))</f>
        <v/>
      </c>
    </row>
    <row r="401">
      <c r="A401" s="11">
        <f>IF('Data Entry'!A401="","",'Data Entry'!A401)</f>
        <v/>
      </c>
      <c r="B401" s="12">
        <f>IF('Data Entry'!A401="","",'Data Entry'!B401)</f>
        <v/>
      </c>
      <c r="C401" s="12">
        <f>IF('Data Entry'!A401="","",'Data Entry'!C401)</f>
        <v/>
      </c>
      <c r="D401" s="12">
        <f>IF('Data Entry'!A401="","",'Data Entry'!D401)</f>
        <v/>
      </c>
      <c r="E401" s="12">
        <f>IF('Data Entry'!A401="","",'Data Entry'!E401)</f>
        <v/>
      </c>
      <c r="F401" s="12">
        <f>IF('Data Entry'!A401="","",'Data Entry'!F401)</f>
        <v/>
      </c>
      <c r="G401" s="13">
        <f>IF('Data Entry'!A401="","",'Data Entry'!G401)</f>
        <v/>
      </c>
      <c r="H401" s="10">
        <f>IF('Data Entry'!A401="","",'Data Entry'!H401)</f>
        <v/>
      </c>
      <c r="I401" s="10">
        <f>IF('Data Entry'!A401="","",'Data Entry'!I401)</f>
        <v/>
      </c>
      <c r="J401" s="12">
        <f>IF('Data Entry'!A401="","",IF('Data Entry'!D401&lt;&gt;"",'Data Entry'!D401,'Data Entry'!E401))</f>
        <v/>
      </c>
      <c r="K401" s="10">
        <f>IF('Data Entry'!A401="","",IFERROR(SUMIFS($H$5:$H$2001,$J$5:$J$2001,$J401,$B$5:$B$2001,$B401,$A$5:$A$2001,(MAXIFS($A$5:$A$2001,$J$5:$J$2001,$J401,$B$5:$B$2001,$B401,$A$5:$A$2001,"&lt;"&amp;$A401))),""))</f>
        <v/>
      </c>
      <c r="L401" s="14">
        <f>IF(OR('Data Entry'!A401="",$K401=""),"",$H401-$K401)</f>
        <v/>
      </c>
      <c r="M401" s="15">
        <f>IF(OR('Data Entry'!A401="",$K401="",$K401=0),"",$L401/$K401)</f>
        <v/>
      </c>
      <c r="N401" s="12">
        <f>IF('Data Entry'!A401="","",IF($L401="","New item",IF($L401&gt;0,"UP",IF($L401&lt;0,"down","same"))))</f>
        <v/>
      </c>
    </row>
    <row r="402">
      <c r="A402" s="11">
        <f>IF('Data Entry'!A402="","",'Data Entry'!A402)</f>
        <v/>
      </c>
      <c r="B402" s="12">
        <f>IF('Data Entry'!A402="","",'Data Entry'!B402)</f>
        <v/>
      </c>
      <c r="C402" s="12">
        <f>IF('Data Entry'!A402="","",'Data Entry'!C402)</f>
        <v/>
      </c>
      <c r="D402" s="12">
        <f>IF('Data Entry'!A402="","",'Data Entry'!D402)</f>
        <v/>
      </c>
      <c r="E402" s="12">
        <f>IF('Data Entry'!A402="","",'Data Entry'!E402)</f>
        <v/>
      </c>
      <c r="F402" s="12">
        <f>IF('Data Entry'!A402="","",'Data Entry'!F402)</f>
        <v/>
      </c>
      <c r="G402" s="13">
        <f>IF('Data Entry'!A402="","",'Data Entry'!G402)</f>
        <v/>
      </c>
      <c r="H402" s="10">
        <f>IF('Data Entry'!A402="","",'Data Entry'!H402)</f>
        <v/>
      </c>
      <c r="I402" s="10">
        <f>IF('Data Entry'!A402="","",'Data Entry'!I402)</f>
        <v/>
      </c>
      <c r="J402" s="12">
        <f>IF('Data Entry'!A402="","",IF('Data Entry'!D402&lt;&gt;"",'Data Entry'!D402,'Data Entry'!E402))</f>
        <v/>
      </c>
      <c r="K402" s="10">
        <f>IF('Data Entry'!A402="","",IFERROR(SUMIFS($H$5:$H$2001,$J$5:$J$2001,$J402,$B$5:$B$2001,$B402,$A$5:$A$2001,(MAXIFS($A$5:$A$2001,$J$5:$J$2001,$J402,$B$5:$B$2001,$B402,$A$5:$A$2001,"&lt;"&amp;$A402))),""))</f>
        <v/>
      </c>
      <c r="L402" s="14">
        <f>IF(OR('Data Entry'!A402="",$K402=""),"",$H402-$K402)</f>
        <v/>
      </c>
      <c r="M402" s="15">
        <f>IF(OR('Data Entry'!A402="",$K402="",$K402=0),"",$L402/$K402)</f>
        <v/>
      </c>
      <c r="N402" s="12">
        <f>IF('Data Entry'!A402="","",IF($L402="","New item",IF($L402&gt;0,"UP",IF($L402&lt;0,"down","same"))))</f>
        <v/>
      </c>
    </row>
    <row r="403">
      <c r="A403" s="11">
        <f>IF('Data Entry'!A403="","",'Data Entry'!A403)</f>
        <v/>
      </c>
      <c r="B403" s="12">
        <f>IF('Data Entry'!A403="","",'Data Entry'!B403)</f>
        <v/>
      </c>
      <c r="C403" s="12">
        <f>IF('Data Entry'!A403="","",'Data Entry'!C403)</f>
        <v/>
      </c>
      <c r="D403" s="12">
        <f>IF('Data Entry'!A403="","",'Data Entry'!D403)</f>
        <v/>
      </c>
      <c r="E403" s="12">
        <f>IF('Data Entry'!A403="","",'Data Entry'!E403)</f>
        <v/>
      </c>
      <c r="F403" s="12">
        <f>IF('Data Entry'!A403="","",'Data Entry'!F403)</f>
        <v/>
      </c>
      <c r="G403" s="13">
        <f>IF('Data Entry'!A403="","",'Data Entry'!G403)</f>
        <v/>
      </c>
      <c r="H403" s="10">
        <f>IF('Data Entry'!A403="","",'Data Entry'!H403)</f>
        <v/>
      </c>
      <c r="I403" s="10">
        <f>IF('Data Entry'!A403="","",'Data Entry'!I403)</f>
        <v/>
      </c>
      <c r="J403" s="12">
        <f>IF('Data Entry'!A403="","",IF('Data Entry'!D403&lt;&gt;"",'Data Entry'!D403,'Data Entry'!E403))</f>
        <v/>
      </c>
      <c r="K403" s="10">
        <f>IF('Data Entry'!A403="","",IFERROR(SUMIFS($H$5:$H$2001,$J$5:$J$2001,$J403,$B$5:$B$2001,$B403,$A$5:$A$2001,(MAXIFS($A$5:$A$2001,$J$5:$J$2001,$J403,$B$5:$B$2001,$B403,$A$5:$A$2001,"&lt;"&amp;$A403))),""))</f>
        <v/>
      </c>
      <c r="L403" s="14">
        <f>IF(OR('Data Entry'!A403="",$K403=""),"",$H403-$K403)</f>
        <v/>
      </c>
      <c r="M403" s="15">
        <f>IF(OR('Data Entry'!A403="",$K403="",$K403=0),"",$L403/$K403)</f>
        <v/>
      </c>
      <c r="N403" s="12">
        <f>IF('Data Entry'!A403="","",IF($L403="","New item",IF($L403&gt;0,"UP",IF($L403&lt;0,"down","same"))))</f>
        <v/>
      </c>
    </row>
    <row r="404">
      <c r="A404" s="11">
        <f>IF('Data Entry'!A404="","",'Data Entry'!A404)</f>
        <v/>
      </c>
      <c r="B404" s="12">
        <f>IF('Data Entry'!A404="","",'Data Entry'!B404)</f>
        <v/>
      </c>
      <c r="C404" s="12">
        <f>IF('Data Entry'!A404="","",'Data Entry'!C404)</f>
        <v/>
      </c>
      <c r="D404" s="12">
        <f>IF('Data Entry'!A404="","",'Data Entry'!D404)</f>
        <v/>
      </c>
      <c r="E404" s="12">
        <f>IF('Data Entry'!A404="","",'Data Entry'!E404)</f>
        <v/>
      </c>
      <c r="F404" s="12">
        <f>IF('Data Entry'!A404="","",'Data Entry'!F404)</f>
        <v/>
      </c>
      <c r="G404" s="13">
        <f>IF('Data Entry'!A404="","",'Data Entry'!G404)</f>
        <v/>
      </c>
      <c r="H404" s="10">
        <f>IF('Data Entry'!A404="","",'Data Entry'!H404)</f>
        <v/>
      </c>
      <c r="I404" s="10">
        <f>IF('Data Entry'!A404="","",'Data Entry'!I404)</f>
        <v/>
      </c>
      <c r="J404" s="12">
        <f>IF('Data Entry'!A404="","",IF('Data Entry'!D404&lt;&gt;"",'Data Entry'!D404,'Data Entry'!E404))</f>
        <v/>
      </c>
      <c r="K404" s="10">
        <f>IF('Data Entry'!A404="","",IFERROR(SUMIFS($H$5:$H$2001,$J$5:$J$2001,$J404,$B$5:$B$2001,$B404,$A$5:$A$2001,(MAXIFS($A$5:$A$2001,$J$5:$J$2001,$J404,$B$5:$B$2001,$B404,$A$5:$A$2001,"&lt;"&amp;$A404))),""))</f>
        <v/>
      </c>
      <c r="L404" s="14">
        <f>IF(OR('Data Entry'!A404="",$K404=""),"",$H404-$K404)</f>
        <v/>
      </c>
      <c r="M404" s="15">
        <f>IF(OR('Data Entry'!A404="",$K404="",$K404=0),"",$L404/$K404)</f>
        <v/>
      </c>
      <c r="N404" s="12">
        <f>IF('Data Entry'!A404="","",IF($L404="","New item",IF($L404&gt;0,"UP",IF($L404&lt;0,"down","same"))))</f>
        <v/>
      </c>
    </row>
    <row r="405">
      <c r="A405" s="11">
        <f>IF('Data Entry'!A405="","",'Data Entry'!A405)</f>
        <v/>
      </c>
      <c r="B405" s="12">
        <f>IF('Data Entry'!A405="","",'Data Entry'!B405)</f>
        <v/>
      </c>
      <c r="C405" s="12">
        <f>IF('Data Entry'!A405="","",'Data Entry'!C405)</f>
        <v/>
      </c>
      <c r="D405" s="12">
        <f>IF('Data Entry'!A405="","",'Data Entry'!D405)</f>
        <v/>
      </c>
      <c r="E405" s="12">
        <f>IF('Data Entry'!A405="","",'Data Entry'!E405)</f>
        <v/>
      </c>
      <c r="F405" s="12">
        <f>IF('Data Entry'!A405="","",'Data Entry'!F405)</f>
        <v/>
      </c>
      <c r="G405" s="13">
        <f>IF('Data Entry'!A405="","",'Data Entry'!G405)</f>
        <v/>
      </c>
      <c r="H405" s="10">
        <f>IF('Data Entry'!A405="","",'Data Entry'!H405)</f>
        <v/>
      </c>
      <c r="I405" s="10">
        <f>IF('Data Entry'!A405="","",'Data Entry'!I405)</f>
        <v/>
      </c>
      <c r="J405" s="12">
        <f>IF('Data Entry'!A405="","",IF('Data Entry'!D405&lt;&gt;"",'Data Entry'!D405,'Data Entry'!E405))</f>
        <v/>
      </c>
      <c r="K405" s="10">
        <f>IF('Data Entry'!A405="","",IFERROR(SUMIFS($H$5:$H$2001,$J$5:$J$2001,$J405,$B$5:$B$2001,$B405,$A$5:$A$2001,(MAXIFS($A$5:$A$2001,$J$5:$J$2001,$J405,$B$5:$B$2001,$B405,$A$5:$A$2001,"&lt;"&amp;$A405))),""))</f>
        <v/>
      </c>
      <c r="L405" s="14">
        <f>IF(OR('Data Entry'!A405="",$K405=""),"",$H405-$K405)</f>
        <v/>
      </c>
      <c r="M405" s="15">
        <f>IF(OR('Data Entry'!A405="",$K405="",$K405=0),"",$L405/$K405)</f>
        <v/>
      </c>
      <c r="N405" s="12">
        <f>IF('Data Entry'!A405="","",IF($L405="","New item",IF($L405&gt;0,"UP",IF($L405&lt;0,"down","same"))))</f>
        <v/>
      </c>
    </row>
    <row r="406">
      <c r="A406" s="11">
        <f>IF('Data Entry'!A406="","",'Data Entry'!A406)</f>
        <v/>
      </c>
      <c r="B406" s="12">
        <f>IF('Data Entry'!A406="","",'Data Entry'!B406)</f>
        <v/>
      </c>
      <c r="C406" s="12">
        <f>IF('Data Entry'!A406="","",'Data Entry'!C406)</f>
        <v/>
      </c>
      <c r="D406" s="12">
        <f>IF('Data Entry'!A406="","",'Data Entry'!D406)</f>
        <v/>
      </c>
      <c r="E406" s="12">
        <f>IF('Data Entry'!A406="","",'Data Entry'!E406)</f>
        <v/>
      </c>
      <c r="F406" s="12">
        <f>IF('Data Entry'!A406="","",'Data Entry'!F406)</f>
        <v/>
      </c>
      <c r="G406" s="13">
        <f>IF('Data Entry'!A406="","",'Data Entry'!G406)</f>
        <v/>
      </c>
      <c r="H406" s="10">
        <f>IF('Data Entry'!A406="","",'Data Entry'!H406)</f>
        <v/>
      </c>
      <c r="I406" s="10">
        <f>IF('Data Entry'!A406="","",'Data Entry'!I406)</f>
        <v/>
      </c>
      <c r="J406" s="12">
        <f>IF('Data Entry'!A406="","",IF('Data Entry'!D406&lt;&gt;"",'Data Entry'!D406,'Data Entry'!E406))</f>
        <v/>
      </c>
      <c r="K406" s="10">
        <f>IF('Data Entry'!A406="","",IFERROR(SUMIFS($H$5:$H$2001,$J$5:$J$2001,$J406,$B$5:$B$2001,$B406,$A$5:$A$2001,(MAXIFS($A$5:$A$2001,$J$5:$J$2001,$J406,$B$5:$B$2001,$B406,$A$5:$A$2001,"&lt;"&amp;$A406))),""))</f>
        <v/>
      </c>
      <c r="L406" s="14">
        <f>IF(OR('Data Entry'!A406="",$K406=""),"",$H406-$K406)</f>
        <v/>
      </c>
      <c r="M406" s="15">
        <f>IF(OR('Data Entry'!A406="",$K406="",$K406=0),"",$L406/$K406)</f>
        <v/>
      </c>
      <c r="N406" s="12">
        <f>IF('Data Entry'!A406="","",IF($L406="","New item",IF($L406&gt;0,"UP",IF($L406&lt;0,"down","same"))))</f>
        <v/>
      </c>
    </row>
    <row r="407">
      <c r="A407" s="11">
        <f>IF('Data Entry'!A407="","",'Data Entry'!A407)</f>
        <v/>
      </c>
      <c r="B407" s="12">
        <f>IF('Data Entry'!A407="","",'Data Entry'!B407)</f>
        <v/>
      </c>
      <c r="C407" s="12">
        <f>IF('Data Entry'!A407="","",'Data Entry'!C407)</f>
        <v/>
      </c>
      <c r="D407" s="12">
        <f>IF('Data Entry'!A407="","",'Data Entry'!D407)</f>
        <v/>
      </c>
      <c r="E407" s="12">
        <f>IF('Data Entry'!A407="","",'Data Entry'!E407)</f>
        <v/>
      </c>
      <c r="F407" s="12">
        <f>IF('Data Entry'!A407="","",'Data Entry'!F407)</f>
        <v/>
      </c>
      <c r="G407" s="13">
        <f>IF('Data Entry'!A407="","",'Data Entry'!G407)</f>
        <v/>
      </c>
      <c r="H407" s="10">
        <f>IF('Data Entry'!A407="","",'Data Entry'!H407)</f>
        <v/>
      </c>
      <c r="I407" s="10">
        <f>IF('Data Entry'!A407="","",'Data Entry'!I407)</f>
        <v/>
      </c>
      <c r="J407" s="12">
        <f>IF('Data Entry'!A407="","",IF('Data Entry'!D407&lt;&gt;"",'Data Entry'!D407,'Data Entry'!E407))</f>
        <v/>
      </c>
      <c r="K407" s="10">
        <f>IF('Data Entry'!A407="","",IFERROR(SUMIFS($H$5:$H$2001,$J$5:$J$2001,$J407,$B$5:$B$2001,$B407,$A$5:$A$2001,(MAXIFS($A$5:$A$2001,$J$5:$J$2001,$J407,$B$5:$B$2001,$B407,$A$5:$A$2001,"&lt;"&amp;$A407))),""))</f>
        <v/>
      </c>
      <c r="L407" s="14">
        <f>IF(OR('Data Entry'!A407="",$K407=""),"",$H407-$K407)</f>
        <v/>
      </c>
      <c r="M407" s="15">
        <f>IF(OR('Data Entry'!A407="",$K407="",$K407=0),"",$L407/$K407)</f>
        <v/>
      </c>
      <c r="N407" s="12">
        <f>IF('Data Entry'!A407="","",IF($L407="","New item",IF($L407&gt;0,"UP",IF($L407&lt;0,"down","same"))))</f>
        <v/>
      </c>
    </row>
    <row r="408">
      <c r="A408" s="11">
        <f>IF('Data Entry'!A408="","",'Data Entry'!A408)</f>
        <v/>
      </c>
      <c r="B408" s="12">
        <f>IF('Data Entry'!A408="","",'Data Entry'!B408)</f>
        <v/>
      </c>
      <c r="C408" s="12">
        <f>IF('Data Entry'!A408="","",'Data Entry'!C408)</f>
        <v/>
      </c>
      <c r="D408" s="12">
        <f>IF('Data Entry'!A408="","",'Data Entry'!D408)</f>
        <v/>
      </c>
      <c r="E408" s="12">
        <f>IF('Data Entry'!A408="","",'Data Entry'!E408)</f>
        <v/>
      </c>
      <c r="F408" s="12">
        <f>IF('Data Entry'!A408="","",'Data Entry'!F408)</f>
        <v/>
      </c>
      <c r="G408" s="13">
        <f>IF('Data Entry'!A408="","",'Data Entry'!G408)</f>
        <v/>
      </c>
      <c r="H408" s="10">
        <f>IF('Data Entry'!A408="","",'Data Entry'!H408)</f>
        <v/>
      </c>
      <c r="I408" s="10">
        <f>IF('Data Entry'!A408="","",'Data Entry'!I408)</f>
        <v/>
      </c>
      <c r="J408" s="12">
        <f>IF('Data Entry'!A408="","",IF('Data Entry'!D408&lt;&gt;"",'Data Entry'!D408,'Data Entry'!E408))</f>
        <v/>
      </c>
      <c r="K408" s="10">
        <f>IF('Data Entry'!A408="","",IFERROR(SUMIFS($H$5:$H$2001,$J$5:$J$2001,$J408,$B$5:$B$2001,$B408,$A$5:$A$2001,(MAXIFS($A$5:$A$2001,$J$5:$J$2001,$J408,$B$5:$B$2001,$B408,$A$5:$A$2001,"&lt;"&amp;$A408))),""))</f>
        <v/>
      </c>
      <c r="L408" s="14">
        <f>IF(OR('Data Entry'!A408="",$K408=""),"",$H408-$K408)</f>
        <v/>
      </c>
      <c r="M408" s="15">
        <f>IF(OR('Data Entry'!A408="",$K408="",$K408=0),"",$L408/$K408)</f>
        <v/>
      </c>
      <c r="N408" s="12">
        <f>IF('Data Entry'!A408="","",IF($L408="","New item",IF($L408&gt;0,"UP",IF($L408&lt;0,"down","same"))))</f>
        <v/>
      </c>
    </row>
    <row r="409">
      <c r="A409" s="11">
        <f>IF('Data Entry'!A409="","",'Data Entry'!A409)</f>
        <v/>
      </c>
      <c r="B409" s="12">
        <f>IF('Data Entry'!A409="","",'Data Entry'!B409)</f>
        <v/>
      </c>
      <c r="C409" s="12">
        <f>IF('Data Entry'!A409="","",'Data Entry'!C409)</f>
        <v/>
      </c>
      <c r="D409" s="12">
        <f>IF('Data Entry'!A409="","",'Data Entry'!D409)</f>
        <v/>
      </c>
      <c r="E409" s="12">
        <f>IF('Data Entry'!A409="","",'Data Entry'!E409)</f>
        <v/>
      </c>
      <c r="F409" s="12">
        <f>IF('Data Entry'!A409="","",'Data Entry'!F409)</f>
        <v/>
      </c>
      <c r="G409" s="13">
        <f>IF('Data Entry'!A409="","",'Data Entry'!G409)</f>
        <v/>
      </c>
      <c r="H409" s="10">
        <f>IF('Data Entry'!A409="","",'Data Entry'!H409)</f>
        <v/>
      </c>
      <c r="I409" s="10">
        <f>IF('Data Entry'!A409="","",'Data Entry'!I409)</f>
        <v/>
      </c>
      <c r="J409" s="12">
        <f>IF('Data Entry'!A409="","",IF('Data Entry'!D409&lt;&gt;"",'Data Entry'!D409,'Data Entry'!E409))</f>
        <v/>
      </c>
      <c r="K409" s="10">
        <f>IF('Data Entry'!A409="","",IFERROR(SUMIFS($H$5:$H$2001,$J$5:$J$2001,$J409,$B$5:$B$2001,$B409,$A$5:$A$2001,(MAXIFS($A$5:$A$2001,$J$5:$J$2001,$J409,$B$5:$B$2001,$B409,$A$5:$A$2001,"&lt;"&amp;$A409))),""))</f>
        <v/>
      </c>
      <c r="L409" s="14">
        <f>IF(OR('Data Entry'!A409="",$K409=""),"",$H409-$K409)</f>
        <v/>
      </c>
      <c r="M409" s="15">
        <f>IF(OR('Data Entry'!A409="",$K409="",$K409=0),"",$L409/$K409)</f>
        <v/>
      </c>
      <c r="N409" s="12">
        <f>IF('Data Entry'!A409="","",IF($L409="","New item",IF($L409&gt;0,"UP",IF($L409&lt;0,"down","same"))))</f>
        <v/>
      </c>
    </row>
    <row r="410">
      <c r="A410" s="11">
        <f>IF('Data Entry'!A410="","",'Data Entry'!A410)</f>
        <v/>
      </c>
      <c r="B410" s="12">
        <f>IF('Data Entry'!A410="","",'Data Entry'!B410)</f>
        <v/>
      </c>
      <c r="C410" s="12">
        <f>IF('Data Entry'!A410="","",'Data Entry'!C410)</f>
        <v/>
      </c>
      <c r="D410" s="12">
        <f>IF('Data Entry'!A410="","",'Data Entry'!D410)</f>
        <v/>
      </c>
      <c r="E410" s="12">
        <f>IF('Data Entry'!A410="","",'Data Entry'!E410)</f>
        <v/>
      </c>
      <c r="F410" s="12">
        <f>IF('Data Entry'!A410="","",'Data Entry'!F410)</f>
        <v/>
      </c>
      <c r="G410" s="13">
        <f>IF('Data Entry'!A410="","",'Data Entry'!G410)</f>
        <v/>
      </c>
      <c r="H410" s="10">
        <f>IF('Data Entry'!A410="","",'Data Entry'!H410)</f>
        <v/>
      </c>
      <c r="I410" s="10">
        <f>IF('Data Entry'!A410="","",'Data Entry'!I410)</f>
        <v/>
      </c>
      <c r="J410" s="12">
        <f>IF('Data Entry'!A410="","",IF('Data Entry'!D410&lt;&gt;"",'Data Entry'!D410,'Data Entry'!E410))</f>
        <v/>
      </c>
      <c r="K410" s="10">
        <f>IF('Data Entry'!A410="","",IFERROR(SUMIFS($H$5:$H$2001,$J$5:$J$2001,$J410,$B$5:$B$2001,$B410,$A$5:$A$2001,(MAXIFS($A$5:$A$2001,$J$5:$J$2001,$J410,$B$5:$B$2001,$B410,$A$5:$A$2001,"&lt;"&amp;$A410))),""))</f>
        <v/>
      </c>
      <c r="L410" s="14">
        <f>IF(OR('Data Entry'!A410="",$K410=""),"",$H410-$K410)</f>
        <v/>
      </c>
      <c r="M410" s="15">
        <f>IF(OR('Data Entry'!A410="",$K410="",$K410=0),"",$L410/$K410)</f>
        <v/>
      </c>
      <c r="N410" s="12">
        <f>IF('Data Entry'!A410="","",IF($L410="","New item",IF($L410&gt;0,"UP",IF($L410&lt;0,"down","same"))))</f>
        <v/>
      </c>
    </row>
    <row r="411">
      <c r="A411" s="11">
        <f>IF('Data Entry'!A411="","",'Data Entry'!A411)</f>
        <v/>
      </c>
      <c r="B411" s="12">
        <f>IF('Data Entry'!A411="","",'Data Entry'!B411)</f>
        <v/>
      </c>
      <c r="C411" s="12">
        <f>IF('Data Entry'!A411="","",'Data Entry'!C411)</f>
        <v/>
      </c>
      <c r="D411" s="12">
        <f>IF('Data Entry'!A411="","",'Data Entry'!D411)</f>
        <v/>
      </c>
      <c r="E411" s="12">
        <f>IF('Data Entry'!A411="","",'Data Entry'!E411)</f>
        <v/>
      </c>
      <c r="F411" s="12">
        <f>IF('Data Entry'!A411="","",'Data Entry'!F411)</f>
        <v/>
      </c>
      <c r="G411" s="13">
        <f>IF('Data Entry'!A411="","",'Data Entry'!G411)</f>
        <v/>
      </c>
      <c r="H411" s="10">
        <f>IF('Data Entry'!A411="","",'Data Entry'!H411)</f>
        <v/>
      </c>
      <c r="I411" s="10">
        <f>IF('Data Entry'!A411="","",'Data Entry'!I411)</f>
        <v/>
      </c>
      <c r="J411" s="12">
        <f>IF('Data Entry'!A411="","",IF('Data Entry'!D411&lt;&gt;"",'Data Entry'!D411,'Data Entry'!E411))</f>
        <v/>
      </c>
      <c r="K411" s="10">
        <f>IF('Data Entry'!A411="","",IFERROR(SUMIFS($H$5:$H$2001,$J$5:$J$2001,$J411,$B$5:$B$2001,$B411,$A$5:$A$2001,(MAXIFS($A$5:$A$2001,$J$5:$J$2001,$J411,$B$5:$B$2001,$B411,$A$5:$A$2001,"&lt;"&amp;$A411))),""))</f>
        <v/>
      </c>
      <c r="L411" s="14">
        <f>IF(OR('Data Entry'!A411="",$K411=""),"",$H411-$K411)</f>
        <v/>
      </c>
      <c r="M411" s="15">
        <f>IF(OR('Data Entry'!A411="",$K411="",$K411=0),"",$L411/$K411)</f>
        <v/>
      </c>
      <c r="N411" s="12">
        <f>IF('Data Entry'!A411="","",IF($L411="","New item",IF($L411&gt;0,"UP",IF($L411&lt;0,"down","same"))))</f>
        <v/>
      </c>
    </row>
    <row r="412">
      <c r="A412" s="11">
        <f>IF('Data Entry'!A412="","",'Data Entry'!A412)</f>
        <v/>
      </c>
      <c r="B412" s="12">
        <f>IF('Data Entry'!A412="","",'Data Entry'!B412)</f>
        <v/>
      </c>
      <c r="C412" s="12">
        <f>IF('Data Entry'!A412="","",'Data Entry'!C412)</f>
        <v/>
      </c>
      <c r="D412" s="12">
        <f>IF('Data Entry'!A412="","",'Data Entry'!D412)</f>
        <v/>
      </c>
      <c r="E412" s="12">
        <f>IF('Data Entry'!A412="","",'Data Entry'!E412)</f>
        <v/>
      </c>
      <c r="F412" s="12">
        <f>IF('Data Entry'!A412="","",'Data Entry'!F412)</f>
        <v/>
      </c>
      <c r="G412" s="13">
        <f>IF('Data Entry'!A412="","",'Data Entry'!G412)</f>
        <v/>
      </c>
      <c r="H412" s="10">
        <f>IF('Data Entry'!A412="","",'Data Entry'!H412)</f>
        <v/>
      </c>
      <c r="I412" s="10">
        <f>IF('Data Entry'!A412="","",'Data Entry'!I412)</f>
        <v/>
      </c>
      <c r="J412" s="12">
        <f>IF('Data Entry'!A412="","",IF('Data Entry'!D412&lt;&gt;"",'Data Entry'!D412,'Data Entry'!E412))</f>
        <v/>
      </c>
      <c r="K412" s="10">
        <f>IF('Data Entry'!A412="","",IFERROR(SUMIFS($H$5:$H$2001,$J$5:$J$2001,$J412,$B$5:$B$2001,$B412,$A$5:$A$2001,(MAXIFS($A$5:$A$2001,$J$5:$J$2001,$J412,$B$5:$B$2001,$B412,$A$5:$A$2001,"&lt;"&amp;$A412))),""))</f>
        <v/>
      </c>
      <c r="L412" s="14">
        <f>IF(OR('Data Entry'!A412="",$K412=""),"",$H412-$K412)</f>
        <v/>
      </c>
      <c r="M412" s="15">
        <f>IF(OR('Data Entry'!A412="",$K412="",$K412=0),"",$L412/$K412)</f>
        <v/>
      </c>
      <c r="N412" s="12">
        <f>IF('Data Entry'!A412="","",IF($L412="","New item",IF($L412&gt;0,"UP",IF($L412&lt;0,"down","same"))))</f>
        <v/>
      </c>
    </row>
    <row r="413">
      <c r="A413" s="11">
        <f>IF('Data Entry'!A413="","",'Data Entry'!A413)</f>
        <v/>
      </c>
      <c r="B413" s="12">
        <f>IF('Data Entry'!A413="","",'Data Entry'!B413)</f>
        <v/>
      </c>
      <c r="C413" s="12">
        <f>IF('Data Entry'!A413="","",'Data Entry'!C413)</f>
        <v/>
      </c>
      <c r="D413" s="12">
        <f>IF('Data Entry'!A413="","",'Data Entry'!D413)</f>
        <v/>
      </c>
      <c r="E413" s="12">
        <f>IF('Data Entry'!A413="","",'Data Entry'!E413)</f>
        <v/>
      </c>
      <c r="F413" s="12">
        <f>IF('Data Entry'!A413="","",'Data Entry'!F413)</f>
        <v/>
      </c>
      <c r="G413" s="13">
        <f>IF('Data Entry'!A413="","",'Data Entry'!G413)</f>
        <v/>
      </c>
      <c r="H413" s="10">
        <f>IF('Data Entry'!A413="","",'Data Entry'!H413)</f>
        <v/>
      </c>
      <c r="I413" s="10">
        <f>IF('Data Entry'!A413="","",'Data Entry'!I413)</f>
        <v/>
      </c>
      <c r="J413" s="12">
        <f>IF('Data Entry'!A413="","",IF('Data Entry'!D413&lt;&gt;"",'Data Entry'!D413,'Data Entry'!E413))</f>
        <v/>
      </c>
      <c r="K413" s="10">
        <f>IF('Data Entry'!A413="","",IFERROR(SUMIFS($H$5:$H$2001,$J$5:$J$2001,$J413,$B$5:$B$2001,$B413,$A$5:$A$2001,(MAXIFS($A$5:$A$2001,$J$5:$J$2001,$J413,$B$5:$B$2001,$B413,$A$5:$A$2001,"&lt;"&amp;$A413))),""))</f>
        <v/>
      </c>
      <c r="L413" s="14">
        <f>IF(OR('Data Entry'!A413="",$K413=""),"",$H413-$K413)</f>
        <v/>
      </c>
      <c r="M413" s="15">
        <f>IF(OR('Data Entry'!A413="",$K413="",$K413=0),"",$L413/$K413)</f>
        <v/>
      </c>
      <c r="N413" s="12">
        <f>IF('Data Entry'!A413="","",IF($L413="","New item",IF($L413&gt;0,"UP",IF($L413&lt;0,"down","same"))))</f>
        <v/>
      </c>
    </row>
    <row r="414">
      <c r="A414" s="11">
        <f>IF('Data Entry'!A414="","",'Data Entry'!A414)</f>
        <v/>
      </c>
      <c r="B414" s="12">
        <f>IF('Data Entry'!A414="","",'Data Entry'!B414)</f>
        <v/>
      </c>
      <c r="C414" s="12">
        <f>IF('Data Entry'!A414="","",'Data Entry'!C414)</f>
        <v/>
      </c>
      <c r="D414" s="12">
        <f>IF('Data Entry'!A414="","",'Data Entry'!D414)</f>
        <v/>
      </c>
      <c r="E414" s="12">
        <f>IF('Data Entry'!A414="","",'Data Entry'!E414)</f>
        <v/>
      </c>
      <c r="F414" s="12">
        <f>IF('Data Entry'!A414="","",'Data Entry'!F414)</f>
        <v/>
      </c>
      <c r="G414" s="13">
        <f>IF('Data Entry'!A414="","",'Data Entry'!G414)</f>
        <v/>
      </c>
      <c r="H414" s="10">
        <f>IF('Data Entry'!A414="","",'Data Entry'!H414)</f>
        <v/>
      </c>
      <c r="I414" s="10">
        <f>IF('Data Entry'!A414="","",'Data Entry'!I414)</f>
        <v/>
      </c>
      <c r="J414" s="12">
        <f>IF('Data Entry'!A414="","",IF('Data Entry'!D414&lt;&gt;"",'Data Entry'!D414,'Data Entry'!E414))</f>
        <v/>
      </c>
      <c r="K414" s="10">
        <f>IF('Data Entry'!A414="","",IFERROR(SUMIFS($H$5:$H$2001,$J$5:$J$2001,$J414,$B$5:$B$2001,$B414,$A$5:$A$2001,(MAXIFS($A$5:$A$2001,$J$5:$J$2001,$J414,$B$5:$B$2001,$B414,$A$5:$A$2001,"&lt;"&amp;$A414))),""))</f>
        <v/>
      </c>
      <c r="L414" s="14">
        <f>IF(OR('Data Entry'!A414="",$K414=""),"",$H414-$K414)</f>
        <v/>
      </c>
      <c r="M414" s="15">
        <f>IF(OR('Data Entry'!A414="",$K414="",$K414=0),"",$L414/$K414)</f>
        <v/>
      </c>
      <c r="N414" s="12">
        <f>IF('Data Entry'!A414="","",IF($L414="","New item",IF($L414&gt;0,"UP",IF($L414&lt;0,"down","same"))))</f>
        <v/>
      </c>
    </row>
    <row r="415">
      <c r="A415" s="11">
        <f>IF('Data Entry'!A415="","",'Data Entry'!A415)</f>
        <v/>
      </c>
      <c r="B415" s="12">
        <f>IF('Data Entry'!A415="","",'Data Entry'!B415)</f>
        <v/>
      </c>
      <c r="C415" s="12">
        <f>IF('Data Entry'!A415="","",'Data Entry'!C415)</f>
        <v/>
      </c>
      <c r="D415" s="12">
        <f>IF('Data Entry'!A415="","",'Data Entry'!D415)</f>
        <v/>
      </c>
      <c r="E415" s="12">
        <f>IF('Data Entry'!A415="","",'Data Entry'!E415)</f>
        <v/>
      </c>
      <c r="F415" s="12">
        <f>IF('Data Entry'!A415="","",'Data Entry'!F415)</f>
        <v/>
      </c>
      <c r="G415" s="13">
        <f>IF('Data Entry'!A415="","",'Data Entry'!G415)</f>
        <v/>
      </c>
      <c r="H415" s="10">
        <f>IF('Data Entry'!A415="","",'Data Entry'!H415)</f>
        <v/>
      </c>
      <c r="I415" s="10">
        <f>IF('Data Entry'!A415="","",'Data Entry'!I415)</f>
        <v/>
      </c>
      <c r="J415" s="12">
        <f>IF('Data Entry'!A415="","",IF('Data Entry'!D415&lt;&gt;"",'Data Entry'!D415,'Data Entry'!E415))</f>
        <v/>
      </c>
      <c r="K415" s="10">
        <f>IF('Data Entry'!A415="","",IFERROR(SUMIFS($H$5:$H$2001,$J$5:$J$2001,$J415,$B$5:$B$2001,$B415,$A$5:$A$2001,(MAXIFS($A$5:$A$2001,$J$5:$J$2001,$J415,$B$5:$B$2001,$B415,$A$5:$A$2001,"&lt;"&amp;$A415))),""))</f>
        <v/>
      </c>
      <c r="L415" s="14">
        <f>IF(OR('Data Entry'!A415="",$K415=""),"",$H415-$K415)</f>
        <v/>
      </c>
      <c r="M415" s="15">
        <f>IF(OR('Data Entry'!A415="",$K415="",$K415=0),"",$L415/$K415)</f>
        <v/>
      </c>
      <c r="N415" s="12">
        <f>IF('Data Entry'!A415="","",IF($L415="","New item",IF($L415&gt;0,"UP",IF($L415&lt;0,"down","same"))))</f>
        <v/>
      </c>
    </row>
    <row r="416">
      <c r="A416" s="11">
        <f>IF('Data Entry'!A416="","",'Data Entry'!A416)</f>
        <v/>
      </c>
      <c r="B416" s="12">
        <f>IF('Data Entry'!A416="","",'Data Entry'!B416)</f>
        <v/>
      </c>
      <c r="C416" s="12">
        <f>IF('Data Entry'!A416="","",'Data Entry'!C416)</f>
        <v/>
      </c>
      <c r="D416" s="12">
        <f>IF('Data Entry'!A416="","",'Data Entry'!D416)</f>
        <v/>
      </c>
      <c r="E416" s="12">
        <f>IF('Data Entry'!A416="","",'Data Entry'!E416)</f>
        <v/>
      </c>
      <c r="F416" s="12">
        <f>IF('Data Entry'!A416="","",'Data Entry'!F416)</f>
        <v/>
      </c>
      <c r="G416" s="13">
        <f>IF('Data Entry'!A416="","",'Data Entry'!G416)</f>
        <v/>
      </c>
      <c r="H416" s="10">
        <f>IF('Data Entry'!A416="","",'Data Entry'!H416)</f>
        <v/>
      </c>
      <c r="I416" s="10">
        <f>IF('Data Entry'!A416="","",'Data Entry'!I416)</f>
        <v/>
      </c>
      <c r="J416" s="12">
        <f>IF('Data Entry'!A416="","",IF('Data Entry'!D416&lt;&gt;"",'Data Entry'!D416,'Data Entry'!E416))</f>
        <v/>
      </c>
      <c r="K416" s="10">
        <f>IF('Data Entry'!A416="","",IFERROR(SUMIFS($H$5:$H$2001,$J$5:$J$2001,$J416,$B$5:$B$2001,$B416,$A$5:$A$2001,(MAXIFS($A$5:$A$2001,$J$5:$J$2001,$J416,$B$5:$B$2001,$B416,$A$5:$A$2001,"&lt;"&amp;$A416))),""))</f>
        <v/>
      </c>
      <c r="L416" s="14">
        <f>IF(OR('Data Entry'!A416="",$K416=""),"",$H416-$K416)</f>
        <v/>
      </c>
      <c r="M416" s="15">
        <f>IF(OR('Data Entry'!A416="",$K416="",$K416=0),"",$L416/$K416)</f>
        <v/>
      </c>
      <c r="N416" s="12">
        <f>IF('Data Entry'!A416="","",IF($L416="","New item",IF($L416&gt;0,"UP",IF($L416&lt;0,"down","same"))))</f>
        <v/>
      </c>
    </row>
    <row r="417">
      <c r="A417" s="11">
        <f>IF('Data Entry'!A417="","",'Data Entry'!A417)</f>
        <v/>
      </c>
      <c r="B417" s="12">
        <f>IF('Data Entry'!A417="","",'Data Entry'!B417)</f>
        <v/>
      </c>
      <c r="C417" s="12">
        <f>IF('Data Entry'!A417="","",'Data Entry'!C417)</f>
        <v/>
      </c>
      <c r="D417" s="12">
        <f>IF('Data Entry'!A417="","",'Data Entry'!D417)</f>
        <v/>
      </c>
      <c r="E417" s="12">
        <f>IF('Data Entry'!A417="","",'Data Entry'!E417)</f>
        <v/>
      </c>
      <c r="F417" s="12">
        <f>IF('Data Entry'!A417="","",'Data Entry'!F417)</f>
        <v/>
      </c>
      <c r="G417" s="13">
        <f>IF('Data Entry'!A417="","",'Data Entry'!G417)</f>
        <v/>
      </c>
      <c r="H417" s="10">
        <f>IF('Data Entry'!A417="","",'Data Entry'!H417)</f>
        <v/>
      </c>
      <c r="I417" s="10">
        <f>IF('Data Entry'!A417="","",'Data Entry'!I417)</f>
        <v/>
      </c>
      <c r="J417" s="12">
        <f>IF('Data Entry'!A417="","",IF('Data Entry'!D417&lt;&gt;"",'Data Entry'!D417,'Data Entry'!E417))</f>
        <v/>
      </c>
      <c r="K417" s="10">
        <f>IF('Data Entry'!A417="","",IFERROR(SUMIFS($H$5:$H$2001,$J$5:$J$2001,$J417,$B$5:$B$2001,$B417,$A$5:$A$2001,(MAXIFS($A$5:$A$2001,$J$5:$J$2001,$J417,$B$5:$B$2001,$B417,$A$5:$A$2001,"&lt;"&amp;$A417))),""))</f>
        <v/>
      </c>
      <c r="L417" s="14">
        <f>IF(OR('Data Entry'!A417="",$K417=""),"",$H417-$K417)</f>
        <v/>
      </c>
      <c r="M417" s="15">
        <f>IF(OR('Data Entry'!A417="",$K417="",$K417=0),"",$L417/$K417)</f>
        <v/>
      </c>
      <c r="N417" s="12">
        <f>IF('Data Entry'!A417="","",IF($L417="","New item",IF($L417&gt;0,"UP",IF($L417&lt;0,"down","same"))))</f>
        <v/>
      </c>
    </row>
    <row r="418">
      <c r="A418" s="11">
        <f>IF('Data Entry'!A418="","",'Data Entry'!A418)</f>
        <v/>
      </c>
      <c r="B418" s="12">
        <f>IF('Data Entry'!A418="","",'Data Entry'!B418)</f>
        <v/>
      </c>
      <c r="C418" s="12">
        <f>IF('Data Entry'!A418="","",'Data Entry'!C418)</f>
        <v/>
      </c>
      <c r="D418" s="12">
        <f>IF('Data Entry'!A418="","",'Data Entry'!D418)</f>
        <v/>
      </c>
      <c r="E418" s="12">
        <f>IF('Data Entry'!A418="","",'Data Entry'!E418)</f>
        <v/>
      </c>
      <c r="F418" s="12">
        <f>IF('Data Entry'!A418="","",'Data Entry'!F418)</f>
        <v/>
      </c>
      <c r="G418" s="13">
        <f>IF('Data Entry'!A418="","",'Data Entry'!G418)</f>
        <v/>
      </c>
      <c r="H418" s="10">
        <f>IF('Data Entry'!A418="","",'Data Entry'!H418)</f>
        <v/>
      </c>
      <c r="I418" s="10">
        <f>IF('Data Entry'!A418="","",'Data Entry'!I418)</f>
        <v/>
      </c>
      <c r="J418" s="12">
        <f>IF('Data Entry'!A418="","",IF('Data Entry'!D418&lt;&gt;"",'Data Entry'!D418,'Data Entry'!E418))</f>
        <v/>
      </c>
      <c r="K418" s="10">
        <f>IF('Data Entry'!A418="","",IFERROR(SUMIFS($H$5:$H$2001,$J$5:$J$2001,$J418,$B$5:$B$2001,$B418,$A$5:$A$2001,(MAXIFS($A$5:$A$2001,$J$5:$J$2001,$J418,$B$5:$B$2001,$B418,$A$5:$A$2001,"&lt;"&amp;$A418))),""))</f>
        <v/>
      </c>
      <c r="L418" s="14">
        <f>IF(OR('Data Entry'!A418="",$K418=""),"",$H418-$K418)</f>
        <v/>
      </c>
      <c r="M418" s="15">
        <f>IF(OR('Data Entry'!A418="",$K418="",$K418=0),"",$L418/$K418)</f>
        <v/>
      </c>
      <c r="N418" s="12">
        <f>IF('Data Entry'!A418="","",IF($L418="","New item",IF($L418&gt;0,"UP",IF($L418&lt;0,"down","same"))))</f>
        <v/>
      </c>
    </row>
    <row r="419">
      <c r="A419" s="11">
        <f>IF('Data Entry'!A419="","",'Data Entry'!A419)</f>
        <v/>
      </c>
      <c r="B419" s="12">
        <f>IF('Data Entry'!A419="","",'Data Entry'!B419)</f>
        <v/>
      </c>
      <c r="C419" s="12">
        <f>IF('Data Entry'!A419="","",'Data Entry'!C419)</f>
        <v/>
      </c>
      <c r="D419" s="12">
        <f>IF('Data Entry'!A419="","",'Data Entry'!D419)</f>
        <v/>
      </c>
      <c r="E419" s="12">
        <f>IF('Data Entry'!A419="","",'Data Entry'!E419)</f>
        <v/>
      </c>
      <c r="F419" s="12">
        <f>IF('Data Entry'!A419="","",'Data Entry'!F419)</f>
        <v/>
      </c>
      <c r="G419" s="13">
        <f>IF('Data Entry'!A419="","",'Data Entry'!G419)</f>
        <v/>
      </c>
      <c r="H419" s="10">
        <f>IF('Data Entry'!A419="","",'Data Entry'!H419)</f>
        <v/>
      </c>
      <c r="I419" s="10">
        <f>IF('Data Entry'!A419="","",'Data Entry'!I419)</f>
        <v/>
      </c>
      <c r="J419" s="12">
        <f>IF('Data Entry'!A419="","",IF('Data Entry'!D419&lt;&gt;"",'Data Entry'!D419,'Data Entry'!E419))</f>
        <v/>
      </c>
      <c r="K419" s="10">
        <f>IF('Data Entry'!A419="","",IFERROR(SUMIFS($H$5:$H$2001,$J$5:$J$2001,$J419,$B$5:$B$2001,$B419,$A$5:$A$2001,(MAXIFS($A$5:$A$2001,$J$5:$J$2001,$J419,$B$5:$B$2001,$B419,$A$5:$A$2001,"&lt;"&amp;$A419))),""))</f>
        <v/>
      </c>
      <c r="L419" s="14">
        <f>IF(OR('Data Entry'!A419="",$K419=""),"",$H419-$K419)</f>
        <v/>
      </c>
      <c r="M419" s="15">
        <f>IF(OR('Data Entry'!A419="",$K419="",$K419=0),"",$L419/$K419)</f>
        <v/>
      </c>
      <c r="N419" s="12">
        <f>IF('Data Entry'!A419="","",IF($L419="","New item",IF($L419&gt;0,"UP",IF($L419&lt;0,"down","same"))))</f>
        <v/>
      </c>
    </row>
    <row r="420">
      <c r="A420" s="11">
        <f>IF('Data Entry'!A420="","",'Data Entry'!A420)</f>
        <v/>
      </c>
      <c r="B420" s="12">
        <f>IF('Data Entry'!A420="","",'Data Entry'!B420)</f>
        <v/>
      </c>
      <c r="C420" s="12">
        <f>IF('Data Entry'!A420="","",'Data Entry'!C420)</f>
        <v/>
      </c>
      <c r="D420" s="12">
        <f>IF('Data Entry'!A420="","",'Data Entry'!D420)</f>
        <v/>
      </c>
      <c r="E420" s="12">
        <f>IF('Data Entry'!A420="","",'Data Entry'!E420)</f>
        <v/>
      </c>
      <c r="F420" s="12">
        <f>IF('Data Entry'!A420="","",'Data Entry'!F420)</f>
        <v/>
      </c>
      <c r="G420" s="13">
        <f>IF('Data Entry'!A420="","",'Data Entry'!G420)</f>
        <v/>
      </c>
      <c r="H420" s="10">
        <f>IF('Data Entry'!A420="","",'Data Entry'!H420)</f>
        <v/>
      </c>
      <c r="I420" s="10">
        <f>IF('Data Entry'!A420="","",'Data Entry'!I420)</f>
        <v/>
      </c>
      <c r="J420" s="12">
        <f>IF('Data Entry'!A420="","",IF('Data Entry'!D420&lt;&gt;"",'Data Entry'!D420,'Data Entry'!E420))</f>
        <v/>
      </c>
      <c r="K420" s="10">
        <f>IF('Data Entry'!A420="","",IFERROR(SUMIFS($H$5:$H$2001,$J$5:$J$2001,$J420,$B$5:$B$2001,$B420,$A$5:$A$2001,(MAXIFS($A$5:$A$2001,$J$5:$J$2001,$J420,$B$5:$B$2001,$B420,$A$5:$A$2001,"&lt;"&amp;$A420))),""))</f>
        <v/>
      </c>
      <c r="L420" s="14">
        <f>IF(OR('Data Entry'!A420="",$K420=""),"",$H420-$K420)</f>
        <v/>
      </c>
      <c r="M420" s="15">
        <f>IF(OR('Data Entry'!A420="",$K420="",$K420=0),"",$L420/$K420)</f>
        <v/>
      </c>
      <c r="N420" s="12">
        <f>IF('Data Entry'!A420="","",IF($L420="","New item",IF($L420&gt;0,"UP",IF($L420&lt;0,"down","same"))))</f>
        <v/>
      </c>
    </row>
    <row r="421">
      <c r="A421" s="11">
        <f>IF('Data Entry'!A421="","",'Data Entry'!A421)</f>
        <v/>
      </c>
      <c r="B421" s="12">
        <f>IF('Data Entry'!A421="","",'Data Entry'!B421)</f>
        <v/>
      </c>
      <c r="C421" s="12">
        <f>IF('Data Entry'!A421="","",'Data Entry'!C421)</f>
        <v/>
      </c>
      <c r="D421" s="12">
        <f>IF('Data Entry'!A421="","",'Data Entry'!D421)</f>
        <v/>
      </c>
      <c r="E421" s="12">
        <f>IF('Data Entry'!A421="","",'Data Entry'!E421)</f>
        <v/>
      </c>
      <c r="F421" s="12">
        <f>IF('Data Entry'!A421="","",'Data Entry'!F421)</f>
        <v/>
      </c>
      <c r="G421" s="13">
        <f>IF('Data Entry'!A421="","",'Data Entry'!G421)</f>
        <v/>
      </c>
      <c r="H421" s="10">
        <f>IF('Data Entry'!A421="","",'Data Entry'!H421)</f>
        <v/>
      </c>
      <c r="I421" s="10">
        <f>IF('Data Entry'!A421="","",'Data Entry'!I421)</f>
        <v/>
      </c>
      <c r="J421" s="12">
        <f>IF('Data Entry'!A421="","",IF('Data Entry'!D421&lt;&gt;"",'Data Entry'!D421,'Data Entry'!E421))</f>
        <v/>
      </c>
      <c r="K421" s="10">
        <f>IF('Data Entry'!A421="","",IFERROR(SUMIFS($H$5:$H$2001,$J$5:$J$2001,$J421,$B$5:$B$2001,$B421,$A$5:$A$2001,(MAXIFS($A$5:$A$2001,$J$5:$J$2001,$J421,$B$5:$B$2001,$B421,$A$5:$A$2001,"&lt;"&amp;$A421))),""))</f>
        <v/>
      </c>
      <c r="L421" s="14">
        <f>IF(OR('Data Entry'!A421="",$K421=""),"",$H421-$K421)</f>
        <v/>
      </c>
      <c r="M421" s="15">
        <f>IF(OR('Data Entry'!A421="",$K421="",$K421=0),"",$L421/$K421)</f>
        <v/>
      </c>
      <c r="N421" s="12">
        <f>IF('Data Entry'!A421="","",IF($L421="","New item",IF($L421&gt;0,"UP",IF($L421&lt;0,"down","same"))))</f>
        <v/>
      </c>
    </row>
    <row r="422">
      <c r="A422" s="11">
        <f>IF('Data Entry'!A422="","",'Data Entry'!A422)</f>
        <v/>
      </c>
      <c r="B422" s="12">
        <f>IF('Data Entry'!A422="","",'Data Entry'!B422)</f>
        <v/>
      </c>
      <c r="C422" s="12">
        <f>IF('Data Entry'!A422="","",'Data Entry'!C422)</f>
        <v/>
      </c>
      <c r="D422" s="12">
        <f>IF('Data Entry'!A422="","",'Data Entry'!D422)</f>
        <v/>
      </c>
      <c r="E422" s="12">
        <f>IF('Data Entry'!A422="","",'Data Entry'!E422)</f>
        <v/>
      </c>
      <c r="F422" s="12">
        <f>IF('Data Entry'!A422="","",'Data Entry'!F422)</f>
        <v/>
      </c>
      <c r="G422" s="13">
        <f>IF('Data Entry'!A422="","",'Data Entry'!G422)</f>
        <v/>
      </c>
      <c r="H422" s="10">
        <f>IF('Data Entry'!A422="","",'Data Entry'!H422)</f>
        <v/>
      </c>
      <c r="I422" s="10">
        <f>IF('Data Entry'!A422="","",'Data Entry'!I422)</f>
        <v/>
      </c>
      <c r="J422" s="12">
        <f>IF('Data Entry'!A422="","",IF('Data Entry'!D422&lt;&gt;"",'Data Entry'!D422,'Data Entry'!E422))</f>
        <v/>
      </c>
      <c r="K422" s="10">
        <f>IF('Data Entry'!A422="","",IFERROR(SUMIFS($H$5:$H$2001,$J$5:$J$2001,$J422,$B$5:$B$2001,$B422,$A$5:$A$2001,(MAXIFS($A$5:$A$2001,$J$5:$J$2001,$J422,$B$5:$B$2001,$B422,$A$5:$A$2001,"&lt;"&amp;$A422))),""))</f>
        <v/>
      </c>
      <c r="L422" s="14">
        <f>IF(OR('Data Entry'!A422="",$K422=""),"",$H422-$K422)</f>
        <v/>
      </c>
      <c r="M422" s="15">
        <f>IF(OR('Data Entry'!A422="",$K422="",$K422=0),"",$L422/$K422)</f>
        <v/>
      </c>
      <c r="N422" s="12">
        <f>IF('Data Entry'!A422="","",IF($L422="","New item",IF($L422&gt;0,"UP",IF($L422&lt;0,"down","same"))))</f>
        <v/>
      </c>
    </row>
    <row r="423">
      <c r="A423" s="11">
        <f>IF('Data Entry'!A423="","",'Data Entry'!A423)</f>
        <v/>
      </c>
      <c r="B423" s="12">
        <f>IF('Data Entry'!A423="","",'Data Entry'!B423)</f>
        <v/>
      </c>
      <c r="C423" s="12">
        <f>IF('Data Entry'!A423="","",'Data Entry'!C423)</f>
        <v/>
      </c>
      <c r="D423" s="12">
        <f>IF('Data Entry'!A423="","",'Data Entry'!D423)</f>
        <v/>
      </c>
      <c r="E423" s="12">
        <f>IF('Data Entry'!A423="","",'Data Entry'!E423)</f>
        <v/>
      </c>
      <c r="F423" s="12">
        <f>IF('Data Entry'!A423="","",'Data Entry'!F423)</f>
        <v/>
      </c>
      <c r="G423" s="13">
        <f>IF('Data Entry'!A423="","",'Data Entry'!G423)</f>
        <v/>
      </c>
      <c r="H423" s="10">
        <f>IF('Data Entry'!A423="","",'Data Entry'!H423)</f>
        <v/>
      </c>
      <c r="I423" s="10">
        <f>IF('Data Entry'!A423="","",'Data Entry'!I423)</f>
        <v/>
      </c>
      <c r="J423" s="12">
        <f>IF('Data Entry'!A423="","",IF('Data Entry'!D423&lt;&gt;"",'Data Entry'!D423,'Data Entry'!E423))</f>
        <v/>
      </c>
      <c r="K423" s="10">
        <f>IF('Data Entry'!A423="","",IFERROR(SUMIFS($H$5:$H$2001,$J$5:$J$2001,$J423,$B$5:$B$2001,$B423,$A$5:$A$2001,(MAXIFS($A$5:$A$2001,$J$5:$J$2001,$J423,$B$5:$B$2001,$B423,$A$5:$A$2001,"&lt;"&amp;$A423))),""))</f>
        <v/>
      </c>
      <c r="L423" s="14">
        <f>IF(OR('Data Entry'!A423="",$K423=""),"",$H423-$K423)</f>
        <v/>
      </c>
      <c r="M423" s="15">
        <f>IF(OR('Data Entry'!A423="",$K423="",$K423=0),"",$L423/$K423)</f>
        <v/>
      </c>
      <c r="N423" s="12">
        <f>IF('Data Entry'!A423="","",IF($L423="","New item",IF($L423&gt;0,"UP",IF($L423&lt;0,"down","same"))))</f>
        <v/>
      </c>
    </row>
    <row r="424">
      <c r="A424" s="11">
        <f>IF('Data Entry'!A424="","",'Data Entry'!A424)</f>
        <v/>
      </c>
      <c r="B424" s="12">
        <f>IF('Data Entry'!A424="","",'Data Entry'!B424)</f>
        <v/>
      </c>
      <c r="C424" s="12">
        <f>IF('Data Entry'!A424="","",'Data Entry'!C424)</f>
        <v/>
      </c>
      <c r="D424" s="12">
        <f>IF('Data Entry'!A424="","",'Data Entry'!D424)</f>
        <v/>
      </c>
      <c r="E424" s="12">
        <f>IF('Data Entry'!A424="","",'Data Entry'!E424)</f>
        <v/>
      </c>
      <c r="F424" s="12">
        <f>IF('Data Entry'!A424="","",'Data Entry'!F424)</f>
        <v/>
      </c>
      <c r="G424" s="13">
        <f>IF('Data Entry'!A424="","",'Data Entry'!G424)</f>
        <v/>
      </c>
      <c r="H424" s="10">
        <f>IF('Data Entry'!A424="","",'Data Entry'!H424)</f>
        <v/>
      </c>
      <c r="I424" s="10">
        <f>IF('Data Entry'!A424="","",'Data Entry'!I424)</f>
        <v/>
      </c>
      <c r="J424" s="12">
        <f>IF('Data Entry'!A424="","",IF('Data Entry'!D424&lt;&gt;"",'Data Entry'!D424,'Data Entry'!E424))</f>
        <v/>
      </c>
      <c r="K424" s="10">
        <f>IF('Data Entry'!A424="","",IFERROR(SUMIFS($H$5:$H$2001,$J$5:$J$2001,$J424,$B$5:$B$2001,$B424,$A$5:$A$2001,(MAXIFS($A$5:$A$2001,$J$5:$J$2001,$J424,$B$5:$B$2001,$B424,$A$5:$A$2001,"&lt;"&amp;$A424))),""))</f>
        <v/>
      </c>
      <c r="L424" s="14">
        <f>IF(OR('Data Entry'!A424="",$K424=""),"",$H424-$K424)</f>
        <v/>
      </c>
      <c r="M424" s="15">
        <f>IF(OR('Data Entry'!A424="",$K424="",$K424=0),"",$L424/$K424)</f>
        <v/>
      </c>
      <c r="N424" s="12">
        <f>IF('Data Entry'!A424="","",IF($L424="","New item",IF($L424&gt;0,"UP",IF($L424&lt;0,"down","same"))))</f>
        <v/>
      </c>
    </row>
    <row r="425">
      <c r="A425" s="11">
        <f>IF('Data Entry'!A425="","",'Data Entry'!A425)</f>
        <v/>
      </c>
      <c r="B425" s="12">
        <f>IF('Data Entry'!A425="","",'Data Entry'!B425)</f>
        <v/>
      </c>
      <c r="C425" s="12">
        <f>IF('Data Entry'!A425="","",'Data Entry'!C425)</f>
        <v/>
      </c>
      <c r="D425" s="12">
        <f>IF('Data Entry'!A425="","",'Data Entry'!D425)</f>
        <v/>
      </c>
      <c r="E425" s="12">
        <f>IF('Data Entry'!A425="","",'Data Entry'!E425)</f>
        <v/>
      </c>
      <c r="F425" s="12">
        <f>IF('Data Entry'!A425="","",'Data Entry'!F425)</f>
        <v/>
      </c>
      <c r="G425" s="13">
        <f>IF('Data Entry'!A425="","",'Data Entry'!G425)</f>
        <v/>
      </c>
      <c r="H425" s="10">
        <f>IF('Data Entry'!A425="","",'Data Entry'!H425)</f>
        <v/>
      </c>
      <c r="I425" s="10">
        <f>IF('Data Entry'!A425="","",'Data Entry'!I425)</f>
        <v/>
      </c>
      <c r="J425" s="12">
        <f>IF('Data Entry'!A425="","",IF('Data Entry'!D425&lt;&gt;"",'Data Entry'!D425,'Data Entry'!E425))</f>
        <v/>
      </c>
      <c r="K425" s="10">
        <f>IF('Data Entry'!A425="","",IFERROR(SUMIFS($H$5:$H$2001,$J$5:$J$2001,$J425,$B$5:$B$2001,$B425,$A$5:$A$2001,(MAXIFS($A$5:$A$2001,$J$5:$J$2001,$J425,$B$5:$B$2001,$B425,$A$5:$A$2001,"&lt;"&amp;$A425))),""))</f>
        <v/>
      </c>
      <c r="L425" s="14">
        <f>IF(OR('Data Entry'!A425="",$K425=""),"",$H425-$K425)</f>
        <v/>
      </c>
      <c r="M425" s="15">
        <f>IF(OR('Data Entry'!A425="",$K425="",$K425=0),"",$L425/$K425)</f>
        <v/>
      </c>
      <c r="N425" s="12">
        <f>IF('Data Entry'!A425="","",IF($L425="","New item",IF($L425&gt;0,"UP",IF($L425&lt;0,"down","same"))))</f>
        <v/>
      </c>
    </row>
    <row r="426">
      <c r="A426" s="11">
        <f>IF('Data Entry'!A426="","",'Data Entry'!A426)</f>
        <v/>
      </c>
      <c r="B426" s="12">
        <f>IF('Data Entry'!A426="","",'Data Entry'!B426)</f>
        <v/>
      </c>
      <c r="C426" s="12">
        <f>IF('Data Entry'!A426="","",'Data Entry'!C426)</f>
        <v/>
      </c>
      <c r="D426" s="12">
        <f>IF('Data Entry'!A426="","",'Data Entry'!D426)</f>
        <v/>
      </c>
      <c r="E426" s="12">
        <f>IF('Data Entry'!A426="","",'Data Entry'!E426)</f>
        <v/>
      </c>
      <c r="F426" s="12">
        <f>IF('Data Entry'!A426="","",'Data Entry'!F426)</f>
        <v/>
      </c>
      <c r="G426" s="13">
        <f>IF('Data Entry'!A426="","",'Data Entry'!G426)</f>
        <v/>
      </c>
      <c r="H426" s="10">
        <f>IF('Data Entry'!A426="","",'Data Entry'!H426)</f>
        <v/>
      </c>
      <c r="I426" s="10">
        <f>IF('Data Entry'!A426="","",'Data Entry'!I426)</f>
        <v/>
      </c>
      <c r="J426" s="12">
        <f>IF('Data Entry'!A426="","",IF('Data Entry'!D426&lt;&gt;"",'Data Entry'!D426,'Data Entry'!E426))</f>
        <v/>
      </c>
      <c r="K426" s="10">
        <f>IF('Data Entry'!A426="","",IFERROR(SUMIFS($H$5:$H$2001,$J$5:$J$2001,$J426,$B$5:$B$2001,$B426,$A$5:$A$2001,(MAXIFS($A$5:$A$2001,$J$5:$J$2001,$J426,$B$5:$B$2001,$B426,$A$5:$A$2001,"&lt;"&amp;$A426))),""))</f>
        <v/>
      </c>
      <c r="L426" s="14">
        <f>IF(OR('Data Entry'!A426="",$K426=""),"",$H426-$K426)</f>
        <v/>
      </c>
      <c r="M426" s="15">
        <f>IF(OR('Data Entry'!A426="",$K426="",$K426=0),"",$L426/$K426)</f>
        <v/>
      </c>
      <c r="N426" s="12">
        <f>IF('Data Entry'!A426="","",IF($L426="","New item",IF($L426&gt;0,"UP",IF($L426&lt;0,"down","same"))))</f>
        <v/>
      </c>
    </row>
    <row r="427">
      <c r="A427" s="11">
        <f>IF('Data Entry'!A427="","",'Data Entry'!A427)</f>
        <v/>
      </c>
      <c r="B427" s="12">
        <f>IF('Data Entry'!A427="","",'Data Entry'!B427)</f>
        <v/>
      </c>
      <c r="C427" s="12">
        <f>IF('Data Entry'!A427="","",'Data Entry'!C427)</f>
        <v/>
      </c>
      <c r="D427" s="12">
        <f>IF('Data Entry'!A427="","",'Data Entry'!D427)</f>
        <v/>
      </c>
      <c r="E427" s="12">
        <f>IF('Data Entry'!A427="","",'Data Entry'!E427)</f>
        <v/>
      </c>
      <c r="F427" s="12">
        <f>IF('Data Entry'!A427="","",'Data Entry'!F427)</f>
        <v/>
      </c>
      <c r="G427" s="13">
        <f>IF('Data Entry'!A427="","",'Data Entry'!G427)</f>
        <v/>
      </c>
      <c r="H427" s="10">
        <f>IF('Data Entry'!A427="","",'Data Entry'!H427)</f>
        <v/>
      </c>
      <c r="I427" s="10">
        <f>IF('Data Entry'!A427="","",'Data Entry'!I427)</f>
        <v/>
      </c>
      <c r="J427" s="12">
        <f>IF('Data Entry'!A427="","",IF('Data Entry'!D427&lt;&gt;"",'Data Entry'!D427,'Data Entry'!E427))</f>
        <v/>
      </c>
      <c r="K427" s="10">
        <f>IF('Data Entry'!A427="","",IFERROR(SUMIFS($H$5:$H$2001,$J$5:$J$2001,$J427,$B$5:$B$2001,$B427,$A$5:$A$2001,(MAXIFS($A$5:$A$2001,$J$5:$J$2001,$J427,$B$5:$B$2001,$B427,$A$5:$A$2001,"&lt;"&amp;$A427))),""))</f>
        <v/>
      </c>
      <c r="L427" s="14">
        <f>IF(OR('Data Entry'!A427="",$K427=""),"",$H427-$K427)</f>
        <v/>
      </c>
      <c r="M427" s="15">
        <f>IF(OR('Data Entry'!A427="",$K427="",$K427=0),"",$L427/$K427)</f>
        <v/>
      </c>
      <c r="N427" s="12">
        <f>IF('Data Entry'!A427="","",IF($L427="","New item",IF($L427&gt;0,"UP",IF($L427&lt;0,"down","same"))))</f>
        <v/>
      </c>
    </row>
    <row r="428">
      <c r="A428" s="11">
        <f>IF('Data Entry'!A428="","",'Data Entry'!A428)</f>
        <v/>
      </c>
      <c r="B428" s="12">
        <f>IF('Data Entry'!A428="","",'Data Entry'!B428)</f>
        <v/>
      </c>
      <c r="C428" s="12">
        <f>IF('Data Entry'!A428="","",'Data Entry'!C428)</f>
        <v/>
      </c>
      <c r="D428" s="12">
        <f>IF('Data Entry'!A428="","",'Data Entry'!D428)</f>
        <v/>
      </c>
      <c r="E428" s="12">
        <f>IF('Data Entry'!A428="","",'Data Entry'!E428)</f>
        <v/>
      </c>
      <c r="F428" s="12">
        <f>IF('Data Entry'!A428="","",'Data Entry'!F428)</f>
        <v/>
      </c>
      <c r="G428" s="13">
        <f>IF('Data Entry'!A428="","",'Data Entry'!G428)</f>
        <v/>
      </c>
      <c r="H428" s="10">
        <f>IF('Data Entry'!A428="","",'Data Entry'!H428)</f>
        <v/>
      </c>
      <c r="I428" s="10">
        <f>IF('Data Entry'!A428="","",'Data Entry'!I428)</f>
        <v/>
      </c>
      <c r="J428" s="12">
        <f>IF('Data Entry'!A428="","",IF('Data Entry'!D428&lt;&gt;"",'Data Entry'!D428,'Data Entry'!E428))</f>
        <v/>
      </c>
      <c r="K428" s="10">
        <f>IF('Data Entry'!A428="","",IFERROR(SUMIFS($H$5:$H$2001,$J$5:$J$2001,$J428,$B$5:$B$2001,$B428,$A$5:$A$2001,(MAXIFS($A$5:$A$2001,$J$5:$J$2001,$J428,$B$5:$B$2001,$B428,$A$5:$A$2001,"&lt;"&amp;$A428))),""))</f>
        <v/>
      </c>
      <c r="L428" s="14">
        <f>IF(OR('Data Entry'!A428="",$K428=""),"",$H428-$K428)</f>
        <v/>
      </c>
      <c r="M428" s="15">
        <f>IF(OR('Data Entry'!A428="",$K428="",$K428=0),"",$L428/$K428)</f>
        <v/>
      </c>
      <c r="N428" s="12">
        <f>IF('Data Entry'!A428="","",IF($L428="","New item",IF($L428&gt;0,"UP",IF($L428&lt;0,"down","same"))))</f>
        <v/>
      </c>
    </row>
    <row r="429">
      <c r="A429" s="11">
        <f>IF('Data Entry'!A429="","",'Data Entry'!A429)</f>
        <v/>
      </c>
      <c r="B429" s="12">
        <f>IF('Data Entry'!A429="","",'Data Entry'!B429)</f>
        <v/>
      </c>
      <c r="C429" s="12">
        <f>IF('Data Entry'!A429="","",'Data Entry'!C429)</f>
        <v/>
      </c>
      <c r="D429" s="12">
        <f>IF('Data Entry'!A429="","",'Data Entry'!D429)</f>
        <v/>
      </c>
      <c r="E429" s="12">
        <f>IF('Data Entry'!A429="","",'Data Entry'!E429)</f>
        <v/>
      </c>
      <c r="F429" s="12">
        <f>IF('Data Entry'!A429="","",'Data Entry'!F429)</f>
        <v/>
      </c>
      <c r="G429" s="13">
        <f>IF('Data Entry'!A429="","",'Data Entry'!G429)</f>
        <v/>
      </c>
      <c r="H429" s="10">
        <f>IF('Data Entry'!A429="","",'Data Entry'!H429)</f>
        <v/>
      </c>
      <c r="I429" s="10">
        <f>IF('Data Entry'!A429="","",'Data Entry'!I429)</f>
        <v/>
      </c>
      <c r="J429" s="12">
        <f>IF('Data Entry'!A429="","",IF('Data Entry'!D429&lt;&gt;"",'Data Entry'!D429,'Data Entry'!E429))</f>
        <v/>
      </c>
      <c r="K429" s="10">
        <f>IF('Data Entry'!A429="","",IFERROR(SUMIFS($H$5:$H$2001,$J$5:$J$2001,$J429,$B$5:$B$2001,$B429,$A$5:$A$2001,(MAXIFS($A$5:$A$2001,$J$5:$J$2001,$J429,$B$5:$B$2001,$B429,$A$5:$A$2001,"&lt;"&amp;$A429))),""))</f>
        <v/>
      </c>
      <c r="L429" s="14">
        <f>IF(OR('Data Entry'!A429="",$K429=""),"",$H429-$K429)</f>
        <v/>
      </c>
      <c r="M429" s="15">
        <f>IF(OR('Data Entry'!A429="",$K429="",$K429=0),"",$L429/$K429)</f>
        <v/>
      </c>
      <c r="N429" s="12">
        <f>IF('Data Entry'!A429="","",IF($L429="","New item",IF($L429&gt;0,"UP",IF($L429&lt;0,"down","same"))))</f>
        <v/>
      </c>
    </row>
    <row r="430">
      <c r="A430" s="11">
        <f>IF('Data Entry'!A430="","",'Data Entry'!A430)</f>
        <v/>
      </c>
      <c r="B430" s="12">
        <f>IF('Data Entry'!A430="","",'Data Entry'!B430)</f>
        <v/>
      </c>
      <c r="C430" s="12">
        <f>IF('Data Entry'!A430="","",'Data Entry'!C430)</f>
        <v/>
      </c>
      <c r="D430" s="12">
        <f>IF('Data Entry'!A430="","",'Data Entry'!D430)</f>
        <v/>
      </c>
      <c r="E430" s="12">
        <f>IF('Data Entry'!A430="","",'Data Entry'!E430)</f>
        <v/>
      </c>
      <c r="F430" s="12">
        <f>IF('Data Entry'!A430="","",'Data Entry'!F430)</f>
        <v/>
      </c>
      <c r="G430" s="13">
        <f>IF('Data Entry'!A430="","",'Data Entry'!G430)</f>
        <v/>
      </c>
      <c r="H430" s="10">
        <f>IF('Data Entry'!A430="","",'Data Entry'!H430)</f>
        <v/>
      </c>
      <c r="I430" s="10">
        <f>IF('Data Entry'!A430="","",'Data Entry'!I430)</f>
        <v/>
      </c>
      <c r="J430" s="12">
        <f>IF('Data Entry'!A430="","",IF('Data Entry'!D430&lt;&gt;"",'Data Entry'!D430,'Data Entry'!E430))</f>
        <v/>
      </c>
      <c r="K430" s="10">
        <f>IF('Data Entry'!A430="","",IFERROR(SUMIFS($H$5:$H$2001,$J$5:$J$2001,$J430,$B$5:$B$2001,$B430,$A$5:$A$2001,(MAXIFS($A$5:$A$2001,$J$5:$J$2001,$J430,$B$5:$B$2001,$B430,$A$5:$A$2001,"&lt;"&amp;$A430))),""))</f>
        <v/>
      </c>
      <c r="L430" s="14">
        <f>IF(OR('Data Entry'!A430="",$K430=""),"",$H430-$K430)</f>
        <v/>
      </c>
      <c r="M430" s="15">
        <f>IF(OR('Data Entry'!A430="",$K430="",$K430=0),"",$L430/$K430)</f>
        <v/>
      </c>
      <c r="N430" s="12">
        <f>IF('Data Entry'!A430="","",IF($L430="","New item",IF($L430&gt;0,"UP",IF($L430&lt;0,"down","same"))))</f>
        <v/>
      </c>
    </row>
    <row r="431">
      <c r="A431" s="11">
        <f>IF('Data Entry'!A431="","",'Data Entry'!A431)</f>
        <v/>
      </c>
      <c r="B431" s="12">
        <f>IF('Data Entry'!A431="","",'Data Entry'!B431)</f>
        <v/>
      </c>
      <c r="C431" s="12">
        <f>IF('Data Entry'!A431="","",'Data Entry'!C431)</f>
        <v/>
      </c>
      <c r="D431" s="12">
        <f>IF('Data Entry'!A431="","",'Data Entry'!D431)</f>
        <v/>
      </c>
      <c r="E431" s="12">
        <f>IF('Data Entry'!A431="","",'Data Entry'!E431)</f>
        <v/>
      </c>
      <c r="F431" s="12">
        <f>IF('Data Entry'!A431="","",'Data Entry'!F431)</f>
        <v/>
      </c>
      <c r="G431" s="13">
        <f>IF('Data Entry'!A431="","",'Data Entry'!G431)</f>
        <v/>
      </c>
      <c r="H431" s="10">
        <f>IF('Data Entry'!A431="","",'Data Entry'!H431)</f>
        <v/>
      </c>
      <c r="I431" s="10">
        <f>IF('Data Entry'!A431="","",'Data Entry'!I431)</f>
        <v/>
      </c>
      <c r="J431" s="12">
        <f>IF('Data Entry'!A431="","",IF('Data Entry'!D431&lt;&gt;"",'Data Entry'!D431,'Data Entry'!E431))</f>
        <v/>
      </c>
      <c r="K431" s="10">
        <f>IF('Data Entry'!A431="","",IFERROR(SUMIFS($H$5:$H$2001,$J$5:$J$2001,$J431,$B$5:$B$2001,$B431,$A$5:$A$2001,(MAXIFS($A$5:$A$2001,$J$5:$J$2001,$J431,$B$5:$B$2001,$B431,$A$5:$A$2001,"&lt;"&amp;$A431))),""))</f>
        <v/>
      </c>
      <c r="L431" s="14">
        <f>IF(OR('Data Entry'!A431="",$K431=""),"",$H431-$K431)</f>
        <v/>
      </c>
      <c r="M431" s="15">
        <f>IF(OR('Data Entry'!A431="",$K431="",$K431=0),"",$L431/$K431)</f>
        <v/>
      </c>
      <c r="N431" s="12">
        <f>IF('Data Entry'!A431="","",IF($L431="","New item",IF($L431&gt;0,"UP",IF($L431&lt;0,"down","same"))))</f>
        <v/>
      </c>
    </row>
    <row r="432">
      <c r="A432" s="11">
        <f>IF('Data Entry'!A432="","",'Data Entry'!A432)</f>
        <v/>
      </c>
      <c r="B432" s="12">
        <f>IF('Data Entry'!A432="","",'Data Entry'!B432)</f>
        <v/>
      </c>
      <c r="C432" s="12">
        <f>IF('Data Entry'!A432="","",'Data Entry'!C432)</f>
        <v/>
      </c>
      <c r="D432" s="12">
        <f>IF('Data Entry'!A432="","",'Data Entry'!D432)</f>
        <v/>
      </c>
      <c r="E432" s="12">
        <f>IF('Data Entry'!A432="","",'Data Entry'!E432)</f>
        <v/>
      </c>
      <c r="F432" s="12">
        <f>IF('Data Entry'!A432="","",'Data Entry'!F432)</f>
        <v/>
      </c>
      <c r="G432" s="13">
        <f>IF('Data Entry'!A432="","",'Data Entry'!G432)</f>
        <v/>
      </c>
      <c r="H432" s="10">
        <f>IF('Data Entry'!A432="","",'Data Entry'!H432)</f>
        <v/>
      </c>
      <c r="I432" s="10">
        <f>IF('Data Entry'!A432="","",'Data Entry'!I432)</f>
        <v/>
      </c>
      <c r="J432" s="12">
        <f>IF('Data Entry'!A432="","",IF('Data Entry'!D432&lt;&gt;"",'Data Entry'!D432,'Data Entry'!E432))</f>
        <v/>
      </c>
      <c r="K432" s="10">
        <f>IF('Data Entry'!A432="","",IFERROR(SUMIFS($H$5:$H$2001,$J$5:$J$2001,$J432,$B$5:$B$2001,$B432,$A$5:$A$2001,(MAXIFS($A$5:$A$2001,$J$5:$J$2001,$J432,$B$5:$B$2001,$B432,$A$5:$A$2001,"&lt;"&amp;$A432))),""))</f>
        <v/>
      </c>
      <c r="L432" s="14">
        <f>IF(OR('Data Entry'!A432="",$K432=""),"",$H432-$K432)</f>
        <v/>
      </c>
      <c r="M432" s="15">
        <f>IF(OR('Data Entry'!A432="",$K432="",$K432=0),"",$L432/$K432)</f>
        <v/>
      </c>
      <c r="N432" s="12">
        <f>IF('Data Entry'!A432="","",IF($L432="","New item",IF($L432&gt;0,"UP",IF($L432&lt;0,"down","same"))))</f>
        <v/>
      </c>
    </row>
    <row r="433">
      <c r="A433" s="11">
        <f>IF('Data Entry'!A433="","",'Data Entry'!A433)</f>
        <v/>
      </c>
      <c r="B433" s="12">
        <f>IF('Data Entry'!A433="","",'Data Entry'!B433)</f>
        <v/>
      </c>
      <c r="C433" s="12">
        <f>IF('Data Entry'!A433="","",'Data Entry'!C433)</f>
        <v/>
      </c>
      <c r="D433" s="12">
        <f>IF('Data Entry'!A433="","",'Data Entry'!D433)</f>
        <v/>
      </c>
      <c r="E433" s="12">
        <f>IF('Data Entry'!A433="","",'Data Entry'!E433)</f>
        <v/>
      </c>
      <c r="F433" s="12">
        <f>IF('Data Entry'!A433="","",'Data Entry'!F433)</f>
        <v/>
      </c>
      <c r="G433" s="13">
        <f>IF('Data Entry'!A433="","",'Data Entry'!G433)</f>
        <v/>
      </c>
      <c r="H433" s="10">
        <f>IF('Data Entry'!A433="","",'Data Entry'!H433)</f>
        <v/>
      </c>
      <c r="I433" s="10">
        <f>IF('Data Entry'!A433="","",'Data Entry'!I433)</f>
        <v/>
      </c>
      <c r="J433" s="12">
        <f>IF('Data Entry'!A433="","",IF('Data Entry'!D433&lt;&gt;"",'Data Entry'!D433,'Data Entry'!E433))</f>
        <v/>
      </c>
      <c r="K433" s="10">
        <f>IF('Data Entry'!A433="","",IFERROR(SUMIFS($H$5:$H$2001,$J$5:$J$2001,$J433,$B$5:$B$2001,$B433,$A$5:$A$2001,(MAXIFS($A$5:$A$2001,$J$5:$J$2001,$J433,$B$5:$B$2001,$B433,$A$5:$A$2001,"&lt;"&amp;$A433))),""))</f>
        <v/>
      </c>
      <c r="L433" s="14">
        <f>IF(OR('Data Entry'!A433="",$K433=""),"",$H433-$K433)</f>
        <v/>
      </c>
      <c r="M433" s="15">
        <f>IF(OR('Data Entry'!A433="",$K433="",$K433=0),"",$L433/$K433)</f>
        <v/>
      </c>
      <c r="N433" s="12">
        <f>IF('Data Entry'!A433="","",IF($L433="","New item",IF($L433&gt;0,"UP",IF($L433&lt;0,"down","same"))))</f>
        <v/>
      </c>
    </row>
    <row r="434">
      <c r="A434" s="11">
        <f>IF('Data Entry'!A434="","",'Data Entry'!A434)</f>
        <v/>
      </c>
      <c r="B434" s="12">
        <f>IF('Data Entry'!A434="","",'Data Entry'!B434)</f>
        <v/>
      </c>
      <c r="C434" s="12">
        <f>IF('Data Entry'!A434="","",'Data Entry'!C434)</f>
        <v/>
      </c>
      <c r="D434" s="12">
        <f>IF('Data Entry'!A434="","",'Data Entry'!D434)</f>
        <v/>
      </c>
      <c r="E434" s="12">
        <f>IF('Data Entry'!A434="","",'Data Entry'!E434)</f>
        <v/>
      </c>
      <c r="F434" s="12">
        <f>IF('Data Entry'!A434="","",'Data Entry'!F434)</f>
        <v/>
      </c>
      <c r="G434" s="13">
        <f>IF('Data Entry'!A434="","",'Data Entry'!G434)</f>
        <v/>
      </c>
      <c r="H434" s="10">
        <f>IF('Data Entry'!A434="","",'Data Entry'!H434)</f>
        <v/>
      </c>
      <c r="I434" s="10">
        <f>IF('Data Entry'!A434="","",'Data Entry'!I434)</f>
        <v/>
      </c>
      <c r="J434" s="12">
        <f>IF('Data Entry'!A434="","",IF('Data Entry'!D434&lt;&gt;"",'Data Entry'!D434,'Data Entry'!E434))</f>
        <v/>
      </c>
      <c r="K434" s="10">
        <f>IF('Data Entry'!A434="","",IFERROR(SUMIFS($H$5:$H$2001,$J$5:$J$2001,$J434,$B$5:$B$2001,$B434,$A$5:$A$2001,(MAXIFS($A$5:$A$2001,$J$5:$J$2001,$J434,$B$5:$B$2001,$B434,$A$5:$A$2001,"&lt;"&amp;$A434))),""))</f>
        <v/>
      </c>
      <c r="L434" s="14">
        <f>IF(OR('Data Entry'!A434="",$K434=""),"",$H434-$K434)</f>
        <v/>
      </c>
      <c r="M434" s="15">
        <f>IF(OR('Data Entry'!A434="",$K434="",$K434=0),"",$L434/$K434)</f>
        <v/>
      </c>
      <c r="N434" s="12">
        <f>IF('Data Entry'!A434="","",IF($L434="","New item",IF($L434&gt;0,"UP",IF($L434&lt;0,"down","same"))))</f>
        <v/>
      </c>
    </row>
    <row r="435">
      <c r="A435" s="11">
        <f>IF('Data Entry'!A435="","",'Data Entry'!A435)</f>
        <v/>
      </c>
      <c r="B435" s="12">
        <f>IF('Data Entry'!A435="","",'Data Entry'!B435)</f>
        <v/>
      </c>
      <c r="C435" s="12">
        <f>IF('Data Entry'!A435="","",'Data Entry'!C435)</f>
        <v/>
      </c>
      <c r="D435" s="12">
        <f>IF('Data Entry'!A435="","",'Data Entry'!D435)</f>
        <v/>
      </c>
      <c r="E435" s="12">
        <f>IF('Data Entry'!A435="","",'Data Entry'!E435)</f>
        <v/>
      </c>
      <c r="F435" s="12">
        <f>IF('Data Entry'!A435="","",'Data Entry'!F435)</f>
        <v/>
      </c>
      <c r="G435" s="13">
        <f>IF('Data Entry'!A435="","",'Data Entry'!G435)</f>
        <v/>
      </c>
      <c r="H435" s="10">
        <f>IF('Data Entry'!A435="","",'Data Entry'!H435)</f>
        <v/>
      </c>
      <c r="I435" s="10">
        <f>IF('Data Entry'!A435="","",'Data Entry'!I435)</f>
        <v/>
      </c>
      <c r="J435" s="12">
        <f>IF('Data Entry'!A435="","",IF('Data Entry'!D435&lt;&gt;"",'Data Entry'!D435,'Data Entry'!E435))</f>
        <v/>
      </c>
      <c r="K435" s="10">
        <f>IF('Data Entry'!A435="","",IFERROR(SUMIFS($H$5:$H$2001,$J$5:$J$2001,$J435,$B$5:$B$2001,$B435,$A$5:$A$2001,(MAXIFS($A$5:$A$2001,$J$5:$J$2001,$J435,$B$5:$B$2001,$B435,$A$5:$A$2001,"&lt;"&amp;$A435))),""))</f>
        <v/>
      </c>
      <c r="L435" s="14">
        <f>IF(OR('Data Entry'!A435="",$K435=""),"",$H435-$K435)</f>
        <v/>
      </c>
      <c r="M435" s="15">
        <f>IF(OR('Data Entry'!A435="",$K435="",$K435=0),"",$L435/$K435)</f>
        <v/>
      </c>
      <c r="N435" s="12">
        <f>IF('Data Entry'!A435="","",IF($L435="","New item",IF($L435&gt;0,"UP",IF($L435&lt;0,"down","same"))))</f>
        <v/>
      </c>
    </row>
    <row r="436">
      <c r="A436" s="11">
        <f>IF('Data Entry'!A436="","",'Data Entry'!A436)</f>
        <v/>
      </c>
      <c r="B436" s="12">
        <f>IF('Data Entry'!A436="","",'Data Entry'!B436)</f>
        <v/>
      </c>
      <c r="C436" s="12">
        <f>IF('Data Entry'!A436="","",'Data Entry'!C436)</f>
        <v/>
      </c>
      <c r="D436" s="12">
        <f>IF('Data Entry'!A436="","",'Data Entry'!D436)</f>
        <v/>
      </c>
      <c r="E436" s="12">
        <f>IF('Data Entry'!A436="","",'Data Entry'!E436)</f>
        <v/>
      </c>
      <c r="F436" s="12">
        <f>IF('Data Entry'!A436="","",'Data Entry'!F436)</f>
        <v/>
      </c>
      <c r="G436" s="13">
        <f>IF('Data Entry'!A436="","",'Data Entry'!G436)</f>
        <v/>
      </c>
      <c r="H436" s="10">
        <f>IF('Data Entry'!A436="","",'Data Entry'!H436)</f>
        <v/>
      </c>
      <c r="I436" s="10">
        <f>IF('Data Entry'!A436="","",'Data Entry'!I436)</f>
        <v/>
      </c>
      <c r="J436" s="12">
        <f>IF('Data Entry'!A436="","",IF('Data Entry'!D436&lt;&gt;"",'Data Entry'!D436,'Data Entry'!E436))</f>
        <v/>
      </c>
      <c r="K436" s="10">
        <f>IF('Data Entry'!A436="","",IFERROR(SUMIFS($H$5:$H$2001,$J$5:$J$2001,$J436,$B$5:$B$2001,$B436,$A$5:$A$2001,(MAXIFS($A$5:$A$2001,$J$5:$J$2001,$J436,$B$5:$B$2001,$B436,$A$5:$A$2001,"&lt;"&amp;$A436))),""))</f>
        <v/>
      </c>
      <c r="L436" s="14">
        <f>IF(OR('Data Entry'!A436="",$K436=""),"",$H436-$K436)</f>
        <v/>
      </c>
      <c r="M436" s="15">
        <f>IF(OR('Data Entry'!A436="",$K436="",$K436=0),"",$L436/$K436)</f>
        <v/>
      </c>
      <c r="N436" s="12">
        <f>IF('Data Entry'!A436="","",IF($L436="","New item",IF($L436&gt;0,"UP",IF($L436&lt;0,"down","same"))))</f>
        <v/>
      </c>
    </row>
    <row r="437">
      <c r="A437" s="11">
        <f>IF('Data Entry'!A437="","",'Data Entry'!A437)</f>
        <v/>
      </c>
      <c r="B437" s="12">
        <f>IF('Data Entry'!A437="","",'Data Entry'!B437)</f>
        <v/>
      </c>
      <c r="C437" s="12">
        <f>IF('Data Entry'!A437="","",'Data Entry'!C437)</f>
        <v/>
      </c>
      <c r="D437" s="12">
        <f>IF('Data Entry'!A437="","",'Data Entry'!D437)</f>
        <v/>
      </c>
      <c r="E437" s="12">
        <f>IF('Data Entry'!A437="","",'Data Entry'!E437)</f>
        <v/>
      </c>
      <c r="F437" s="12">
        <f>IF('Data Entry'!A437="","",'Data Entry'!F437)</f>
        <v/>
      </c>
      <c r="G437" s="13">
        <f>IF('Data Entry'!A437="","",'Data Entry'!G437)</f>
        <v/>
      </c>
      <c r="H437" s="10">
        <f>IF('Data Entry'!A437="","",'Data Entry'!H437)</f>
        <v/>
      </c>
      <c r="I437" s="10">
        <f>IF('Data Entry'!A437="","",'Data Entry'!I437)</f>
        <v/>
      </c>
      <c r="J437" s="12">
        <f>IF('Data Entry'!A437="","",IF('Data Entry'!D437&lt;&gt;"",'Data Entry'!D437,'Data Entry'!E437))</f>
        <v/>
      </c>
      <c r="K437" s="10">
        <f>IF('Data Entry'!A437="","",IFERROR(SUMIFS($H$5:$H$2001,$J$5:$J$2001,$J437,$B$5:$B$2001,$B437,$A$5:$A$2001,(MAXIFS($A$5:$A$2001,$J$5:$J$2001,$J437,$B$5:$B$2001,$B437,$A$5:$A$2001,"&lt;"&amp;$A437))),""))</f>
        <v/>
      </c>
      <c r="L437" s="14">
        <f>IF(OR('Data Entry'!A437="",$K437=""),"",$H437-$K437)</f>
        <v/>
      </c>
      <c r="M437" s="15">
        <f>IF(OR('Data Entry'!A437="",$K437="",$K437=0),"",$L437/$K437)</f>
        <v/>
      </c>
      <c r="N437" s="12">
        <f>IF('Data Entry'!A437="","",IF($L437="","New item",IF($L437&gt;0,"UP",IF($L437&lt;0,"down","same"))))</f>
        <v/>
      </c>
    </row>
    <row r="438">
      <c r="A438" s="11">
        <f>IF('Data Entry'!A438="","",'Data Entry'!A438)</f>
        <v/>
      </c>
      <c r="B438" s="12">
        <f>IF('Data Entry'!A438="","",'Data Entry'!B438)</f>
        <v/>
      </c>
      <c r="C438" s="12">
        <f>IF('Data Entry'!A438="","",'Data Entry'!C438)</f>
        <v/>
      </c>
      <c r="D438" s="12">
        <f>IF('Data Entry'!A438="","",'Data Entry'!D438)</f>
        <v/>
      </c>
      <c r="E438" s="12">
        <f>IF('Data Entry'!A438="","",'Data Entry'!E438)</f>
        <v/>
      </c>
      <c r="F438" s="12">
        <f>IF('Data Entry'!A438="","",'Data Entry'!F438)</f>
        <v/>
      </c>
      <c r="G438" s="13">
        <f>IF('Data Entry'!A438="","",'Data Entry'!G438)</f>
        <v/>
      </c>
      <c r="H438" s="10">
        <f>IF('Data Entry'!A438="","",'Data Entry'!H438)</f>
        <v/>
      </c>
      <c r="I438" s="10">
        <f>IF('Data Entry'!A438="","",'Data Entry'!I438)</f>
        <v/>
      </c>
      <c r="J438" s="12">
        <f>IF('Data Entry'!A438="","",IF('Data Entry'!D438&lt;&gt;"",'Data Entry'!D438,'Data Entry'!E438))</f>
        <v/>
      </c>
      <c r="K438" s="10">
        <f>IF('Data Entry'!A438="","",IFERROR(SUMIFS($H$5:$H$2001,$J$5:$J$2001,$J438,$B$5:$B$2001,$B438,$A$5:$A$2001,(MAXIFS($A$5:$A$2001,$J$5:$J$2001,$J438,$B$5:$B$2001,$B438,$A$5:$A$2001,"&lt;"&amp;$A438))),""))</f>
        <v/>
      </c>
      <c r="L438" s="14">
        <f>IF(OR('Data Entry'!A438="",$K438=""),"",$H438-$K438)</f>
        <v/>
      </c>
      <c r="M438" s="15">
        <f>IF(OR('Data Entry'!A438="",$K438="",$K438=0),"",$L438/$K438)</f>
        <v/>
      </c>
      <c r="N438" s="12">
        <f>IF('Data Entry'!A438="","",IF($L438="","New item",IF($L438&gt;0,"UP",IF($L438&lt;0,"down","same"))))</f>
        <v/>
      </c>
    </row>
    <row r="439">
      <c r="A439" s="11">
        <f>IF('Data Entry'!A439="","",'Data Entry'!A439)</f>
        <v/>
      </c>
      <c r="B439" s="12">
        <f>IF('Data Entry'!A439="","",'Data Entry'!B439)</f>
        <v/>
      </c>
      <c r="C439" s="12">
        <f>IF('Data Entry'!A439="","",'Data Entry'!C439)</f>
        <v/>
      </c>
      <c r="D439" s="12">
        <f>IF('Data Entry'!A439="","",'Data Entry'!D439)</f>
        <v/>
      </c>
      <c r="E439" s="12">
        <f>IF('Data Entry'!A439="","",'Data Entry'!E439)</f>
        <v/>
      </c>
      <c r="F439" s="12">
        <f>IF('Data Entry'!A439="","",'Data Entry'!F439)</f>
        <v/>
      </c>
      <c r="G439" s="13">
        <f>IF('Data Entry'!A439="","",'Data Entry'!G439)</f>
        <v/>
      </c>
      <c r="H439" s="10">
        <f>IF('Data Entry'!A439="","",'Data Entry'!H439)</f>
        <v/>
      </c>
      <c r="I439" s="10">
        <f>IF('Data Entry'!A439="","",'Data Entry'!I439)</f>
        <v/>
      </c>
      <c r="J439" s="12">
        <f>IF('Data Entry'!A439="","",IF('Data Entry'!D439&lt;&gt;"",'Data Entry'!D439,'Data Entry'!E439))</f>
        <v/>
      </c>
      <c r="K439" s="10">
        <f>IF('Data Entry'!A439="","",IFERROR(SUMIFS($H$5:$H$2001,$J$5:$J$2001,$J439,$B$5:$B$2001,$B439,$A$5:$A$2001,(MAXIFS($A$5:$A$2001,$J$5:$J$2001,$J439,$B$5:$B$2001,$B439,$A$5:$A$2001,"&lt;"&amp;$A439))),""))</f>
        <v/>
      </c>
      <c r="L439" s="14">
        <f>IF(OR('Data Entry'!A439="",$K439=""),"",$H439-$K439)</f>
        <v/>
      </c>
      <c r="M439" s="15">
        <f>IF(OR('Data Entry'!A439="",$K439="",$K439=0),"",$L439/$K439)</f>
        <v/>
      </c>
      <c r="N439" s="12">
        <f>IF('Data Entry'!A439="","",IF($L439="","New item",IF($L439&gt;0,"UP",IF($L439&lt;0,"down","same"))))</f>
        <v/>
      </c>
    </row>
    <row r="440">
      <c r="A440" s="11">
        <f>IF('Data Entry'!A440="","",'Data Entry'!A440)</f>
        <v/>
      </c>
      <c r="B440" s="12">
        <f>IF('Data Entry'!A440="","",'Data Entry'!B440)</f>
        <v/>
      </c>
      <c r="C440" s="12">
        <f>IF('Data Entry'!A440="","",'Data Entry'!C440)</f>
        <v/>
      </c>
      <c r="D440" s="12">
        <f>IF('Data Entry'!A440="","",'Data Entry'!D440)</f>
        <v/>
      </c>
      <c r="E440" s="12">
        <f>IF('Data Entry'!A440="","",'Data Entry'!E440)</f>
        <v/>
      </c>
      <c r="F440" s="12">
        <f>IF('Data Entry'!A440="","",'Data Entry'!F440)</f>
        <v/>
      </c>
      <c r="G440" s="13">
        <f>IF('Data Entry'!A440="","",'Data Entry'!G440)</f>
        <v/>
      </c>
      <c r="H440" s="10">
        <f>IF('Data Entry'!A440="","",'Data Entry'!H440)</f>
        <v/>
      </c>
      <c r="I440" s="10">
        <f>IF('Data Entry'!A440="","",'Data Entry'!I440)</f>
        <v/>
      </c>
      <c r="J440" s="12">
        <f>IF('Data Entry'!A440="","",IF('Data Entry'!D440&lt;&gt;"",'Data Entry'!D440,'Data Entry'!E440))</f>
        <v/>
      </c>
      <c r="K440" s="10">
        <f>IF('Data Entry'!A440="","",IFERROR(SUMIFS($H$5:$H$2001,$J$5:$J$2001,$J440,$B$5:$B$2001,$B440,$A$5:$A$2001,(MAXIFS($A$5:$A$2001,$J$5:$J$2001,$J440,$B$5:$B$2001,$B440,$A$5:$A$2001,"&lt;"&amp;$A440))),""))</f>
        <v/>
      </c>
      <c r="L440" s="14">
        <f>IF(OR('Data Entry'!A440="",$K440=""),"",$H440-$K440)</f>
        <v/>
      </c>
      <c r="M440" s="15">
        <f>IF(OR('Data Entry'!A440="",$K440="",$K440=0),"",$L440/$K440)</f>
        <v/>
      </c>
      <c r="N440" s="12">
        <f>IF('Data Entry'!A440="","",IF($L440="","New item",IF($L440&gt;0,"UP",IF($L440&lt;0,"down","same"))))</f>
        <v/>
      </c>
    </row>
    <row r="441">
      <c r="A441" s="11">
        <f>IF('Data Entry'!A441="","",'Data Entry'!A441)</f>
        <v/>
      </c>
      <c r="B441" s="12">
        <f>IF('Data Entry'!A441="","",'Data Entry'!B441)</f>
        <v/>
      </c>
      <c r="C441" s="12">
        <f>IF('Data Entry'!A441="","",'Data Entry'!C441)</f>
        <v/>
      </c>
      <c r="D441" s="12">
        <f>IF('Data Entry'!A441="","",'Data Entry'!D441)</f>
        <v/>
      </c>
      <c r="E441" s="12">
        <f>IF('Data Entry'!A441="","",'Data Entry'!E441)</f>
        <v/>
      </c>
      <c r="F441" s="12">
        <f>IF('Data Entry'!A441="","",'Data Entry'!F441)</f>
        <v/>
      </c>
      <c r="G441" s="13">
        <f>IF('Data Entry'!A441="","",'Data Entry'!G441)</f>
        <v/>
      </c>
      <c r="H441" s="10">
        <f>IF('Data Entry'!A441="","",'Data Entry'!H441)</f>
        <v/>
      </c>
      <c r="I441" s="10">
        <f>IF('Data Entry'!A441="","",'Data Entry'!I441)</f>
        <v/>
      </c>
      <c r="J441" s="12">
        <f>IF('Data Entry'!A441="","",IF('Data Entry'!D441&lt;&gt;"",'Data Entry'!D441,'Data Entry'!E441))</f>
        <v/>
      </c>
      <c r="K441" s="10">
        <f>IF('Data Entry'!A441="","",IFERROR(SUMIFS($H$5:$H$2001,$J$5:$J$2001,$J441,$B$5:$B$2001,$B441,$A$5:$A$2001,(MAXIFS($A$5:$A$2001,$J$5:$J$2001,$J441,$B$5:$B$2001,$B441,$A$5:$A$2001,"&lt;"&amp;$A441))),""))</f>
        <v/>
      </c>
      <c r="L441" s="14">
        <f>IF(OR('Data Entry'!A441="",$K441=""),"",$H441-$K441)</f>
        <v/>
      </c>
      <c r="M441" s="15">
        <f>IF(OR('Data Entry'!A441="",$K441="",$K441=0),"",$L441/$K441)</f>
        <v/>
      </c>
      <c r="N441" s="12">
        <f>IF('Data Entry'!A441="","",IF($L441="","New item",IF($L441&gt;0,"UP",IF($L441&lt;0,"down","same"))))</f>
        <v/>
      </c>
    </row>
    <row r="442">
      <c r="A442" s="11">
        <f>IF('Data Entry'!A442="","",'Data Entry'!A442)</f>
        <v/>
      </c>
      <c r="B442" s="12">
        <f>IF('Data Entry'!A442="","",'Data Entry'!B442)</f>
        <v/>
      </c>
      <c r="C442" s="12">
        <f>IF('Data Entry'!A442="","",'Data Entry'!C442)</f>
        <v/>
      </c>
      <c r="D442" s="12">
        <f>IF('Data Entry'!A442="","",'Data Entry'!D442)</f>
        <v/>
      </c>
      <c r="E442" s="12">
        <f>IF('Data Entry'!A442="","",'Data Entry'!E442)</f>
        <v/>
      </c>
      <c r="F442" s="12">
        <f>IF('Data Entry'!A442="","",'Data Entry'!F442)</f>
        <v/>
      </c>
      <c r="G442" s="13">
        <f>IF('Data Entry'!A442="","",'Data Entry'!G442)</f>
        <v/>
      </c>
      <c r="H442" s="10">
        <f>IF('Data Entry'!A442="","",'Data Entry'!H442)</f>
        <v/>
      </c>
      <c r="I442" s="10">
        <f>IF('Data Entry'!A442="","",'Data Entry'!I442)</f>
        <v/>
      </c>
      <c r="J442" s="12">
        <f>IF('Data Entry'!A442="","",IF('Data Entry'!D442&lt;&gt;"",'Data Entry'!D442,'Data Entry'!E442))</f>
        <v/>
      </c>
      <c r="K442" s="10">
        <f>IF('Data Entry'!A442="","",IFERROR(SUMIFS($H$5:$H$2001,$J$5:$J$2001,$J442,$B$5:$B$2001,$B442,$A$5:$A$2001,(MAXIFS($A$5:$A$2001,$J$5:$J$2001,$J442,$B$5:$B$2001,$B442,$A$5:$A$2001,"&lt;"&amp;$A442))),""))</f>
        <v/>
      </c>
      <c r="L442" s="14">
        <f>IF(OR('Data Entry'!A442="",$K442=""),"",$H442-$K442)</f>
        <v/>
      </c>
      <c r="M442" s="15">
        <f>IF(OR('Data Entry'!A442="",$K442="",$K442=0),"",$L442/$K442)</f>
        <v/>
      </c>
      <c r="N442" s="12">
        <f>IF('Data Entry'!A442="","",IF($L442="","New item",IF($L442&gt;0,"UP",IF($L442&lt;0,"down","same"))))</f>
        <v/>
      </c>
    </row>
    <row r="443">
      <c r="A443" s="11">
        <f>IF('Data Entry'!A443="","",'Data Entry'!A443)</f>
        <v/>
      </c>
      <c r="B443" s="12">
        <f>IF('Data Entry'!A443="","",'Data Entry'!B443)</f>
        <v/>
      </c>
      <c r="C443" s="12">
        <f>IF('Data Entry'!A443="","",'Data Entry'!C443)</f>
        <v/>
      </c>
      <c r="D443" s="12">
        <f>IF('Data Entry'!A443="","",'Data Entry'!D443)</f>
        <v/>
      </c>
      <c r="E443" s="12">
        <f>IF('Data Entry'!A443="","",'Data Entry'!E443)</f>
        <v/>
      </c>
      <c r="F443" s="12">
        <f>IF('Data Entry'!A443="","",'Data Entry'!F443)</f>
        <v/>
      </c>
      <c r="G443" s="13">
        <f>IF('Data Entry'!A443="","",'Data Entry'!G443)</f>
        <v/>
      </c>
      <c r="H443" s="10">
        <f>IF('Data Entry'!A443="","",'Data Entry'!H443)</f>
        <v/>
      </c>
      <c r="I443" s="10">
        <f>IF('Data Entry'!A443="","",'Data Entry'!I443)</f>
        <v/>
      </c>
      <c r="J443" s="12">
        <f>IF('Data Entry'!A443="","",IF('Data Entry'!D443&lt;&gt;"",'Data Entry'!D443,'Data Entry'!E443))</f>
        <v/>
      </c>
      <c r="K443" s="10">
        <f>IF('Data Entry'!A443="","",IFERROR(SUMIFS($H$5:$H$2001,$J$5:$J$2001,$J443,$B$5:$B$2001,$B443,$A$5:$A$2001,(MAXIFS($A$5:$A$2001,$J$5:$J$2001,$J443,$B$5:$B$2001,$B443,$A$5:$A$2001,"&lt;"&amp;$A443))),""))</f>
        <v/>
      </c>
      <c r="L443" s="14">
        <f>IF(OR('Data Entry'!A443="",$K443=""),"",$H443-$K443)</f>
        <v/>
      </c>
      <c r="M443" s="15">
        <f>IF(OR('Data Entry'!A443="",$K443="",$K443=0),"",$L443/$K443)</f>
        <v/>
      </c>
      <c r="N443" s="12">
        <f>IF('Data Entry'!A443="","",IF($L443="","New item",IF($L443&gt;0,"UP",IF($L443&lt;0,"down","same"))))</f>
        <v/>
      </c>
    </row>
    <row r="444">
      <c r="A444" s="11">
        <f>IF('Data Entry'!A444="","",'Data Entry'!A444)</f>
        <v/>
      </c>
      <c r="B444" s="12">
        <f>IF('Data Entry'!A444="","",'Data Entry'!B444)</f>
        <v/>
      </c>
      <c r="C444" s="12">
        <f>IF('Data Entry'!A444="","",'Data Entry'!C444)</f>
        <v/>
      </c>
      <c r="D444" s="12">
        <f>IF('Data Entry'!A444="","",'Data Entry'!D444)</f>
        <v/>
      </c>
      <c r="E444" s="12">
        <f>IF('Data Entry'!A444="","",'Data Entry'!E444)</f>
        <v/>
      </c>
      <c r="F444" s="12">
        <f>IF('Data Entry'!A444="","",'Data Entry'!F444)</f>
        <v/>
      </c>
      <c r="G444" s="13">
        <f>IF('Data Entry'!A444="","",'Data Entry'!G444)</f>
        <v/>
      </c>
      <c r="H444" s="10">
        <f>IF('Data Entry'!A444="","",'Data Entry'!H444)</f>
        <v/>
      </c>
      <c r="I444" s="10">
        <f>IF('Data Entry'!A444="","",'Data Entry'!I444)</f>
        <v/>
      </c>
      <c r="J444" s="12">
        <f>IF('Data Entry'!A444="","",IF('Data Entry'!D444&lt;&gt;"",'Data Entry'!D444,'Data Entry'!E444))</f>
        <v/>
      </c>
      <c r="K444" s="10">
        <f>IF('Data Entry'!A444="","",IFERROR(SUMIFS($H$5:$H$2001,$J$5:$J$2001,$J444,$B$5:$B$2001,$B444,$A$5:$A$2001,(MAXIFS($A$5:$A$2001,$J$5:$J$2001,$J444,$B$5:$B$2001,$B444,$A$5:$A$2001,"&lt;"&amp;$A444))),""))</f>
        <v/>
      </c>
      <c r="L444" s="14">
        <f>IF(OR('Data Entry'!A444="",$K444=""),"",$H444-$K444)</f>
        <v/>
      </c>
      <c r="M444" s="15">
        <f>IF(OR('Data Entry'!A444="",$K444="",$K444=0),"",$L444/$K444)</f>
        <v/>
      </c>
      <c r="N444" s="12">
        <f>IF('Data Entry'!A444="","",IF($L444="","New item",IF($L444&gt;0,"UP",IF($L444&lt;0,"down","same"))))</f>
        <v/>
      </c>
    </row>
    <row r="445">
      <c r="A445" s="11">
        <f>IF('Data Entry'!A445="","",'Data Entry'!A445)</f>
        <v/>
      </c>
      <c r="B445" s="12">
        <f>IF('Data Entry'!A445="","",'Data Entry'!B445)</f>
        <v/>
      </c>
      <c r="C445" s="12">
        <f>IF('Data Entry'!A445="","",'Data Entry'!C445)</f>
        <v/>
      </c>
      <c r="D445" s="12">
        <f>IF('Data Entry'!A445="","",'Data Entry'!D445)</f>
        <v/>
      </c>
      <c r="E445" s="12">
        <f>IF('Data Entry'!A445="","",'Data Entry'!E445)</f>
        <v/>
      </c>
      <c r="F445" s="12">
        <f>IF('Data Entry'!A445="","",'Data Entry'!F445)</f>
        <v/>
      </c>
      <c r="G445" s="13">
        <f>IF('Data Entry'!A445="","",'Data Entry'!G445)</f>
        <v/>
      </c>
      <c r="H445" s="10">
        <f>IF('Data Entry'!A445="","",'Data Entry'!H445)</f>
        <v/>
      </c>
      <c r="I445" s="10">
        <f>IF('Data Entry'!A445="","",'Data Entry'!I445)</f>
        <v/>
      </c>
      <c r="J445" s="12">
        <f>IF('Data Entry'!A445="","",IF('Data Entry'!D445&lt;&gt;"",'Data Entry'!D445,'Data Entry'!E445))</f>
        <v/>
      </c>
      <c r="K445" s="10">
        <f>IF('Data Entry'!A445="","",IFERROR(SUMIFS($H$5:$H$2001,$J$5:$J$2001,$J445,$B$5:$B$2001,$B445,$A$5:$A$2001,(MAXIFS($A$5:$A$2001,$J$5:$J$2001,$J445,$B$5:$B$2001,$B445,$A$5:$A$2001,"&lt;"&amp;$A445))),""))</f>
        <v/>
      </c>
      <c r="L445" s="14">
        <f>IF(OR('Data Entry'!A445="",$K445=""),"",$H445-$K445)</f>
        <v/>
      </c>
      <c r="M445" s="15">
        <f>IF(OR('Data Entry'!A445="",$K445="",$K445=0),"",$L445/$K445)</f>
        <v/>
      </c>
      <c r="N445" s="12">
        <f>IF('Data Entry'!A445="","",IF($L445="","New item",IF($L445&gt;0,"UP",IF($L445&lt;0,"down","same"))))</f>
        <v/>
      </c>
    </row>
    <row r="446">
      <c r="A446" s="11">
        <f>IF('Data Entry'!A446="","",'Data Entry'!A446)</f>
        <v/>
      </c>
      <c r="B446" s="12">
        <f>IF('Data Entry'!A446="","",'Data Entry'!B446)</f>
        <v/>
      </c>
      <c r="C446" s="12">
        <f>IF('Data Entry'!A446="","",'Data Entry'!C446)</f>
        <v/>
      </c>
      <c r="D446" s="12">
        <f>IF('Data Entry'!A446="","",'Data Entry'!D446)</f>
        <v/>
      </c>
      <c r="E446" s="12">
        <f>IF('Data Entry'!A446="","",'Data Entry'!E446)</f>
        <v/>
      </c>
      <c r="F446" s="12">
        <f>IF('Data Entry'!A446="","",'Data Entry'!F446)</f>
        <v/>
      </c>
      <c r="G446" s="13">
        <f>IF('Data Entry'!A446="","",'Data Entry'!G446)</f>
        <v/>
      </c>
      <c r="H446" s="10">
        <f>IF('Data Entry'!A446="","",'Data Entry'!H446)</f>
        <v/>
      </c>
      <c r="I446" s="10">
        <f>IF('Data Entry'!A446="","",'Data Entry'!I446)</f>
        <v/>
      </c>
      <c r="J446" s="12">
        <f>IF('Data Entry'!A446="","",IF('Data Entry'!D446&lt;&gt;"",'Data Entry'!D446,'Data Entry'!E446))</f>
        <v/>
      </c>
      <c r="K446" s="10">
        <f>IF('Data Entry'!A446="","",IFERROR(SUMIFS($H$5:$H$2001,$J$5:$J$2001,$J446,$B$5:$B$2001,$B446,$A$5:$A$2001,(MAXIFS($A$5:$A$2001,$J$5:$J$2001,$J446,$B$5:$B$2001,$B446,$A$5:$A$2001,"&lt;"&amp;$A446))),""))</f>
        <v/>
      </c>
      <c r="L446" s="14">
        <f>IF(OR('Data Entry'!A446="",$K446=""),"",$H446-$K446)</f>
        <v/>
      </c>
      <c r="M446" s="15">
        <f>IF(OR('Data Entry'!A446="",$K446="",$K446=0),"",$L446/$K446)</f>
        <v/>
      </c>
      <c r="N446" s="12">
        <f>IF('Data Entry'!A446="","",IF($L446="","New item",IF($L446&gt;0,"UP",IF($L446&lt;0,"down","same"))))</f>
        <v/>
      </c>
    </row>
    <row r="447">
      <c r="A447" s="11">
        <f>IF('Data Entry'!A447="","",'Data Entry'!A447)</f>
        <v/>
      </c>
      <c r="B447" s="12">
        <f>IF('Data Entry'!A447="","",'Data Entry'!B447)</f>
        <v/>
      </c>
      <c r="C447" s="12">
        <f>IF('Data Entry'!A447="","",'Data Entry'!C447)</f>
        <v/>
      </c>
      <c r="D447" s="12">
        <f>IF('Data Entry'!A447="","",'Data Entry'!D447)</f>
        <v/>
      </c>
      <c r="E447" s="12">
        <f>IF('Data Entry'!A447="","",'Data Entry'!E447)</f>
        <v/>
      </c>
      <c r="F447" s="12">
        <f>IF('Data Entry'!A447="","",'Data Entry'!F447)</f>
        <v/>
      </c>
      <c r="G447" s="13">
        <f>IF('Data Entry'!A447="","",'Data Entry'!G447)</f>
        <v/>
      </c>
      <c r="H447" s="10">
        <f>IF('Data Entry'!A447="","",'Data Entry'!H447)</f>
        <v/>
      </c>
      <c r="I447" s="10">
        <f>IF('Data Entry'!A447="","",'Data Entry'!I447)</f>
        <v/>
      </c>
      <c r="J447" s="12">
        <f>IF('Data Entry'!A447="","",IF('Data Entry'!D447&lt;&gt;"",'Data Entry'!D447,'Data Entry'!E447))</f>
        <v/>
      </c>
      <c r="K447" s="10">
        <f>IF('Data Entry'!A447="","",IFERROR(SUMIFS($H$5:$H$2001,$J$5:$J$2001,$J447,$B$5:$B$2001,$B447,$A$5:$A$2001,(MAXIFS($A$5:$A$2001,$J$5:$J$2001,$J447,$B$5:$B$2001,$B447,$A$5:$A$2001,"&lt;"&amp;$A447))),""))</f>
        <v/>
      </c>
      <c r="L447" s="14">
        <f>IF(OR('Data Entry'!A447="",$K447=""),"",$H447-$K447)</f>
        <v/>
      </c>
      <c r="M447" s="15">
        <f>IF(OR('Data Entry'!A447="",$K447="",$K447=0),"",$L447/$K447)</f>
        <v/>
      </c>
      <c r="N447" s="12">
        <f>IF('Data Entry'!A447="","",IF($L447="","New item",IF($L447&gt;0,"UP",IF($L447&lt;0,"down","same"))))</f>
        <v/>
      </c>
    </row>
    <row r="448">
      <c r="A448" s="11">
        <f>IF('Data Entry'!A448="","",'Data Entry'!A448)</f>
        <v/>
      </c>
      <c r="B448" s="12">
        <f>IF('Data Entry'!A448="","",'Data Entry'!B448)</f>
        <v/>
      </c>
      <c r="C448" s="12">
        <f>IF('Data Entry'!A448="","",'Data Entry'!C448)</f>
        <v/>
      </c>
      <c r="D448" s="12">
        <f>IF('Data Entry'!A448="","",'Data Entry'!D448)</f>
        <v/>
      </c>
      <c r="E448" s="12">
        <f>IF('Data Entry'!A448="","",'Data Entry'!E448)</f>
        <v/>
      </c>
      <c r="F448" s="12">
        <f>IF('Data Entry'!A448="","",'Data Entry'!F448)</f>
        <v/>
      </c>
      <c r="G448" s="13">
        <f>IF('Data Entry'!A448="","",'Data Entry'!G448)</f>
        <v/>
      </c>
      <c r="H448" s="10">
        <f>IF('Data Entry'!A448="","",'Data Entry'!H448)</f>
        <v/>
      </c>
      <c r="I448" s="10">
        <f>IF('Data Entry'!A448="","",'Data Entry'!I448)</f>
        <v/>
      </c>
      <c r="J448" s="12">
        <f>IF('Data Entry'!A448="","",IF('Data Entry'!D448&lt;&gt;"",'Data Entry'!D448,'Data Entry'!E448))</f>
        <v/>
      </c>
      <c r="K448" s="10">
        <f>IF('Data Entry'!A448="","",IFERROR(SUMIFS($H$5:$H$2001,$J$5:$J$2001,$J448,$B$5:$B$2001,$B448,$A$5:$A$2001,(MAXIFS($A$5:$A$2001,$J$5:$J$2001,$J448,$B$5:$B$2001,$B448,$A$5:$A$2001,"&lt;"&amp;$A448))),""))</f>
        <v/>
      </c>
      <c r="L448" s="14">
        <f>IF(OR('Data Entry'!A448="",$K448=""),"",$H448-$K448)</f>
        <v/>
      </c>
      <c r="M448" s="15">
        <f>IF(OR('Data Entry'!A448="",$K448="",$K448=0),"",$L448/$K448)</f>
        <v/>
      </c>
      <c r="N448" s="12">
        <f>IF('Data Entry'!A448="","",IF($L448="","New item",IF($L448&gt;0,"UP",IF($L448&lt;0,"down","same"))))</f>
        <v/>
      </c>
    </row>
    <row r="449">
      <c r="A449" s="11">
        <f>IF('Data Entry'!A449="","",'Data Entry'!A449)</f>
        <v/>
      </c>
      <c r="B449" s="12">
        <f>IF('Data Entry'!A449="","",'Data Entry'!B449)</f>
        <v/>
      </c>
      <c r="C449" s="12">
        <f>IF('Data Entry'!A449="","",'Data Entry'!C449)</f>
        <v/>
      </c>
      <c r="D449" s="12">
        <f>IF('Data Entry'!A449="","",'Data Entry'!D449)</f>
        <v/>
      </c>
      <c r="E449" s="12">
        <f>IF('Data Entry'!A449="","",'Data Entry'!E449)</f>
        <v/>
      </c>
      <c r="F449" s="12">
        <f>IF('Data Entry'!A449="","",'Data Entry'!F449)</f>
        <v/>
      </c>
      <c r="G449" s="13">
        <f>IF('Data Entry'!A449="","",'Data Entry'!G449)</f>
        <v/>
      </c>
      <c r="H449" s="10">
        <f>IF('Data Entry'!A449="","",'Data Entry'!H449)</f>
        <v/>
      </c>
      <c r="I449" s="10">
        <f>IF('Data Entry'!A449="","",'Data Entry'!I449)</f>
        <v/>
      </c>
      <c r="J449" s="12">
        <f>IF('Data Entry'!A449="","",IF('Data Entry'!D449&lt;&gt;"",'Data Entry'!D449,'Data Entry'!E449))</f>
        <v/>
      </c>
      <c r="K449" s="10">
        <f>IF('Data Entry'!A449="","",IFERROR(SUMIFS($H$5:$H$2001,$J$5:$J$2001,$J449,$B$5:$B$2001,$B449,$A$5:$A$2001,(MAXIFS($A$5:$A$2001,$J$5:$J$2001,$J449,$B$5:$B$2001,$B449,$A$5:$A$2001,"&lt;"&amp;$A449))),""))</f>
        <v/>
      </c>
      <c r="L449" s="14">
        <f>IF(OR('Data Entry'!A449="",$K449=""),"",$H449-$K449)</f>
        <v/>
      </c>
      <c r="M449" s="15">
        <f>IF(OR('Data Entry'!A449="",$K449="",$K449=0),"",$L449/$K449)</f>
        <v/>
      </c>
      <c r="N449" s="12">
        <f>IF('Data Entry'!A449="","",IF($L449="","New item",IF($L449&gt;0,"UP",IF($L449&lt;0,"down","same"))))</f>
        <v/>
      </c>
    </row>
    <row r="450">
      <c r="A450" s="11">
        <f>IF('Data Entry'!A450="","",'Data Entry'!A450)</f>
        <v/>
      </c>
      <c r="B450" s="12">
        <f>IF('Data Entry'!A450="","",'Data Entry'!B450)</f>
        <v/>
      </c>
      <c r="C450" s="12">
        <f>IF('Data Entry'!A450="","",'Data Entry'!C450)</f>
        <v/>
      </c>
      <c r="D450" s="12">
        <f>IF('Data Entry'!A450="","",'Data Entry'!D450)</f>
        <v/>
      </c>
      <c r="E450" s="12">
        <f>IF('Data Entry'!A450="","",'Data Entry'!E450)</f>
        <v/>
      </c>
      <c r="F450" s="12">
        <f>IF('Data Entry'!A450="","",'Data Entry'!F450)</f>
        <v/>
      </c>
      <c r="G450" s="13">
        <f>IF('Data Entry'!A450="","",'Data Entry'!G450)</f>
        <v/>
      </c>
      <c r="H450" s="10">
        <f>IF('Data Entry'!A450="","",'Data Entry'!H450)</f>
        <v/>
      </c>
      <c r="I450" s="10">
        <f>IF('Data Entry'!A450="","",'Data Entry'!I450)</f>
        <v/>
      </c>
      <c r="J450" s="12">
        <f>IF('Data Entry'!A450="","",IF('Data Entry'!D450&lt;&gt;"",'Data Entry'!D450,'Data Entry'!E450))</f>
        <v/>
      </c>
      <c r="K450" s="10">
        <f>IF('Data Entry'!A450="","",IFERROR(SUMIFS($H$5:$H$2001,$J$5:$J$2001,$J450,$B$5:$B$2001,$B450,$A$5:$A$2001,(MAXIFS($A$5:$A$2001,$J$5:$J$2001,$J450,$B$5:$B$2001,$B450,$A$5:$A$2001,"&lt;"&amp;$A450))),""))</f>
        <v/>
      </c>
      <c r="L450" s="14">
        <f>IF(OR('Data Entry'!A450="",$K450=""),"",$H450-$K450)</f>
        <v/>
      </c>
      <c r="M450" s="15">
        <f>IF(OR('Data Entry'!A450="",$K450="",$K450=0),"",$L450/$K450)</f>
        <v/>
      </c>
      <c r="N450" s="12">
        <f>IF('Data Entry'!A450="","",IF($L450="","New item",IF($L450&gt;0,"UP",IF($L450&lt;0,"down","same"))))</f>
        <v/>
      </c>
    </row>
    <row r="451">
      <c r="A451" s="11">
        <f>IF('Data Entry'!A451="","",'Data Entry'!A451)</f>
        <v/>
      </c>
      <c r="B451" s="12">
        <f>IF('Data Entry'!A451="","",'Data Entry'!B451)</f>
        <v/>
      </c>
      <c r="C451" s="12">
        <f>IF('Data Entry'!A451="","",'Data Entry'!C451)</f>
        <v/>
      </c>
      <c r="D451" s="12">
        <f>IF('Data Entry'!A451="","",'Data Entry'!D451)</f>
        <v/>
      </c>
      <c r="E451" s="12">
        <f>IF('Data Entry'!A451="","",'Data Entry'!E451)</f>
        <v/>
      </c>
      <c r="F451" s="12">
        <f>IF('Data Entry'!A451="","",'Data Entry'!F451)</f>
        <v/>
      </c>
      <c r="G451" s="13">
        <f>IF('Data Entry'!A451="","",'Data Entry'!G451)</f>
        <v/>
      </c>
      <c r="H451" s="10">
        <f>IF('Data Entry'!A451="","",'Data Entry'!H451)</f>
        <v/>
      </c>
      <c r="I451" s="10">
        <f>IF('Data Entry'!A451="","",'Data Entry'!I451)</f>
        <v/>
      </c>
      <c r="J451" s="12">
        <f>IF('Data Entry'!A451="","",IF('Data Entry'!D451&lt;&gt;"",'Data Entry'!D451,'Data Entry'!E451))</f>
        <v/>
      </c>
      <c r="K451" s="10">
        <f>IF('Data Entry'!A451="","",IFERROR(SUMIFS($H$5:$H$2001,$J$5:$J$2001,$J451,$B$5:$B$2001,$B451,$A$5:$A$2001,(MAXIFS($A$5:$A$2001,$J$5:$J$2001,$J451,$B$5:$B$2001,$B451,$A$5:$A$2001,"&lt;"&amp;$A451))),""))</f>
        <v/>
      </c>
      <c r="L451" s="14">
        <f>IF(OR('Data Entry'!A451="",$K451=""),"",$H451-$K451)</f>
        <v/>
      </c>
      <c r="M451" s="15">
        <f>IF(OR('Data Entry'!A451="",$K451="",$K451=0),"",$L451/$K451)</f>
        <v/>
      </c>
      <c r="N451" s="12">
        <f>IF('Data Entry'!A451="","",IF($L451="","New item",IF($L451&gt;0,"UP",IF($L451&lt;0,"down","same"))))</f>
        <v/>
      </c>
    </row>
    <row r="452">
      <c r="A452" s="11">
        <f>IF('Data Entry'!A452="","",'Data Entry'!A452)</f>
        <v/>
      </c>
      <c r="B452" s="12">
        <f>IF('Data Entry'!A452="","",'Data Entry'!B452)</f>
        <v/>
      </c>
      <c r="C452" s="12">
        <f>IF('Data Entry'!A452="","",'Data Entry'!C452)</f>
        <v/>
      </c>
      <c r="D452" s="12">
        <f>IF('Data Entry'!A452="","",'Data Entry'!D452)</f>
        <v/>
      </c>
      <c r="E452" s="12">
        <f>IF('Data Entry'!A452="","",'Data Entry'!E452)</f>
        <v/>
      </c>
      <c r="F452" s="12">
        <f>IF('Data Entry'!A452="","",'Data Entry'!F452)</f>
        <v/>
      </c>
      <c r="G452" s="13">
        <f>IF('Data Entry'!A452="","",'Data Entry'!G452)</f>
        <v/>
      </c>
      <c r="H452" s="10">
        <f>IF('Data Entry'!A452="","",'Data Entry'!H452)</f>
        <v/>
      </c>
      <c r="I452" s="10">
        <f>IF('Data Entry'!A452="","",'Data Entry'!I452)</f>
        <v/>
      </c>
      <c r="J452" s="12">
        <f>IF('Data Entry'!A452="","",IF('Data Entry'!D452&lt;&gt;"",'Data Entry'!D452,'Data Entry'!E452))</f>
        <v/>
      </c>
      <c r="K452" s="10">
        <f>IF('Data Entry'!A452="","",IFERROR(SUMIFS($H$5:$H$2001,$J$5:$J$2001,$J452,$B$5:$B$2001,$B452,$A$5:$A$2001,(MAXIFS($A$5:$A$2001,$J$5:$J$2001,$J452,$B$5:$B$2001,$B452,$A$5:$A$2001,"&lt;"&amp;$A452))),""))</f>
        <v/>
      </c>
      <c r="L452" s="14">
        <f>IF(OR('Data Entry'!A452="",$K452=""),"",$H452-$K452)</f>
        <v/>
      </c>
      <c r="M452" s="15">
        <f>IF(OR('Data Entry'!A452="",$K452="",$K452=0),"",$L452/$K452)</f>
        <v/>
      </c>
      <c r="N452" s="12">
        <f>IF('Data Entry'!A452="","",IF($L452="","New item",IF($L452&gt;0,"UP",IF($L452&lt;0,"down","same"))))</f>
        <v/>
      </c>
    </row>
    <row r="453">
      <c r="A453" s="11">
        <f>IF('Data Entry'!A453="","",'Data Entry'!A453)</f>
        <v/>
      </c>
      <c r="B453" s="12">
        <f>IF('Data Entry'!A453="","",'Data Entry'!B453)</f>
        <v/>
      </c>
      <c r="C453" s="12">
        <f>IF('Data Entry'!A453="","",'Data Entry'!C453)</f>
        <v/>
      </c>
      <c r="D453" s="12">
        <f>IF('Data Entry'!A453="","",'Data Entry'!D453)</f>
        <v/>
      </c>
      <c r="E453" s="12">
        <f>IF('Data Entry'!A453="","",'Data Entry'!E453)</f>
        <v/>
      </c>
      <c r="F453" s="12">
        <f>IF('Data Entry'!A453="","",'Data Entry'!F453)</f>
        <v/>
      </c>
      <c r="G453" s="13">
        <f>IF('Data Entry'!A453="","",'Data Entry'!G453)</f>
        <v/>
      </c>
      <c r="H453" s="10">
        <f>IF('Data Entry'!A453="","",'Data Entry'!H453)</f>
        <v/>
      </c>
      <c r="I453" s="10">
        <f>IF('Data Entry'!A453="","",'Data Entry'!I453)</f>
        <v/>
      </c>
      <c r="J453" s="12">
        <f>IF('Data Entry'!A453="","",IF('Data Entry'!D453&lt;&gt;"",'Data Entry'!D453,'Data Entry'!E453))</f>
        <v/>
      </c>
      <c r="K453" s="10">
        <f>IF('Data Entry'!A453="","",IFERROR(SUMIFS($H$5:$H$2001,$J$5:$J$2001,$J453,$B$5:$B$2001,$B453,$A$5:$A$2001,(MAXIFS($A$5:$A$2001,$J$5:$J$2001,$J453,$B$5:$B$2001,$B453,$A$5:$A$2001,"&lt;"&amp;$A453))),""))</f>
        <v/>
      </c>
      <c r="L453" s="14">
        <f>IF(OR('Data Entry'!A453="",$K453=""),"",$H453-$K453)</f>
        <v/>
      </c>
      <c r="M453" s="15">
        <f>IF(OR('Data Entry'!A453="",$K453="",$K453=0),"",$L453/$K453)</f>
        <v/>
      </c>
      <c r="N453" s="12">
        <f>IF('Data Entry'!A453="","",IF($L453="","New item",IF($L453&gt;0,"UP",IF($L453&lt;0,"down","same"))))</f>
        <v/>
      </c>
    </row>
    <row r="454">
      <c r="A454" s="11">
        <f>IF('Data Entry'!A454="","",'Data Entry'!A454)</f>
        <v/>
      </c>
      <c r="B454" s="12">
        <f>IF('Data Entry'!A454="","",'Data Entry'!B454)</f>
        <v/>
      </c>
      <c r="C454" s="12">
        <f>IF('Data Entry'!A454="","",'Data Entry'!C454)</f>
        <v/>
      </c>
      <c r="D454" s="12">
        <f>IF('Data Entry'!A454="","",'Data Entry'!D454)</f>
        <v/>
      </c>
      <c r="E454" s="12">
        <f>IF('Data Entry'!A454="","",'Data Entry'!E454)</f>
        <v/>
      </c>
      <c r="F454" s="12">
        <f>IF('Data Entry'!A454="","",'Data Entry'!F454)</f>
        <v/>
      </c>
      <c r="G454" s="13">
        <f>IF('Data Entry'!A454="","",'Data Entry'!G454)</f>
        <v/>
      </c>
      <c r="H454" s="10">
        <f>IF('Data Entry'!A454="","",'Data Entry'!H454)</f>
        <v/>
      </c>
      <c r="I454" s="10">
        <f>IF('Data Entry'!A454="","",'Data Entry'!I454)</f>
        <v/>
      </c>
      <c r="J454" s="12">
        <f>IF('Data Entry'!A454="","",IF('Data Entry'!D454&lt;&gt;"",'Data Entry'!D454,'Data Entry'!E454))</f>
        <v/>
      </c>
      <c r="K454" s="10">
        <f>IF('Data Entry'!A454="","",IFERROR(SUMIFS($H$5:$H$2001,$J$5:$J$2001,$J454,$B$5:$B$2001,$B454,$A$5:$A$2001,(MAXIFS($A$5:$A$2001,$J$5:$J$2001,$J454,$B$5:$B$2001,$B454,$A$5:$A$2001,"&lt;"&amp;$A454))),""))</f>
        <v/>
      </c>
      <c r="L454" s="14">
        <f>IF(OR('Data Entry'!A454="",$K454=""),"",$H454-$K454)</f>
        <v/>
      </c>
      <c r="M454" s="15">
        <f>IF(OR('Data Entry'!A454="",$K454="",$K454=0),"",$L454/$K454)</f>
        <v/>
      </c>
      <c r="N454" s="12">
        <f>IF('Data Entry'!A454="","",IF($L454="","New item",IF($L454&gt;0,"UP",IF($L454&lt;0,"down","same"))))</f>
        <v/>
      </c>
    </row>
    <row r="455">
      <c r="A455" s="11">
        <f>IF('Data Entry'!A455="","",'Data Entry'!A455)</f>
        <v/>
      </c>
      <c r="B455" s="12">
        <f>IF('Data Entry'!A455="","",'Data Entry'!B455)</f>
        <v/>
      </c>
      <c r="C455" s="12">
        <f>IF('Data Entry'!A455="","",'Data Entry'!C455)</f>
        <v/>
      </c>
      <c r="D455" s="12">
        <f>IF('Data Entry'!A455="","",'Data Entry'!D455)</f>
        <v/>
      </c>
      <c r="E455" s="12">
        <f>IF('Data Entry'!A455="","",'Data Entry'!E455)</f>
        <v/>
      </c>
      <c r="F455" s="12">
        <f>IF('Data Entry'!A455="","",'Data Entry'!F455)</f>
        <v/>
      </c>
      <c r="G455" s="13">
        <f>IF('Data Entry'!A455="","",'Data Entry'!G455)</f>
        <v/>
      </c>
      <c r="H455" s="10">
        <f>IF('Data Entry'!A455="","",'Data Entry'!H455)</f>
        <v/>
      </c>
      <c r="I455" s="10">
        <f>IF('Data Entry'!A455="","",'Data Entry'!I455)</f>
        <v/>
      </c>
      <c r="J455" s="12">
        <f>IF('Data Entry'!A455="","",IF('Data Entry'!D455&lt;&gt;"",'Data Entry'!D455,'Data Entry'!E455))</f>
        <v/>
      </c>
      <c r="K455" s="10">
        <f>IF('Data Entry'!A455="","",IFERROR(SUMIFS($H$5:$H$2001,$J$5:$J$2001,$J455,$B$5:$B$2001,$B455,$A$5:$A$2001,(MAXIFS($A$5:$A$2001,$J$5:$J$2001,$J455,$B$5:$B$2001,$B455,$A$5:$A$2001,"&lt;"&amp;$A455))),""))</f>
        <v/>
      </c>
      <c r="L455" s="14">
        <f>IF(OR('Data Entry'!A455="",$K455=""),"",$H455-$K455)</f>
        <v/>
      </c>
      <c r="M455" s="15">
        <f>IF(OR('Data Entry'!A455="",$K455="",$K455=0),"",$L455/$K455)</f>
        <v/>
      </c>
      <c r="N455" s="12">
        <f>IF('Data Entry'!A455="","",IF($L455="","New item",IF($L455&gt;0,"UP",IF($L455&lt;0,"down","same"))))</f>
        <v/>
      </c>
    </row>
    <row r="456">
      <c r="A456" s="11">
        <f>IF('Data Entry'!A456="","",'Data Entry'!A456)</f>
        <v/>
      </c>
      <c r="B456" s="12">
        <f>IF('Data Entry'!A456="","",'Data Entry'!B456)</f>
        <v/>
      </c>
      <c r="C456" s="12">
        <f>IF('Data Entry'!A456="","",'Data Entry'!C456)</f>
        <v/>
      </c>
      <c r="D456" s="12">
        <f>IF('Data Entry'!A456="","",'Data Entry'!D456)</f>
        <v/>
      </c>
      <c r="E456" s="12">
        <f>IF('Data Entry'!A456="","",'Data Entry'!E456)</f>
        <v/>
      </c>
      <c r="F456" s="12">
        <f>IF('Data Entry'!A456="","",'Data Entry'!F456)</f>
        <v/>
      </c>
      <c r="G456" s="13">
        <f>IF('Data Entry'!A456="","",'Data Entry'!G456)</f>
        <v/>
      </c>
      <c r="H456" s="10">
        <f>IF('Data Entry'!A456="","",'Data Entry'!H456)</f>
        <v/>
      </c>
      <c r="I456" s="10">
        <f>IF('Data Entry'!A456="","",'Data Entry'!I456)</f>
        <v/>
      </c>
      <c r="J456" s="12">
        <f>IF('Data Entry'!A456="","",IF('Data Entry'!D456&lt;&gt;"",'Data Entry'!D456,'Data Entry'!E456))</f>
        <v/>
      </c>
      <c r="K456" s="10">
        <f>IF('Data Entry'!A456="","",IFERROR(SUMIFS($H$5:$H$2001,$J$5:$J$2001,$J456,$B$5:$B$2001,$B456,$A$5:$A$2001,(MAXIFS($A$5:$A$2001,$J$5:$J$2001,$J456,$B$5:$B$2001,$B456,$A$5:$A$2001,"&lt;"&amp;$A456))),""))</f>
        <v/>
      </c>
      <c r="L456" s="14">
        <f>IF(OR('Data Entry'!A456="",$K456=""),"",$H456-$K456)</f>
        <v/>
      </c>
      <c r="M456" s="15">
        <f>IF(OR('Data Entry'!A456="",$K456="",$K456=0),"",$L456/$K456)</f>
        <v/>
      </c>
      <c r="N456" s="12">
        <f>IF('Data Entry'!A456="","",IF($L456="","New item",IF($L456&gt;0,"UP",IF($L456&lt;0,"down","same"))))</f>
        <v/>
      </c>
    </row>
    <row r="457">
      <c r="A457" s="11">
        <f>IF('Data Entry'!A457="","",'Data Entry'!A457)</f>
        <v/>
      </c>
      <c r="B457" s="12">
        <f>IF('Data Entry'!A457="","",'Data Entry'!B457)</f>
        <v/>
      </c>
      <c r="C457" s="12">
        <f>IF('Data Entry'!A457="","",'Data Entry'!C457)</f>
        <v/>
      </c>
      <c r="D457" s="12">
        <f>IF('Data Entry'!A457="","",'Data Entry'!D457)</f>
        <v/>
      </c>
      <c r="E457" s="12">
        <f>IF('Data Entry'!A457="","",'Data Entry'!E457)</f>
        <v/>
      </c>
      <c r="F457" s="12">
        <f>IF('Data Entry'!A457="","",'Data Entry'!F457)</f>
        <v/>
      </c>
      <c r="G457" s="13">
        <f>IF('Data Entry'!A457="","",'Data Entry'!G457)</f>
        <v/>
      </c>
      <c r="H457" s="10">
        <f>IF('Data Entry'!A457="","",'Data Entry'!H457)</f>
        <v/>
      </c>
      <c r="I457" s="10">
        <f>IF('Data Entry'!A457="","",'Data Entry'!I457)</f>
        <v/>
      </c>
      <c r="J457" s="12">
        <f>IF('Data Entry'!A457="","",IF('Data Entry'!D457&lt;&gt;"",'Data Entry'!D457,'Data Entry'!E457))</f>
        <v/>
      </c>
      <c r="K457" s="10">
        <f>IF('Data Entry'!A457="","",IFERROR(SUMIFS($H$5:$H$2001,$J$5:$J$2001,$J457,$B$5:$B$2001,$B457,$A$5:$A$2001,(MAXIFS($A$5:$A$2001,$J$5:$J$2001,$J457,$B$5:$B$2001,$B457,$A$5:$A$2001,"&lt;"&amp;$A457))),""))</f>
        <v/>
      </c>
      <c r="L457" s="14">
        <f>IF(OR('Data Entry'!A457="",$K457=""),"",$H457-$K457)</f>
        <v/>
      </c>
      <c r="M457" s="15">
        <f>IF(OR('Data Entry'!A457="",$K457="",$K457=0),"",$L457/$K457)</f>
        <v/>
      </c>
      <c r="N457" s="12">
        <f>IF('Data Entry'!A457="","",IF($L457="","New item",IF($L457&gt;0,"UP",IF($L457&lt;0,"down","same"))))</f>
        <v/>
      </c>
    </row>
    <row r="458">
      <c r="A458" s="11">
        <f>IF('Data Entry'!A458="","",'Data Entry'!A458)</f>
        <v/>
      </c>
      <c r="B458" s="12">
        <f>IF('Data Entry'!A458="","",'Data Entry'!B458)</f>
        <v/>
      </c>
      <c r="C458" s="12">
        <f>IF('Data Entry'!A458="","",'Data Entry'!C458)</f>
        <v/>
      </c>
      <c r="D458" s="12">
        <f>IF('Data Entry'!A458="","",'Data Entry'!D458)</f>
        <v/>
      </c>
      <c r="E458" s="12">
        <f>IF('Data Entry'!A458="","",'Data Entry'!E458)</f>
        <v/>
      </c>
      <c r="F458" s="12">
        <f>IF('Data Entry'!A458="","",'Data Entry'!F458)</f>
        <v/>
      </c>
      <c r="G458" s="13">
        <f>IF('Data Entry'!A458="","",'Data Entry'!G458)</f>
        <v/>
      </c>
      <c r="H458" s="10">
        <f>IF('Data Entry'!A458="","",'Data Entry'!H458)</f>
        <v/>
      </c>
      <c r="I458" s="10">
        <f>IF('Data Entry'!A458="","",'Data Entry'!I458)</f>
        <v/>
      </c>
      <c r="J458" s="12">
        <f>IF('Data Entry'!A458="","",IF('Data Entry'!D458&lt;&gt;"",'Data Entry'!D458,'Data Entry'!E458))</f>
        <v/>
      </c>
      <c r="K458" s="10">
        <f>IF('Data Entry'!A458="","",IFERROR(SUMIFS($H$5:$H$2001,$J$5:$J$2001,$J458,$B$5:$B$2001,$B458,$A$5:$A$2001,(MAXIFS($A$5:$A$2001,$J$5:$J$2001,$J458,$B$5:$B$2001,$B458,$A$5:$A$2001,"&lt;"&amp;$A458))),""))</f>
        <v/>
      </c>
      <c r="L458" s="14">
        <f>IF(OR('Data Entry'!A458="",$K458=""),"",$H458-$K458)</f>
        <v/>
      </c>
      <c r="M458" s="15">
        <f>IF(OR('Data Entry'!A458="",$K458="",$K458=0),"",$L458/$K458)</f>
        <v/>
      </c>
      <c r="N458" s="12">
        <f>IF('Data Entry'!A458="","",IF($L458="","New item",IF($L458&gt;0,"UP",IF($L458&lt;0,"down","same"))))</f>
        <v/>
      </c>
    </row>
    <row r="459">
      <c r="A459" s="11">
        <f>IF('Data Entry'!A459="","",'Data Entry'!A459)</f>
        <v/>
      </c>
      <c r="B459" s="12">
        <f>IF('Data Entry'!A459="","",'Data Entry'!B459)</f>
        <v/>
      </c>
      <c r="C459" s="12">
        <f>IF('Data Entry'!A459="","",'Data Entry'!C459)</f>
        <v/>
      </c>
      <c r="D459" s="12">
        <f>IF('Data Entry'!A459="","",'Data Entry'!D459)</f>
        <v/>
      </c>
      <c r="E459" s="12">
        <f>IF('Data Entry'!A459="","",'Data Entry'!E459)</f>
        <v/>
      </c>
      <c r="F459" s="12">
        <f>IF('Data Entry'!A459="","",'Data Entry'!F459)</f>
        <v/>
      </c>
      <c r="G459" s="13">
        <f>IF('Data Entry'!A459="","",'Data Entry'!G459)</f>
        <v/>
      </c>
      <c r="H459" s="10">
        <f>IF('Data Entry'!A459="","",'Data Entry'!H459)</f>
        <v/>
      </c>
      <c r="I459" s="10">
        <f>IF('Data Entry'!A459="","",'Data Entry'!I459)</f>
        <v/>
      </c>
      <c r="J459" s="12">
        <f>IF('Data Entry'!A459="","",IF('Data Entry'!D459&lt;&gt;"",'Data Entry'!D459,'Data Entry'!E459))</f>
        <v/>
      </c>
      <c r="K459" s="10">
        <f>IF('Data Entry'!A459="","",IFERROR(SUMIFS($H$5:$H$2001,$J$5:$J$2001,$J459,$B$5:$B$2001,$B459,$A$5:$A$2001,(MAXIFS($A$5:$A$2001,$J$5:$J$2001,$J459,$B$5:$B$2001,$B459,$A$5:$A$2001,"&lt;"&amp;$A459))),""))</f>
        <v/>
      </c>
      <c r="L459" s="14">
        <f>IF(OR('Data Entry'!A459="",$K459=""),"",$H459-$K459)</f>
        <v/>
      </c>
      <c r="M459" s="15">
        <f>IF(OR('Data Entry'!A459="",$K459="",$K459=0),"",$L459/$K459)</f>
        <v/>
      </c>
      <c r="N459" s="12">
        <f>IF('Data Entry'!A459="","",IF($L459="","New item",IF($L459&gt;0,"UP",IF($L459&lt;0,"down","same"))))</f>
        <v/>
      </c>
    </row>
    <row r="460">
      <c r="A460" s="11">
        <f>IF('Data Entry'!A460="","",'Data Entry'!A460)</f>
        <v/>
      </c>
      <c r="B460" s="12">
        <f>IF('Data Entry'!A460="","",'Data Entry'!B460)</f>
        <v/>
      </c>
      <c r="C460" s="12">
        <f>IF('Data Entry'!A460="","",'Data Entry'!C460)</f>
        <v/>
      </c>
      <c r="D460" s="12">
        <f>IF('Data Entry'!A460="","",'Data Entry'!D460)</f>
        <v/>
      </c>
      <c r="E460" s="12">
        <f>IF('Data Entry'!A460="","",'Data Entry'!E460)</f>
        <v/>
      </c>
      <c r="F460" s="12">
        <f>IF('Data Entry'!A460="","",'Data Entry'!F460)</f>
        <v/>
      </c>
      <c r="G460" s="13">
        <f>IF('Data Entry'!A460="","",'Data Entry'!G460)</f>
        <v/>
      </c>
      <c r="H460" s="10">
        <f>IF('Data Entry'!A460="","",'Data Entry'!H460)</f>
        <v/>
      </c>
      <c r="I460" s="10">
        <f>IF('Data Entry'!A460="","",'Data Entry'!I460)</f>
        <v/>
      </c>
      <c r="J460" s="12">
        <f>IF('Data Entry'!A460="","",IF('Data Entry'!D460&lt;&gt;"",'Data Entry'!D460,'Data Entry'!E460))</f>
        <v/>
      </c>
      <c r="K460" s="10">
        <f>IF('Data Entry'!A460="","",IFERROR(SUMIFS($H$5:$H$2001,$J$5:$J$2001,$J460,$B$5:$B$2001,$B460,$A$5:$A$2001,(MAXIFS($A$5:$A$2001,$J$5:$J$2001,$J460,$B$5:$B$2001,$B460,$A$5:$A$2001,"&lt;"&amp;$A460))),""))</f>
        <v/>
      </c>
      <c r="L460" s="14">
        <f>IF(OR('Data Entry'!A460="",$K460=""),"",$H460-$K460)</f>
        <v/>
      </c>
      <c r="M460" s="15">
        <f>IF(OR('Data Entry'!A460="",$K460="",$K460=0),"",$L460/$K460)</f>
        <v/>
      </c>
      <c r="N460" s="12">
        <f>IF('Data Entry'!A460="","",IF($L460="","New item",IF($L460&gt;0,"UP",IF($L460&lt;0,"down","same"))))</f>
        <v/>
      </c>
    </row>
    <row r="461">
      <c r="A461" s="11">
        <f>IF('Data Entry'!A461="","",'Data Entry'!A461)</f>
        <v/>
      </c>
      <c r="B461" s="12">
        <f>IF('Data Entry'!A461="","",'Data Entry'!B461)</f>
        <v/>
      </c>
      <c r="C461" s="12">
        <f>IF('Data Entry'!A461="","",'Data Entry'!C461)</f>
        <v/>
      </c>
      <c r="D461" s="12">
        <f>IF('Data Entry'!A461="","",'Data Entry'!D461)</f>
        <v/>
      </c>
      <c r="E461" s="12">
        <f>IF('Data Entry'!A461="","",'Data Entry'!E461)</f>
        <v/>
      </c>
      <c r="F461" s="12">
        <f>IF('Data Entry'!A461="","",'Data Entry'!F461)</f>
        <v/>
      </c>
      <c r="G461" s="13">
        <f>IF('Data Entry'!A461="","",'Data Entry'!G461)</f>
        <v/>
      </c>
      <c r="H461" s="10">
        <f>IF('Data Entry'!A461="","",'Data Entry'!H461)</f>
        <v/>
      </c>
      <c r="I461" s="10">
        <f>IF('Data Entry'!A461="","",'Data Entry'!I461)</f>
        <v/>
      </c>
      <c r="J461" s="12">
        <f>IF('Data Entry'!A461="","",IF('Data Entry'!D461&lt;&gt;"",'Data Entry'!D461,'Data Entry'!E461))</f>
        <v/>
      </c>
      <c r="K461" s="10">
        <f>IF('Data Entry'!A461="","",IFERROR(SUMIFS($H$5:$H$2001,$J$5:$J$2001,$J461,$B$5:$B$2001,$B461,$A$5:$A$2001,(MAXIFS($A$5:$A$2001,$J$5:$J$2001,$J461,$B$5:$B$2001,$B461,$A$5:$A$2001,"&lt;"&amp;$A461))),""))</f>
        <v/>
      </c>
      <c r="L461" s="14">
        <f>IF(OR('Data Entry'!A461="",$K461=""),"",$H461-$K461)</f>
        <v/>
      </c>
      <c r="M461" s="15">
        <f>IF(OR('Data Entry'!A461="",$K461="",$K461=0),"",$L461/$K461)</f>
        <v/>
      </c>
      <c r="N461" s="12">
        <f>IF('Data Entry'!A461="","",IF($L461="","New item",IF($L461&gt;0,"UP",IF($L461&lt;0,"down","same"))))</f>
        <v/>
      </c>
    </row>
    <row r="462">
      <c r="A462" s="11">
        <f>IF('Data Entry'!A462="","",'Data Entry'!A462)</f>
        <v/>
      </c>
      <c r="B462" s="12">
        <f>IF('Data Entry'!A462="","",'Data Entry'!B462)</f>
        <v/>
      </c>
      <c r="C462" s="12">
        <f>IF('Data Entry'!A462="","",'Data Entry'!C462)</f>
        <v/>
      </c>
      <c r="D462" s="12">
        <f>IF('Data Entry'!A462="","",'Data Entry'!D462)</f>
        <v/>
      </c>
      <c r="E462" s="12">
        <f>IF('Data Entry'!A462="","",'Data Entry'!E462)</f>
        <v/>
      </c>
      <c r="F462" s="12">
        <f>IF('Data Entry'!A462="","",'Data Entry'!F462)</f>
        <v/>
      </c>
      <c r="G462" s="13">
        <f>IF('Data Entry'!A462="","",'Data Entry'!G462)</f>
        <v/>
      </c>
      <c r="H462" s="10">
        <f>IF('Data Entry'!A462="","",'Data Entry'!H462)</f>
        <v/>
      </c>
      <c r="I462" s="10">
        <f>IF('Data Entry'!A462="","",'Data Entry'!I462)</f>
        <v/>
      </c>
      <c r="J462" s="12">
        <f>IF('Data Entry'!A462="","",IF('Data Entry'!D462&lt;&gt;"",'Data Entry'!D462,'Data Entry'!E462))</f>
        <v/>
      </c>
      <c r="K462" s="10">
        <f>IF('Data Entry'!A462="","",IFERROR(SUMIFS($H$5:$H$2001,$J$5:$J$2001,$J462,$B$5:$B$2001,$B462,$A$5:$A$2001,(MAXIFS($A$5:$A$2001,$J$5:$J$2001,$J462,$B$5:$B$2001,$B462,$A$5:$A$2001,"&lt;"&amp;$A462))),""))</f>
        <v/>
      </c>
      <c r="L462" s="14">
        <f>IF(OR('Data Entry'!A462="",$K462=""),"",$H462-$K462)</f>
        <v/>
      </c>
      <c r="M462" s="15">
        <f>IF(OR('Data Entry'!A462="",$K462="",$K462=0),"",$L462/$K462)</f>
        <v/>
      </c>
      <c r="N462" s="12">
        <f>IF('Data Entry'!A462="","",IF($L462="","New item",IF($L462&gt;0,"UP",IF($L462&lt;0,"down","same"))))</f>
        <v/>
      </c>
    </row>
    <row r="463">
      <c r="A463" s="11">
        <f>IF('Data Entry'!A463="","",'Data Entry'!A463)</f>
        <v/>
      </c>
      <c r="B463" s="12">
        <f>IF('Data Entry'!A463="","",'Data Entry'!B463)</f>
        <v/>
      </c>
      <c r="C463" s="12">
        <f>IF('Data Entry'!A463="","",'Data Entry'!C463)</f>
        <v/>
      </c>
      <c r="D463" s="12">
        <f>IF('Data Entry'!A463="","",'Data Entry'!D463)</f>
        <v/>
      </c>
      <c r="E463" s="12">
        <f>IF('Data Entry'!A463="","",'Data Entry'!E463)</f>
        <v/>
      </c>
      <c r="F463" s="12">
        <f>IF('Data Entry'!A463="","",'Data Entry'!F463)</f>
        <v/>
      </c>
      <c r="G463" s="13">
        <f>IF('Data Entry'!A463="","",'Data Entry'!G463)</f>
        <v/>
      </c>
      <c r="H463" s="10">
        <f>IF('Data Entry'!A463="","",'Data Entry'!H463)</f>
        <v/>
      </c>
      <c r="I463" s="10">
        <f>IF('Data Entry'!A463="","",'Data Entry'!I463)</f>
        <v/>
      </c>
      <c r="J463" s="12">
        <f>IF('Data Entry'!A463="","",IF('Data Entry'!D463&lt;&gt;"",'Data Entry'!D463,'Data Entry'!E463))</f>
        <v/>
      </c>
      <c r="K463" s="10">
        <f>IF('Data Entry'!A463="","",IFERROR(SUMIFS($H$5:$H$2001,$J$5:$J$2001,$J463,$B$5:$B$2001,$B463,$A$5:$A$2001,(MAXIFS($A$5:$A$2001,$J$5:$J$2001,$J463,$B$5:$B$2001,$B463,$A$5:$A$2001,"&lt;"&amp;$A463))),""))</f>
        <v/>
      </c>
      <c r="L463" s="14">
        <f>IF(OR('Data Entry'!A463="",$K463=""),"",$H463-$K463)</f>
        <v/>
      </c>
      <c r="M463" s="15">
        <f>IF(OR('Data Entry'!A463="",$K463="",$K463=0),"",$L463/$K463)</f>
        <v/>
      </c>
      <c r="N463" s="12">
        <f>IF('Data Entry'!A463="","",IF($L463="","New item",IF($L463&gt;0,"UP",IF($L463&lt;0,"down","same"))))</f>
        <v/>
      </c>
    </row>
    <row r="464">
      <c r="A464" s="11">
        <f>IF('Data Entry'!A464="","",'Data Entry'!A464)</f>
        <v/>
      </c>
      <c r="B464" s="12">
        <f>IF('Data Entry'!A464="","",'Data Entry'!B464)</f>
        <v/>
      </c>
      <c r="C464" s="12">
        <f>IF('Data Entry'!A464="","",'Data Entry'!C464)</f>
        <v/>
      </c>
      <c r="D464" s="12">
        <f>IF('Data Entry'!A464="","",'Data Entry'!D464)</f>
        <v/>
      </c>
      <c r="E464" s="12">
        <f>IF('Data Entry'!A464="","",'Data Entry'!E464)</f>
        <v/>
      </c>
      <c r="F464" s="12">
        <f>IF('Data Entry'!A464="","",'Data Entry'!F464)</f>
        <v/>
      </c>
      <c r="G464" s="13">
        <f>IF('Data Entry'!A464="","",'Data Entry'!G464)</f>
        <v/>
      </c>
      <c r="H464" s="10">
        <f>IF('Data Entry'!A464="","",'Data Entry'!H464)</f>
        <v/>
      </c>
      <c r="I464" s="10">
        <f>IF('Data Entry'!A464="","",'Data Entry'!I464)</f>
        <v/>
      </c>
      <c r="J464" s="12">
        <f>IF('Data Entry'!A464="","",IF('Data Entry'!D464&lt;&gt;"",'Data Entry'!D464,'Data Entry'!E464))</f>
        <v/>
      </c>
      <c r="K464" s="10">
        <f>IF('Data Entry'!A464="","",IFERROR(SUMIFS($H$5:$H$2001,$J$5:$J$2001,$J464,$B$5:$B$2001,$B464,$A$5:$A$2001,(MAXIFS($A$5:$A$2001,$J$5:$J$2001,$J464,$B$5:$B$2001,$B464,$A$5:$A$2001,"&lt;"&amp;$A464))),""))</f>
        <v/>
      </c>
      <c r="L464" s="14">
        <f>IF(OR('Data Entry'!A464="",$K464=""),"",$H464-$K464)</f>
        <v/>
      </c>
      <c r="M464" s="15">
        <f>IF(OR('Data Entry'!A464="",$K464="",$K464=0),"",$L464/$K464)</f>
        <v/>
      </c>
      <c r="N464" s="12">
        <f>IF('Data Entry'!A464="","",IF($L464="","New item",IF($L464&gt;0,"UP",IF($L464&lt;0,"down","same"))))</f>
        <v/>
      </c>
    </row>
    <row r="465">
      <c r="A465" s="11">
        <f>IF('Data Entry'!A465="","",'Data Entry'!A465)</f>
        <v/>
      </c>
      <c r="B465" s="12">
        <f>IF('Data Entry'!A465="","",'Data Entry'!B465)</f>
        <v/>
      </c>
      <c r="C465" s="12">
        <f>IF('Data Entry'!A465="","",'Data Entry'!C465)</f>
        <v/>
      </c>
      <c r="D465" s="12">
        <f>IF('Data Entry'!A465="","",'Data Entry'!D465)</f>
        <v/>
      </c>
      <c r="E465" s="12">
        <f>IF('Data Entry'!A465="","",'Data Entry'!E465)</f>
        <v/>
      </c>
      <c r="F465" s="12">
        <f>IF('Data Entry'!A465="","",'Data Entry'!F465)</f>
        <v/>
      </c>
      <c r="G465" s="13">
        <f>IF('Data Entry'!A465="","",'Data Entry'!G465)</f>
        <v/>
      </c>
      <c r="H465" s="10">
        <f>IF('Data Entry'!A465="","",'Data Entry'!H465)</f>
        <v/>
      </c>
      <c r="I465" s="10">
        <f>IF('Data Entry'!A465="","",'Data Entry'!I465)</f>
        <v/>
      </c>
      <c r="J465" s="12">
        <f>IF('Data Entry'!A465="","",IF('Data Entry'!D465&lt;&gt;"",'Data Entry'!D465,'Data Entry'!E465))</f>
        <v/>
      </c>
      <c r="K465" s="10">
        <f>IF('Data Entry'!A465="","",IFERROR(SUMIFS($H$5:$H$2001,$J$5:$J$2001,$J465,$B$5:$B$2001,$B465,$A$5:$A$2001,(MAXIFS($A$5:$A$2001,$J$5:$J$2001,$J465,$B$5:$B$2001,$B465,$A$5:$A$2001,"&lt;"&amp;$A465))),""))</f>
        <v/>
      </c>
      <c r="L465" s="14">
        <f>IF(OR('Data Entry'!A465="",$K465=""),"",$H465-$K465)</f>
        <v/>
      </c>
      <c r="M465" s="15">
        <f>IF(OR('Data Entry'!A465="",$K465="",$K465=0),"",$L465/$K465)</f>
        <v/>
      </c>
      <c r="N465" s="12">
        <f>IF('Data Entry'!A465="","",IF($L465="","New item",IF($L465&gt;0,"UP",IF($L465&lt;0,"down","same"))))</f>
        <v/>
      </c>
    </row>
    <row r="466">
      <c r="A466" s="11">
        <f>IF('Data Entry'!A466="","",'Data Entry'!A466)</f>
        <v/>
      </c>
      <c r="B466" s="12">
        <f>IF('Data Entry'!A466="","",'Data Entry'!B466)</f>
        <v/>
      </c>
      <c r="C466" s="12">
        <f>IF('Data Entry'!A466="","",'Data Entry'!C466)</f>
        <v/>
      </c>
      <c r="D466" s="12">
        <f>IF('Data Entry'!A466="","",'Data Entry'!D466)</f>
        <v/>
      </c>
      <c r="E466" s="12">
        <f>IF('Data Entry'!A466="","",'Data Entry'!E466)</f>
        <v/>
      </c>
      <c r="F466" s="12">
        <f>IF('Data Entry'!A466="","",'Data Entry'!F466)</f>
        <v/>
      </c>
      <c r="G466" s="13">
        <f>IF('Data Entry'!A466="","",'Data Entry'!G466)</f>
        <v/>
      </c>
      <c r="H466" s="10">
        <f>IF('Data Entry'!A466="","",'Data Entry'!H466)</f>
        <v/>
      </c>
      <c r="I466" s="10">
        <f>IF('Data Entry'!A466="","",'Data Entry'!I466)</f>
        <v/>
      </c>
      <c r="J466" s="12">
        <f>IF('Data Entry'!A466="","",IF('Data Entry'!D466&lt;&gt;"",'Data Entry'!D466,'Data Entry'!E466))</f>
        <v/>
      </c>
      <c r="K466" s="10">
        <f>IF('Data Entry'!A466="","",IFERROR(SUMIFS($H$5:$H$2001,$J$5:$J$2001,$J466,$B$5:$B$2001,$B466,$A$5:$A$2001,(MAXIFS($A$5:$A$2001,$J$5:$J$2001,$J466,$B$5:$B$2001,$B466,$A$5:$A$2001,"&lt;"&amp;$A466))),""))</f>
        <v/>
      </c>
      <c r="L466" s="14">
        <f>IF(OR('Data Entry'!A466="",$K466=""),"",$H466-$K466)</f>
        <v/>
      </c>
      <c r="M466" s="15">
        <f>IF(OR('Data Entry'!A466="",$K466="",$K466=0),"",$L466/$K466)</f>
        <v/>
      </c>
      <c r="N466" s="12">
        <f>IF('Data Entry'!A466="","",IF($L466="","New item",IF($L466&gt;0,"UP",IF($L466&lt;0,"down","same"))))</f>
        <v/>
      </c>
    </row>
    <row r="467">
      <c r="A467" s="11">
        <f>IF('Data Entry'!A467="","",'Data Entry'!A467)</f>
        <v/>
      </c>
      <c r="B467" s="12">
        <f>IF('Data Entry'!A467="","",'Data Entry'!B467)</f>
        <v/>
      </c>
      <c r="C467" s="12">
        <f>IF('Data Entry'!A467="","",'Data Entry'!C467)</f>
        <v/>
      </c>
      <c r="D467" s="12">
        <f>IF('Data Entry'!A467="","",'Data Entry'!D467)</f>
        <v/>
      </c>
      <c r="E467" s="12">
        <f>IF('Data Entry'!A467="","",'Data Entry'!E467)</f>
        <v/>
      </c>
      <c r="F467" s="12">
        <f>IF('Data Entry'!A467="","",'Data Entry'!F467)</f>
        <v/>
      </c>
      <c r="G467" s="13">
        <f>IF('Data Entry'!A467="","",'Data Entry'!G467)</f>
        <v/>
      </c>
      <c r="H467" s="10">
        <f>IF('Data Entry'!A467="","",'Data Entry'!H467)</f>
        <v/>
      </c>
      <c r="I467" s="10">
        <f>IF('Data Entry'!A467="","",'Data Entry'!I467)</f>
        <v/>
      </c>
      <c r="J467" s="12">
        <f>IF('Data Entry'!A467="","",IF('Data Entry'!D467&lt;&gt;"",'Data Entry'!D467,'Data Entry'!E467))</f>
        <v/>
      </c>
      <c r="K467" s="10">
        <f>IF('Data Entry'!A467="","",IFERROR(SUMIFS($H$5:$H$2001,$J$5:$J$2001,$J467,$B$5:$B$2001,$B467,$A$5:$A$2001,(MAXIFS($A$5:$A$2001,$J$5:$J$2001,$J467,$B$5:$B$2001,$B467,$A$5:$A$2001,"&lt;"&amp;$A467))),""))</f>
        <v/>
      </c>
      <c r="L467" s="14">
        <f>IF(OR('Data Entry'!A467="",$K467=""),"",$H467-$K467)</f>
        <v/>
      </c>
      <c r="M467" s="15">
        <f>IF(OR('Data Entry'!A467="",$K467="",$K467=0),"",$L467/$K467)</f>
        <v/>
      </c>
      <c r="N467" s="12">
        <f>IF('Data Entry'!A467="","",IF($L467="","New item",IF($L467&gt;0,"UP",IF($L467&lt;0,"down","same"))))</f>
        <v/>
      </c>
    </row>
    <row r="468">
      <c r="A468" s="11">
        <f>IF('Data Entry'!A468="","",'Data Entry'!A468)</f>
        <v/>
      </c>
      <c r="B468" s="12">
        <f>IF('Data Entry'!A468="","",'Data Entry'!B468)</f>
        <v/>
      </c>
      <c r="C468" s="12">
        <f>IF('Data Entry'!A468="","",'Data Entry'!C468)</f>
        <v/>
      </c>
      <c r="D468" s="12">
        <f>IF('Data Entry'!A468="","",'Data Entry'!D468)</f>
        <v/>
      </c>
      <c r="E468" s="12">
        <f>IF('Data Entry'!A468="","",'Data Entry'!E468)</f>
        <v/>
      </c>
      <c r="F468" s="12">
        <f>IF('Data Entry'!A468="","",'Data Entry'!F468)</f>
        <v/>
      </c>
      <c r="G468" s="13">
        <f>IF('Data Entry'!A468="","",'Data Entry'!G468)</f>
        <v/>
      </c>
      <c r="H468" s="10">
        <f>IF('Data Entry'!A468="","",'Data Entry'!H468)</f>
        <v/>
      </c>
      <c r="I468" s="10">
        <f>IF('Data Entry'!A468="","",'Data Entry'!I468)</f>
        <v/>
      </c>
      <c r="J468" s="12">
        <f>IF('Data Entry'!A468="","",IF('Data Entry'!D468&lt;&gt;"",'Data Entry'!D468,'Data Entry'!E468))</f>
        <v/>
      </c>
      <c r="K468" s="10">
        <f>IF('Data Entry'!A468="","",IFERROR(SUMIFS($H$5:$H$2001,$J$5:$J$2001,$J468,$B$5:$B$2001,$B468,$A$5:$A$2001,(MAXIFS($A$5:$A$2001,$J$5:$J$2001,$J468,$B$5:$B$2001,$B468,$A$5:$A$2001,"&lt;"&amp;$A468))),""))</f>
        <v/>
      </c>
      <c r="L468" s="14">
        <f>IF(OR('Data Entry'!A468="",$K468=""),"",$H468-$K468)</f>
        <v/>
      </c>
      <c r="M468" s="15">
        <f>IF(OR('Data Entry'!A468="",$K468="",$K468=0),"",$L468/$K468)</f>
        <v/>
      </c>
      <c r="N468" s="12">
        <f>IF('Data Entry'!A468="","",IF($L468="","New item",IF($L468&gt;0,"UP",IF($L468&lt;0,"down","same"))))</f>
        <v/>
      </c>
    </row>
    <row r="469">
      <c r="A469" s="11">
        <f>IF('Data Entry'!A469="","",'Data Entry'!A469)</f>
        <v/>
      </c>
      <c r="B469" s="12">
        <f>IF('Data Entry'!A469="","",'Data Entry'!B469)</f>
        <v/>
      </c>
      <c r="C469" s="12">
        <f>IF('Data Entry'!A469="","",'Data Entry'!C469)</f>
        <v/>
      </c>
      <c r="D469" s="12">
        <f>IF('Data Entry'!A469="","",'Data Entry'!D469)</f>
        <v/>
      </c>
      <c r="E469" s="12">
        <f>IF('Data Entry'!A469="","",'Data Entry'!E469)</f>
        <v/>
      </c>
      <c r="F469" s="12">
        <f>IF('Data Entry'!A469="","",'Data Entry'!F469)</f>
        <v/>
      </c>
      <c r="G469" s="13">
        <f>IF('Data Entry'!A469="","",'Data Entry'!G469)</f>
        <v/>
      </c>
      <c r="H469" s="10">
        <f>IF('Data Entry'!A469="","",'Data Entry'!H469)</f>
        <v/>
      </c>
      <c r="I469" s="10">
        <f>IF('Data Entry'!A469="","",'Data Entry'!I469)</f>
        <v/>
      </c>
      <c r="J469" s="12">
        <f>IF('Data Entry'!A469="","",IF('Data Entry'!D469&lt;&gt;"",'Data Entry'!D469,'Data Entry'!E469))</f>
        <v/>
      </c>
      <c r="K469" s="10">
        <f>IF('Data Entry'!A469="","",IFERROR(SUMIFS($H$5:$H$2001,$J$5:$J$2001,$J469,$B$5:$B$2001,$B469,$A$5:$A$2001,(MAXIFS($A$5:$A$2001,$J$5:$J$2001,$J469,$B$5:$B$2001,$B469,$A$5:$A$2001,"&lt;"&amp;$A469))),""))</f>
        <v/>
      </c>
      <c r="L469" s="14">
        <f>IF(OR('Data Entry'!A469="",$K469=""),"",$H469-$K469)</f>
        <v/>
      </c>
      <c r="M469" s="15">
        <f>IF(OR('Data Entry'!A469="",$K469="",$K469=0),"",$L469/$K469)</f>
        <v/>
      </c>
      <c r="N469" s="12">
        <f>IF('Data Entry'!A469="","",IF($L469="","New item",IF($L469&gt;0,"UP",IF($L469&lt;0,"down","same"))))</f>
        <v/>
      </c>
    </row>
    <row r="470">
      <c r="A470" s="11">
        <f>IF('Data Entry'!A470="","",'Data Entry'!A470)</f>
        <v/>
      </c>
      <c r="B470" s="12">
        <f>IF('Data Entry'!A470="","",'Data Entry'!B470)</f>
        <v/>
      </c>
      <c r="C470" s="12">
        <f>IF('Data Entry'!A470="","",'Data Entry'!C470)</f>
        <v/>
      </c>
      <c r="D470" s="12">
        <f>IF('Data Entry'!A470="","",'Data Entry'!D470)</f>
        <v/>
      </c>
      <c r="E470" s="12">
        <f>IF('Data Entry'!A470="","",'Data Entry'!E470)</f>
        <v/>
      </c>
      <c r="F470" s="12">
        <f>IF('Data Entry'!A470="","",'Data Entry'!F470)</f>
        <v/>
      </c>
      <c r="G470" s="13">
        <f>IF('Data Entry'!A470="","",'Data Entry'!G470)</f>
        <v/>
      </c>
      <c r="H470" s="10">
        <f>IF('Data Entry'!A470="","",'Data Entry'!H470)</f>
        <v/>
      </c>
      <c r="I470" s="10">
        <f>IF('Data Entry'!A470="","",'Data Entry'!I470)</f>
        <v/>
      </c>
      <c r="J470" s="12">
        <f>IF('Data Entry'!A470="","",IF('Data Entry'!D470&lt;&gt;"",'Data Entry'!D470,'Data Entry'!E470))</f>
        <v/>
      </c>
      <c r="K470" s="10">
        <f>IF('Data Entry'!A470="","",IFERROR(SUMIFS($H$5:$H$2001,$J$5:$J$2001,$J470,$B$5:$B$2001,$B470,$A$5:$A$2001,(MAXIFS($A$5:$A$2001,$J$5:$J$2001,$J470,$B$5:$B$2001,$B470,$A$5:$A$2001,"&lt;"&amp;$A470))),""))</f>
        <v/>
      </c>
      <c r="L470" s="14">
        <f>IF(OR('Data Entry'!A470="",$K470=""),"",$H470-$K470)</f>
        <v/>
      </c>
      <c r="M470" s="15">
        <f>IF(OR('Data Entry'!A470="",$K470="",$K470=0),"",$L470/$K470)</f>
        <v/>
      </c>
      <c r="N470" s="12">
        <f>IF('Data Entry'!A470="","",IF($L470="","New item",IF($L470&gt;0,"UP",IF($L470&lt;0,"down","same"))))</f>
        <v/>
      </c>
    </row>
    <row r="471">
      <c r="A471" s="11">
        <f>IF('Data Entry'!A471="","",'Data Entry'!A471)</f>
        <v/>
      </c>
      <c r="B471" s="12">
        <f>IF('Data Entry'!A471="","",'Data Entry'!B471)</f>
        <v/>
      </c>
      <c r="C471" s="12">
        <f>IF('Data Entry'!A471="","",'Data Entry'!C471)</f>
        <v/>
      </c>
      <c r="D471" s="12">
        <f>IF('Data Entry'!A471="","",'Data Entry'!D471)</f>
        <v/>
      </c>
      <c r="E471" s="12">
        <f>IF('Data Entry'!A471="","",'Data Entry'!E471)</f>
        <v/>
      </c>
      <c r="F471" s="12">
        <f>IF('Data Entry'!A471="","",'Data Entry'!F471)</f>
        <v/>
      </c>
      <c r="G471" s="13">
        <f>IF('Data Entry'!A471="","",'Data Entry'!G471)</f>
        <v/>
      </c>
      <c r="H471" s="10">
        <f>IF('Data Entry'!A471="","",'Data Entry'!H471)</f>
        <v/>
      </c>
      <c r="I471" s="10">
        <f>IF('Data Entry'!A471="","",'Data Entry'!I471)</f>
        <v/>
      </c>
      <c r="J471" s="12">
        <f>IF('Data Entry'!A471="","",IF('Data Entry'!D471&lt;&gt;"",'Data Entry'!D471,'Data Entry'!E471))</f>
        <v/>
      </c>
      <c r="K471" s="10">
        <f>IF('Data Entry'!A471="","",IFERROR(SUMIFS($H$5:$H$2001,$J$5:$J$2001,$J471,$B$5:$B$2001,$B471,$A$5:$A$2001,(MAXIFS($A$5:$A$2001,$J$5:$J$2001,$J471,$B$5:$B$2001,$B471,$A$5:$A$2001,"&lt;"&amp;$A471))),""))</f>
        <v/>
      </c>
      <c r="L471" s="14">
        <f>IF(OR('Data Entry'!A471="",$K471=""),"",$H471-$K471)</f>
        <v/>
      </c>
      <c r="M471" s="15">
        <f>IF(OR('Data Entry'!A471="",$K471="",$K471=0),"",$L471/$K471)</f>
        <v/>
      </c>
      <c r="N471" s="12">
        <f>IF('Data Entry'!A471="","",IF($L471="","New item",IF($L471&gt;0,"UP",IF($L471&lt;0,"down","same"))))</f>
        <v/>
      </c>
    </row>
    <row r="472">
      <c r="A472" s="11">
        <f>IF('Data Entry'!A472="","",'Data Entry'!A472)</f>
        <v/>
      </c>
      <c r="B472" s="12">
        <f>IF('Data Entry'!A472="","",'Data Entry'!B472)</f>
        <v/>
      </c>
      <c r="C472" s="12">
        <f>IF('Data Entry'!A472="","",'Data Entry'!C472)</f>
        <v/>
      </c>
      <c r="D472" s="12">
        <f>IF('Data Entry'!A472="","",'Data Entry'!D472)</f>
        <v/>
      </c>
      <c r="E472" s="12">
        <f>IF('Data Entry'!A472="","",'Data Entry'!E472)</f>
        <v/>
      </c>
      <c r="F472" s="12">
        <f>IF('Data Entry'!A472="","",'Data Entry'!F472)</f>
        <v/>
      </c>
      <c r="G472" s="13">
        <f>IF('Data Entry'!A472="","",'Data Entry'!G472)</f>
        <v/>
      </c>
      <c r="H472" s="10">
        <f>IF('Data Entry'!A472="","",'Data Entry'!H472)</f>
        <v/>
      </c>
      <c r="I472" s="10">
        <f>IF('Data Entry'!A472="","",'Data Entry'!I472)</f>
        <v/>
      </c>
      <c r="J472" s="12">
        <f>IF('Data Entry'!A472="","",IF('Data Entry'!D472&lt;&gt;"",'Data Entry'!D472,'Data Entry'!E472))</f>
        <v/>
      </c>
      <c r="K472" s="10">
        <f>IF('Data Entry'!A472="","",IFERROR(SUMIFS($H$5:$H$2001,$J$5:$J$2001,$J472,$B$5:$B$2001,$B472,$A$5:$A$2001,(MAXIFS($A$5:$A$2001,$J$5:$J$2001,$J472,$B$5:$B$2001,$B472,$A$5:$A$2001,"&lt;"&amp;$A472))),""))</f>
        <v/>
      </c>
      <c r="L472" s="14">
        <f>IF(OR('Data Entry'!A472="",$K472=""),"",$H472-$K472)</f>
        <v/>
      </c>
      <c r="M472" s="15">
        <f>IF(OR('Data Entry'!A472="",$K472="",$K472=0),"",$L472/$K472)</f>
        <v/>
      </c>
      <c r="N472" s="12">
        <f>IF('Data Entry'!A472="","",IF($L472="","New item",IF($L472&gt;0,"UP",IF($L472&lt;0,"down","same"))))</f>
        <v/>
      </c>
    </row>
    <row r="473">
      <c r="A473" s="11">
        <f>IF('Data Entry'!A473="","",'Data Entry'!A473)</f>
        <v/>
      </c>
      <c r="B473" s="12">
        <f>IF('Data Entry'!A473="","",'Data Entry'!B473)</f>
        <v/>
      </c>
      <c r="C473" s="12">
        <f>IF('Data Entry'!A473="","",'Data Entry'!C473)</f>
        <v/>
      </c>
      <c r="D473" s="12">
        <f>IF('Data Entry'!A473="","",'Data Entry'!D473)</f>
        <v/>
      </c>
      <c r="E473" s="12">
        <f>IF('Data Entry'!A473="","",'Data Entry'!E473)</f>
        <v/>
      </c>
      <c r="F473" s="12">
        <f>IF('Data Entry'!A473="","",'Data Entry'!F473)</f>
        <v/>
      </c>
      <c r="G473" s="13">
        <f>IF('Data Entry'!A473="","",'Data Entry'!G473)</f>
        <v/>
      </c>
      <c r="H473" s="10">
        <f>IF('Data Entry'!A473="","",'Data Entry'!H473)</f>
        <v/>
      </c>
      <c r="I473" s="10">
        <f>IF('Data Entry'!A473="","",'Data Entry'!I473)</f>
        <v/>
      </c>
      <c r="J473" s="12">
        <f>IF('Data Entry'!A473="","",IF('Data Entry'!D473&lt;&gt;"",'Data Entry'!D473,'Data Entry'!E473))</f>
        <v/>
      </c>
      <c r="K473" s="10">
        <f>IF('Data Entry'!A473="","",IFERROR(SUMIFS($H$5:$H$2001,$J$5:$J$2001,$J473,$B$5:$B$2001,$B473,$A$5:$A$2001,(MAXIFS($A$5:$A$2001,$J$5:$J$2001,$J473,$B$5:$B$2001,$B473,$A$5:$A$2001,"&lt;"&amp;$A473))),""))</f>
        <v/>
      </c>
      <c r="L473" s="14">
        <f>IF(OR('Data Entry'!A473="",$K473=""),"",$H473-$K473)</f>
        <v/>
      </c>
      <c r="M473" s="15">
        <f>IF(OR('Data Entry'!A473="",$K473="",$K473=0),"",$L473/$K473)</f>
        <v/>
      </c>
      <c r="N473" s="12">
        <f>IF('Data Entry'!A473="","",IF($L473="","New item",IF($L473&gt;0,"UP",IF($L473&lt;0,"down","same"))))</f>
        <v/>
      </c>
    </row>
    <row r="474">
      <c r="A474" s="11">
        <f>IF('Data Entry'!A474="","",'Data Entry'!A474)</f>
        <v/>
      </c>
      <c r="B474" s="12">
        <f>IF('Data Entry'!A474="","",'Data Entry'!B474)</f>
        <v/>
      </c>
      <c r="C474" s="12">
        <f>IF('Data Entry'!A474="","",'Data Entry'!C474)</f>
        <v/>
      </c>
      <c r="D474" s="12">
        <f>IF('Data Entry'!A474="","",'Data Entry'!D474)</f>
        <v/>
      </c>
      <c r="E474" s="12">
        <f>IF('Data Entry'!A474="","",'Data Entry'!E474)</f>
        <v/>
      </c>
      <c r="F474" s="12">
        <f>IF('Data Entry'!A474="","",'Data Entry'!F474)</f>
        <v/>
      </c>
      <c r="G474" s="13">
        <f>IF('Data Entry'!A474="","",'Data Entry'!G474)</f>
        <v/>
      </c>
      <c r="H474" s="10">
        <f>IF('Data Entry'!A474="","",'Data Entry'!H474)</f>
        <v/>
      </c>
      <c r="I474" s="10">
        <f>IF('Data Entry'!A474="","",'Data Entry'!I474)</f>
        <v/>
      </c>
      <c r="J474" s="12">
        <f>IF('Data Entry'!A474="","",IF('Data Entry'!D474&lt;&gt;"",'Data Entry'!D474,'Data Entry'!E474))</f>
        <v/>
      </c>
      <c r="K474" s="10">
        <f>IF('Data Entry'!A474="","",IFERROR(SUMIFS($H$5:$H$2001,$J$5:$J$2001,$J474,$B$5:$B$2001,$B474,$A$5:$A$2001,(MAXIFS($A$5:$A$2001,$J$5:$J$2001,$J474,$B$5:$B$2001,$B474,$A$5:$A$2001,"&lt;"&amp;$A474))),""))</f>
        <v/>
      </c>
      <c r="L474" s="14">
        <f>IF(OR('Data Entry'!A474="",$K474=""),"",$H474-$K474)</f>
        <v/>
      </c>
      <c r="M474" s="15">
        <f>IF(OR('Data Entry'!A474="",$K474="",$K474=0),"",$L474/$K474)</f>
        <v/>
      </c>
      <c r="N474" s="12">
        <f>IF('Data Entry'!A474="","",IF($L474="","New item",IF($L474&gt;0,"UP",IF($L474&lt;0,"down","same"))))</f>
        <v/>
      </c>
    </row>
    <row r="475">
      <c r="A475" s="11">
        <f>IF('Data Entry'!A475="","",'Data Entry'!A475)</f>
        <v/>
      </c>
      <c r="B475" s="12">
        <f>IF('Data Entry'!A475="","",'Data Entry'!B475)</f>
        <v/>
      </c>
      <c r="C475" s="12">
        <f>IF('Data Entry'!A475="","",'Data Entry'!C475)</f>
        <v/>
      </c>
      <c r="D475" s="12">
        <f>IF('Data Entry'!A475="","",'Data Entry'!D475)</f>
        <v/>
      </c>
      <c r="E475" s="12">
        <f>IF('Data Entry'!A475="","",'Data Entry'!E475)</f>
        <v/>
      </c>
      <c r="F475" s="12">
        <f>IF('Data Entry'!A475="","",'Data Entry'!F475)</f>
        <v/>
      </c>
      <c r="G475" s="13">
        <f>IF('Data Entry'!A475="","",'Data Entry'!G475)</f>
        <v/>
      </c>
      <c r="H475" s="10">
        <f>IF('Data Entry'!A475="","",'Data Entry'!H475)</f>
        <v/>
      </c>
      <c r="I475" s="10">
        <f>IF('Data Entry'!A475="","",'Data Entry'!I475)</f>
        <v/>
      </c>
      <c r="J475" s="12">
        <f>IF('Data Entry'!A475="","",IF('Data Entry'!D475&lt;&gt;"",'Data Entry'!D475,'Data Entry'!E475))</f>
        <v/>
      </c>
      <c r="K475" s="10">
        <f>IF('Data Entry'!A475="","",IFERROR(SUMIFS($H$5:$H$2001,$J$5:$J$2001,$J475,$B$5:$B$2001,$B475,$A$5:$A$2001,(MAXIFS($A$5:$A$2001,$J$5:$J$2001,$J475,$B$5:$B$2001,$B475,$A$5:$A$2001,"&lt;"&amp;$A475))),""))</f>
        <v/>
      </c>
      <c r="L475" s="14">
        <f>IF(OR('Data Entry'!A475="",$K475=""),"",$H475-$K475)</f>
        <v/>
      </c>
      <c r="M475" s="15">
        <f>IF(OR('Data Entry'!A475="",$K475="",$K475=0),"",$L475/$K475)</f>
        <v/>
      </c>
      <c r="N475" s="12">
        <f>IF('Data Entry'!A475="","",IF($L475="","New item",IF($L475&gt;0,"UP",IF($L475&lt;0,"down","same"))))</f>
        <v/>
      </c>
    </row>
    <row r="476">
      <c r="A476" s="11">
        <f>IF('Data Entry'!A476="","",'Data Entry'!A476)</f>
        <v/>
      </c>
      <c r="B476" s="12">
        <f>IF('Data Entry'!A476="","",'Data Entry'!B476)</f>
        <v/>
      </c>
      <c r="C476" s="12">
        <f>IF('Data Entry'!A476="","",'Data Entry'!C476)</f>
        <v/>
      </c>
      <c r="D476" s="12">
        <f>IF('Data Entry'!A476="","",'Data Entry'!D476)</f>
        <v/>
      </c>
      <c r="E476" s="12">
        <f>IF('Data Entry'!A476="","",'Data Entry'!E476)</f>
        <v/>
      </c>
      <c r="F476" s="12">
        <f>IF('Data Entry'!A476="","",'Data Entry'!F476)</f>
        <v/>
      </c>
      <c r="G476" s="13">
        <f>IF('Data Entry'!A476="","",'Data Entry'!G476)</f>
        <v/>
      </c>
      <c r="H476" s="10">
        <f>IF('Data Entry'!A476="","",'Data Entry'!H476)</f>
        <v/>
      </c>
      <c r="I476" s="10">
        <f>IF('Data Entry'!A476="","",'Data Entry'!I476)</f>
        <v/>
      </c>
      <c r="J476" s="12">
        <f>IF('Data Entry'!A476="","",IF('Data Entry'!D476&lt;&gt;"",'Data Entry'!D476,'Data Entry'!E476))</f>
        <v/>
      </c>
      <c r="K476" s="10">
        <f>IF('Data Entry'!A476="","",IFERROR(SUMIFS($H$5:$H$2001,$J$5:$J$2001,$J476,$B$5:$B$2001,$B476,$A$5:$A$2001,(MAXIFS($A$5:$A$2001,$J$5:$J$2001,$J476,$B$5:$B$2001,$B476,$A$5:$A$2001,"&lt;"&amp;$A476))),""))</f>
        <v/>
      </c>
      <c r="L476" s="14">
        <f>IF(OR('Data Entry'!A476="",$K476=""),"",$H476-$K476)</f>
        <v/>
      </c>
      <c r="M476" s="15">
        <f>IF(OR('Data Entry'!A476="",$K476="",$K476=0),"",$L476/$K476)</f>
        <v/>
      </c>
      <c r="N476" s="12">
        <f>IF('Data Entry'!A476="","",IF($L476="","New item",IF($L476&gt;0,"UP",IF($L476&lt;0,"down","same"))))</f>
        <v/>
      </c>
    </row>
    <row r="477">
      <c r="A477" s="11">
        <f>IF('Data Entry'!A477="","",'Data Entry'!A477)</f>
        <v/>
      </c>
      <c r="B477" s="12">
        <f>IF('Data Entry'!A477="","",'Data Entry'!B477)</f>
        <v/>
      </c>
      <c r="C477" s="12">
        <f>IF('Data Entry'!A477="","",'Data Entry'!C477)</f>
        <v/>
      </c>
      <c r="D477" s="12">
        <f>IF('Data Entry'!A477="","",'Data Entry'!D477)</f>
        <v/>
      </c>
      <c r="E477" s="12">
        <f>IF('Data Entry'!A477="","",'Data Entry'!E477)</f>
        <v/>
      </c>
      <c r="F477" s="12">
        <f>IF('Data Entry'!A477="","",'Data Entry'!F477)</f>
        <v/>
      </c>
      <c r="G477" s="13">
        <f>IF('Data Entry'!A477="","",'Data Entry'!G477)</f>
        <v/>
      </c>
      <c r="H477" s="10">
        <f>IF('Data Entry'!A477="","",'Data Entry'!H477)</f>
        <v/>
      </c>
      <c r="I477" s="10">
        <f>IF('Data Entry'!A477="","",'Data Entry'!I477)</f>
        <v/>
      </c>
      <c r="J477" s="12">
        <f>IF('Data Entry'!A477="","",IF('Data Entry'!D477&lt;&gt;"",'Data Entry'!D477,'Data Entry'!E477))</f>
        <v/>
      </c>
      <c r="K477" s="10">
        <f>IF('Data Entry'!A477="","",IFERROR(SUMIFS($H$5:$H$2001,$J$5:$J$2001,$J477,$B$5:$B$2001,$B477,$A$5:$A$2001,(MAXIFS($A$5:$A$2001,$J$5:$J$2001,$J477,$B$5:$B$2001,$B477,$A$5:$A$2001,"&lt;"&amp;$A477))),""))</f>
        <v/>
      </c>
      <c r="L477" s="14">
        <f>IF(OR('Data Entry'!A477="",$K477=""),"",$H477-$K477)</f>
        <v/>
      </c>
      <c r="M477" s="15">
        <f>IF(OR('Data Entry'!A477="",$K477="",$K477=0),"",$L477/$K477)</f>
        <v/>
      </c>
      <c r="N477" s="12">
        <f>IF('Data Entry'!A477="","",IF($L477="","New item",IF($L477&gt;0,"UP",IF($L477&lt;0,"down","same"))))</f>
        <v/>
      </c>
    </row>
    <row r="478">
      <c r="A478" s="11">
        <f>IF('Data Entry'!A478="","",'Data Entry'!A478)</f>
        <v/>
      </c>
      <c r="B478" s="12">
        <f>IF('Data Entry'!A478="","",'Data Entry'!B478)</f>
        <v/>
      </c>
      <c r="C478" s="12">
        <f>IF('Data Entry'!A478="","",'Data Entry'!C478)</f>
        <v/>
      </c>
      <c r="D478" s="12">
        <f>IF('Data Entry'!A478="","",'Data Entry'!D478)</f>
        <v/>
      </c>
      <c r="E478" s="12">
        <f>IF('Data Entry'!A478="","",'Data Entry'!E478)</f>
        <v/>
      </c>
      <c r="F478" s="12">
        <f>IF('Data Entry'!A478="","",'Data Entry'!F478)</f>
        <v/>
      </c>
      <c r="G478" s="13">
        <f>IF('Data Entry'!A478="","",'Data Entry'!G478)</f>
        <v/>
      </c>
      <c r="H478" s="10">
        <f>IF('Data Entry'!A478="","",'Data Entry'!H478)</f>
        <v/>
      </c>
      <c r="I478" s="10">
        <f>IF('Data Entry'!A478="","",'Data Entry'!I478)</f>
        <v/>
      </c>
      <c r="J478" s="12">
        <f>IF('Data Entry'!A478="","",IF('Data Entry'!D478&lt;&gt;"",'Data Entry'!D478,'Data Entry'!E478))</f>
        <v/>
      </c>
      <c r="K478" s="10">
        <f>IF('Data Entry'!A478="","",IFERROR(SUMIFS($H$5:$H$2001,$J$5:$J$2001,$J478,$B$5:$B$2001,$B478,$A$5:$A$2001,(MAXIFS($A$5:$A$2001,$J$5:$J$2001,$J478,$B$5:$B$2001,$B478,$A$5:$A$2001,"&lt;"&amp;$A478))),""))</f>
        <v/>
      </c>
      <c r="L478" s="14">
        <f>IF(OR('Data Entry'!A478="",$K478=""),"",$H478-$K478)</f>
        <v/>
      </c>
      <c r="M478" s="15">
        <f>IF(OR('Data Entry'!A478="",$K478="",$K478=0),"",$L478/$K478)</f>
        <v/>
      </c>
      <c r="N478" s="12">
        <f>IF('Data Entry'!A478="","",IF($L478="","New item",IF($L478&gt;0,"UP",IF($L478&lt;0,"down","same"))))</f>
        <v/>
      </c>
    </row>
    <row r="479">
      <c r="A479" s="11">
        <f>IF('Data Entry'!A479="","",'Data Entry'!A479)</f>
        <v/>
      </c>
      <c r="B479" s="12">
        <f>IF('Data Entry'!A479="","",'Data Entry'!B479)</f>
        <v/>
      </c>
      <c r="C479" s="12">
        <f>IF('Data Entry'!A479="","",'Data Entry'!C479)</f>
        <v/>
      </c>
      <c r="D479" s="12">
        <f>IF('Data Entry'!A479="","",'Data Entry'!D479)</f>
        <v/>
      </c>
      <c r="E479" s="12">
        <f>IF('Data Entry'!A479="","",'Data Entry'!E479)</f>
        <v/>
      </c>
      <c r="F479" s="12">
        <f>IF('Data Entry'!A479="","",'Data Entry'!F479)</f>
        <v/>
      </c>
      <c r="G479" s="13">
        <f>IF('Data Entry'!A479="","",'Data Entry'!G479)</f>
        <v/>
      </c>
      <c r="H479" s="10">
        <f>IF('Data Entry'!A479="","",'Data Entry'!H479)</f>
        <v/>
      </c>
      <c r="I479" s="10">
        <f>IF('Data Entry'!A479="","",'Data Entry'!I479)</f>
        <v/>
      </c>
      <c r="J479" s="12">
        <f>IF('Data Entry'!A479="","",IF('Data Entry'!D479&lt;&gt;"",'Data Entry'!D479,'Data Entry'!E479))</f>
        <v/>
      </c>
      <c r="K479" s="10">
        <f>IF('Data Entry'!A479="","",IFERROR(SUMIFS($H$5:$H$2001,$J$5:$J$2001,$J479,$B$5:$B$2001,$B479,$A$5:$A$2001,(MAXIFS($A$5:$A$2001,$J$5:$J$2001,$J479,$B$5:$B$2001,$B479,$A$5:$A$2001,"&lt;"&amp;$A479))),""))</f>
        <v/>
      </c>
      <c r="L479" s="14">
        <f>IF(OR('Data Entry'!A479="",$K479=""),"",$H479-$K479)</f>
        <v/>
      </c>
      <c r="M479" s="15">
        <f>IF(OR('Data Entry'!A479="",$K479="",$K479=0),"",$L479/$K479)</f>
        <v/>
      </c>
      <c r="N479" s="12">
        <f>IF('Data Entry'!A479="","",IF($L479="","New item",IF($L479&gt;0,"UP",IF($L479&lt;0,"down","same"))))</f>
        <v/>
      </c>
    </row>
    <row r="480">
      <c r="A480" s="11">
        <f>IF('Data Entry'!A480="","",'Data Entry'!A480)</f>
        <v/>
      </c>
      <c r="B480" s="12">
        <f>IF('Data Entry'!A480="","",'Data Entry'!B480)</f>
        <v/>
      </c>
      <c r="C480" s="12">
        <f>IF('Data Entry'!A480="","",'Data Entry'!C480)</f>
        <v/>
      </c>
      <c r="D480" s="12">
        <f>IF('Data Entry'!A480="","",'Data Entry'!D480)</f>
        <v/>
      </c>
      <c r="E480" s="12">
        <f>IF('Data Entry'!A480="","",'Data Entry'!E480)</f>
        <v/>
      </c>
      <c r="F480" s="12">
        <f>IF('Data Entry'!A480="","",'Data Entry'!F480)</f>
        <v/>
      </c>
      <c r="G480" s="13">
        <f>IF('Data Entry'!A480="","",'Data Entry'!G480)</f>
        <v/>
      </c>
      <c r="H480" s="10">
        <f>IF('Data Entry'!A480="","",'Data Entry'!H480)</f>
        <v/>
      </c>
      <c r="I480" s="10">
        <f>IF('Data Entry'!A480="","",'Data Entry'!I480)</f>
        <v/>
      </c>
      <c r="J480" s="12">
        <f>IF('Data Entry'!A480="","",IF('Data Entry'!D480&lt;&gt;"",'Data Entry'!D480,'Data Entry'!E480))</f>
        <v/>
      </c>
      <c r="K480" s="10">
        <f>IF('Data Entry'!A480="","",IFERROR(SUMIFS($H$5:$H$2001,$J$5:$J$2001,$J480,$B$5:$B$2001,$B480,$A$5:$A$2001,(MAXIFS($A$5:$A$2001,$J$5:$J$2001,$J480,$B$5:$B$2001,$B480,$A$5:$A$2001,"&lt;"&amp;$A480))),""))</f>
        <v/>
      </c>
      <c r="L480" s="14">
        <f>IF(OR('Data Entry'!A480="",$K480=""),"",$H480-$K480)</f>
        <v/>
      </c>
      <c r="M480" s="15">
        <f>IF(OR('Data Entry'!A480="",$K480="",$K480=0),"",$L480/$K480)</f>
        <v/>
      </c>
      <c r="N480" s="12">
        <f>IF('Data Entry'!A480="","",IF($L480="","New item",IF($L480&gt;0,"UP",IF($L480&lt;0,"down","same"))))</f>
        <v/>
      </c>
    </row>
    <row r="481">
      <c r="A481" s="11">
        <f>IF('Data Entry'!A481="","",'Data Entry'!A481)</f>
        <v/>
      </c>
      <c r="B481" s="12">
        <f>IF('Data Entry'!A481="","",'Data Entry'!B481)</f>
        <v/>
      </c>
      <c r="C481" s="12">
        <f>IF('Data Entry'!A481="","",'Data Entry'!C481)</f>
        <v/>
      </c>
      <c r="D481" s="12">
        <f>IF('Data Entry'!A481="","",'Data Entry'!D481)</f>
        <v/>
      </c>
      <c r="E481" s="12">
        <f>IF('Data Entry'!A481="","",'Data Entry'!E481)</f>
        <v/>
      </c>
      <c r="F481" s="12">
        <f>IF('Data Entry'!A481="","",'Data Entry'!F481)</f>
        <v/>
      </c>
      <c r="G481" s="13">
        <f>IF('Data Entry'!A481="","",'Data Entry'!G481)</f>
        <v/>
      </c>
      <c r="H481" s="10">
        <f>IF('Data Entry'!A481="","",'Data Entry'!H481)</f>
        <v/>
      </c>
      <c r="I481" s="10">
        <f>IF('Data Entry'!A481="","",'Data Entry'!I481)</f>
        <v/>
      </c>
      <c r="J481" s="12">
        <f>IF('Data Entry'!A481="","",IF('Data Entry'!D481&lt;&gt;"",'Data Entry'!D481,'Data Entry'!E481))</f>
        <v/>
      </c>
      <c r="K481" s="10">
        <f>IF('Data Entry'!A481="","",IFERROR(SUMIFS($H$5:$H$2001,$J$5:$J$2001,$J481,$B$5:$B$2001,$B481,$A$5:$A$2001,(MAXIFS($A$5:$A$2001,$J$5:$J$2001,$J481,$B$5:$B$2001,$B481,$A$5:$A$2001,"&lt;"&amp;$A481))),""))</f>
        <v/>
      </c>
      <c r="L481" s="14">
        <f>IF(OR('Data Entry'!A481="",$K481=""),"",$H481-$K481)</f>
        <v/>
      </c>
      <c r="M481" s="15">
        <f>IF(OR('Data Entry'!A481="",$K481="",$K481=0),"",$L481/$K481)</f>
        <v/>
      </c>
      <c r="N481" s="12">
        <f>IF('Data Entry'!A481="","",IF($L481="","New item",IF($L481&gt;0,"UP",IF($L481&lt;0,"down","same"))))</f>
        <v/>
      </c>
    </row>
    <row r="482">
      <c r="A482" s="11">
        <f>IF('Data Entry'!A482="","",'Data Entry'!A482)</f>
        <v/>
      </c>
      <c r="B482" s="12">
        <f>IF('Data Entry'!A482="","",'Data Entry'!B482)</f>
        <v/>
      </c>
      <c r="C482" s="12">
        <f>IF('Data Entry'!A482="","",'Data Entry'!C482)</f>
        <v/>
      </c>
      <c r="D482" s="12">
        <f>IF('Data Entry'!A482="","",'Data Entry'!D482)</f>
        <v/>
      </c>
      <c r="E482" s="12">
        <f>IF('Data Entry'!A482="","",'Data Entry'!E482)</f>
        <v/>
      </c>
      <c r="F482" s="12">
        <f>IF('Data Entry'!A482="","",'Data Entry'!F482)</f>
        <v/>
      </c>
      <c r="G482" s="13">
        <f>IF('Data Entry'!A482="","",'Data Entry'!G482)</f>
        <v/>
      </c>
      <c r="H482" s="10">
        <f>IF('Data Entry'!A482="","",'Data Entry'!H482)</f>
        <v/>
      </c>
      <c r="I482" s="10">
        <f>IF('Data Entry'!A482="","",'Data Entry'!I482)</f>
        <v/>
      </c>
      <c r="J482" s="12">
        <f>IF('Data Entry'!A482="","",IF('Data Entry'!D482&lt;&gt;"",'Data Entry'!D482,'Data Entry'!E482))</f>
        <v/>
      </c>
      <c r="K482" s="10">
        <f>IF('Data Entry'!A482="","",IFERROR(SUMIFS($H$5:$H$2001,$J$5:$J$2001,$J482,$B$5:$B$2001,$B482,$A$5:$A$2001,(MAXIFS($A$5:$A$2001,$J$5:$J$2001,$J482,$B$5:$B$2001,$B482,$A$5:$A$2001,"&lt;"&amp;$A482))),""))</f>
        <v/>
      </c>
      <c r="L482" s="14">
        <f>IF(OR('Data Entry'!A482="",$K482=""),"",$H482-$K482)</f>
        <v/>
      </c>
      <c r="M482" s="15">
        <f>IF(OR('Data Entry'!A482="",$K482="",$K482=0),"",$L482/$K482)</f>
        <v/>
      </c>
      <c r="N482" s="12">
        <f>IF('Data Entry'!A482="","",IF($L482="","New item",IF($L482&gt;0,"UP",IF($L482&lt;0,"down","same"))))</f>
        <v/>
      </c>
    </row>
    <row r="483">
      <c r="A483" s="11">
        <f>IF('Data Entry'!A483="","",'Data Entry'!A483)</f>
        <v/>
      </c>
      <c r="B483" s="12">
        <f>IF('Data Entry'!A483="","",'Data Entry'!B483)</f>
        <v/>
      </c>
      <c r="C483" s="12">
        <f>IF('Data Entry'!A483="","",'Data Entry'!C483)</f>
        <v/>
      </c>
      <c r="D483" s="12">
        <f>IF('Data Entry'!A483="","",'Data Entry'!D483)</f>
        <v/>
      </c>
      <c r="E483" s="12">
        <f>IF('Data Entry'!A483="","",'Data Entry'!E483)</f>
        <v/>
      </c>
      <c r="F483" s="12">
        <f>IF('Data Entry'!A483="","",'Data Entry'!F483)</f>
        <v/>
      </c>
      <c r="G483" s="13">
        <f>IF('Data Entry'!A483="","",'Data Entry'!G483)</f>
        <v/>
      </c>
      <c r="H483" s="10">
        <f>IF('Data Entry'!A483="","",'Data Entry'!H483)</f>
        <v/>
      </c>
      <c r="I483" s="10">
        <f>IF('Data Entry'!A483="","",'Data Entry'!I483)</f>
        <v/>
      </c>
      <c r="J483" s="12">
        <f>IF('Data Entry'!A483="","",IF('Data Entry'!D483&lt;&gt;"",'Data Entry'!D483,'Data Entry'!E483))</f>
        <v/>
      </c>
      <c r="K483" s="10">
        <f>IF('Data Entry'!A483="","",IFERROR(SUMIFS($H$5:$H$2001,$J$5:$J$2001,$J483,$B$5:$B$2001,$B483,$A$5:$A$2001,(MAXIFS($A$5:$A$2001,$J$5:$J$2001,$J483,$B$5:$B$2001,$B483,$A$5:$A$2001,"&lt;"&amp;$A483))),""))</f>
        <v/>
      </c>
      <c r="L483" s="14">
        <f>IF(OR('Data Entry'!A483="",$K483=""),"",$H483-$K483)</f>
        <v/>
      </c>
      <c r="M483" s="15">
        <f>IF(OR('Data Entry'!A483="",$K483="",$K483=0),"",$L483/$K483)</f>
        <v/>
      </c>
      <c r="N483" s="12">
        <f>IF('Data Entry'!A483="","",IF($L483="","New item",IF($L483&gt;0,"UP",IF($L483&lt;0,"down","same"))))</f>
        <v/>
      </c>
    </row>
    <row r="484">
      <c r="A484" s="11">
        <f>IF('Data Entry'!A484="","",'Data Entry'!A484)</f>
        <v/>
      </c>
      <c r="B484" s="12">
        <f>IF('Data Entry'!A484="","",'Data Entry'!B484)</f>
        <v/>
      </c>
      <c r="C484" s="12">
        <f>IF('Data Entry'!A484="","",'Data Entry'!C484)</f>
        <v/>
      </c>
      <c r="D484" s="12">
        <f>IF('Data Entry'!A484="","",'Data Entry'!D484)</f>
        <v/>
      </c>
      <c r="E484" s="12">
        <f>IF('Data Entry'!A484="","",'Data Entry'!E484)</f>
        <v/>
      </c>
      <c r="F484" s="12">
        <f>IF('Data Entry'!A484="","",'Data Entry'!F484)</f>
        <v/>
      </c>
      <c r="G484" s="13">
        <f>IF('Data Entry'!A484="","",'Data Entry'!G484)</f>
        <v/>
      </c>
      <c r="H484" s="10">
        <f>IF('Data Entry'!A484="","",'Data Entry'!H484)</f>
        <v/>
      </c>
      <c r="I484" s="10">
        <f>IF('Data Entry'!A484="","",'Data Entry'!I484)</f>
        <v/>
      </c>
      <c r="J484" s="12">
        <f>IF('Data Entry'!A484="","",IF('Data Entry'!D484&lt;&gt;"",'Data Entry'!D484,'Data Entry'!E484))</f>
        <v/>
      </c>
      <c r="K484" s="10">
        <f>IF('Data Entry'!A484="","",IFERROR(SUMIFS($H$5:$H$2001,$J$5:$J$2001,$J484,$B$5:$B$2001,$B484,$A$5:$A$2001,(MAXIFS($A$5:$A$2001,$J$5:$J$2001,$J484,$B$5:$B$2001,$B484,$A$5:$A$2001,"&lt;"&amp;$A484))),""))</f>
        <v/>
      </c>
      <c r="L484" s="14">
        <f>IF(OR('Data Entry'!A484="",$K484=""),"",$H484-$K484)</f>
        <v/>
      </c>
      <c r="M484" s="15">
        <f>IF(OR('Data Entry'!A484="",$K484="",$K484=0),"",$L484/$K484)</f>
        <v/>
      </c>
      <c r="N484" s="12">
        <f>IF('Data Entry'!A484="","",IF($L484="","New item",IF($L484&gt;0,"UP",IF($L484&lt;0,"down","same"))))</f>
        <v/>
      </c>
    </row>
    <row r="485">
      <c r="A485" s="11">
        <f>IF('Data Entry'!A485="","",'Data Entry'!A485)</f>
        <v/>
      </c>
      <c r="B485" s="12">
        <f>IF('Data Entry'!A485="","",'Data Entry'!B485)</f>
        <v/>
      </c>
      <c r="C485" s="12">
        <f>IF('Data Entry'!A485="","",'Data Entry'!C485)</f>
        <v/>
      </c>
      <c r="D485" s="12">
        <f>IF('Data Entry'!A485="","",'Data Entry'!D485)</f>
        <v/>
      </c>
      <c r="E485" s="12">
        <f>IF('Data Entry'!A485="","",'Data Entry'!E485)</f>
        <v/>
      </c>
      <c r="F485" s="12">
        <f>IF('Data Entry'!A485="","",'Data Entry'!F485)</f>
        <v/>
      </c>
      <c r="G485" s="13">
        <f>IF('Data Entry'!A485="","",'Data Entry'!G485)</f>
        <v/>
      </c>
      <c r="H485" s="10">
        <f>IF('Data Entry'!A485="","",'Data Entry'!H485)</f>
        <v/>
      </c>
      <c r="I485" s="10">
        <f>IF('Data Entry'!A485="","",'Data Entry'!I485)</f>
        <v/>
      </c>
      <c r="J485" s="12">
        <f>IF('Data Entry'!A485="","",IF('Data Entry'!D485&lt;&gt;"",'Data Entry'!D485,'Data Entry'!E485))</f>
        <v/>
      </c>
      <c r="K485" s="10">
        <f>IF('Data Entry'!A485="","",IFERROR(SUMIFS($H$5:$H$2001,$J$5:$J$2001,$J485,$B$5:$B$2001,$B485,$A$5:$A$2001,(MAXIFS($A$5:$A$2001,$J$5:$J$2001,$J485,$B$5:$B$2001,$B485,$A$5:$A$2001,"&lt;"&amp;$A485))),""))</f>
        <v/>
      </c>
      <c r="L485" s="14">
        <f>IF(OR('Data Entry'!A485="",$K485=""),"",$H485-$K485)</f>
        <v/>
      </c>
      <c r="M485" s="15">
        <f>IF(OR('Data Entry'!A485="",$K485="",$K485=0),"",$L485/$K485)</f>
        <v/>
      </c>
      <c r="N485" s="12">
        <f>IF('Data Entry'!A485="","",IF($L485="","New item",IF($L485&gt;0,"UP",IF($L485&lt;0,"down","same"))))</f>
        <v/>
      </c>
    </row>
    <row r="486">
      <c r="A486" s="11">
        <f>IF('Data Entry'!A486="","",'Data Entry'!A486)</f>
        <v/>
      </c>
      <c r="B486" s="12">
        <f>IF('Data Entry'!A486="","",'Data Entry'!B486)</f>
        <v/>
      </c>
      <c r="C486" s="12">
        <f>IF('Data Entry'!A486="","",'Data Entry'!C486)</f>
        <v/>
      </c>
      <c r="D486" s="12">
        <f>IF('Data Entry'!A486="","",'Data Entry'!D486)</f>
        <v/>
      </c>
      <c r="E486" s="12">
        <f>IF('Data Entry'!A486="","",'Data Entry'!E486)</f>
        <v/>
      </c>
      <c r="F486" s="12">
        <f>IF('Data Entry'!A486="","",'Data Entry'!F486)</f>
        <v/>
      </c>
      <c r="G486" s="13">
        <f>IF('Data Entry'!A486="","",'Data Entry'!G486)</f>
        <v/>
      </c>
      <c r="H486" s="10">
        <f>IF('Data Entry'!A486="","",'Data Entry'!H486)</f>
        <v/>
      </c>
      <c r="I486" s="10">
        <f>IF('Data Entry'!A486="","",'Data Entry'!I486)</f>
        <v/>
      </c>
      <c r="J486" s="12">
        <f>IF('Data Entry'!A486="","",IF('Data Entry'!D486&lt;&gt;"",'Data Entry'!D486,'Data Entry'!E486))</f>
        <v/>
      </c>
      <c r="K486" s="10">
        <f>IF('Data Entry'!A486="","",IFERROR(SUMIFS($H$5:$H$2001,$J$5:$J$2001,$J486,$B$5:$B$2001,$B486,$A$5:$A$2001,(MAXIFS($A$5:$A$2001,$J$5:$J$2001,$J486,$B$5:$B$2001,$B486,$A$5:$A$2001,"&lt;"&amp;$A486))),""))</f>
        <v/>
      </c>
      <c r="L486" s="14">
        <f>IF(OR('Data Entry'!A486="",$K486=""),"",$H486-$K486)</f>
        <v/>
      </c>
      <c r="M486" s="15">
        <f>IF(OR('Data Entry'!A486="",$K486="",$K486=0),"",$L486/$K486)</f>
        <v/>
      </c>
      <c r="N486" s="12">
        <f>IF('Data Entry'!A486="","",IF($L486="","New item",IF($L486&gt;0,"UP",IF($L486&lt;0,"down","same"))))</f>
        <v/>
      </c>
    </row>
    <row r="487">
      <c r="A487" s="11">
        <f>IF('Data Entry'!A487="","",'Data Entry'!A487)</f>
        <v/>
      </c>
      <c r="B487" s="12">
        <f>IF('Data Entry'!A487="","",'Data Entry'!B487)</f>
        <v/>
      </c>
      <c r="C487" s="12">
        <f>IF('Data Entry'!A487="","",'Data Entry'!C487)</f>
        <v/>
      </c>
      <c r="D487" s="12">
        <f>IF('Data Entry'!A487="","",'Data Entry'!D487)</f>
        <v/>
      </c>
      <c r="E487" s="12">
        <f>IF('Data Entry'!A487="","",'Data Entry'!E487)</f>
        <v/>
      </c>
      <c r="F487" s="12">
        <f>IF('Data Entry'!A487="","",'Data Entry'!F487)</f>
        <v/>
      </c>
      <c r="G487" s="13">
        <f>IF('Data Entry'!A487="","",'Data Entry'!G487)</f>
        <v/>
      </c>
      <c r="H487" s="10">
        <f>IF('Data Entry'!A487="","",'Data Entry'!H487)</f>
        <v/>
      </c>
      <c r="I487" s="10">
        <f>IF('Data Entry'!A487="","",'Data Entry'!I487)</f>
        <v/>
      </c>
      <c r="J487" s="12">
        <f>IF('Data Entry'!A487="","",IF('Data Entry'!D487&lt;&gt;"",'Data Entry'!D487,'Data Entry'!E487))</f>
        <v/>
      </c>
      <c r="K487" s="10">
        <f>IF('Data Entry'!A487="","",IFERROR(SUMIFS($H$5:$H$2001,$J$5:$J$2001,$J487,$B$5:$B$2001,$B487,$A$5:$A$2001,(MAXIFS($A$5:$A$2001,$J$5:$J$2001,$J487,$B$5:$B$2001,$B487,$A$5:$A$2001,"&lt;"&amp;$A487))),""))</f>
        <v/>
      </c>
      <c r="L487" s="14">
        <f>IF(OR('Data Entry'!A487="",$K487=""),"",$H487-$K487)</f>
        <v/>
      </c>
      <c r="M487" s="15">
        <f>IF(OR('Data Entry'!A487="",$K487="",$K487=0),"",$L487/$K487)</f>
        <v/>
      </c>
      <c r="N487" s="12">
        <f>IF('Data Entry'!A487="","",IF($L487="","New item",IF($L487&gt;0,"UP",IF($L487&lt;0,"down","same"))))</f>
        <v/>
      </c>
    </row>
    <row r="488">
      <c r="A488" s="11">
        <f>IF('Data Entry'!A488="","",'Data Entry'!A488)</f>
        <v/>
      </c>
      <c r="B488" s="12">
        <f>IF('Data Entry'!A488="","",'Data Entry'!B488)</f>
        <v/>
      </c>
      <c r="C488" s="12">
        <f>IF('Data Entry'!A488="","",'Data Entry'!C488)</f>
        <v/>
      </c>
      <c r="D488" s="12">
        <f>IF('Data Entry'!A488="","",'Data Entry'!D488)</f>
        <v/>
      </c>
      <c r="E488" s="12">
        <f>IF('Data Entry'!A488="","",'Data Entry'!E488)</f>
        <v/>
      </c>
      <c r="F488" s="12">
        <f>IF('Data Entry'!A488="","",'Data Entry'!F488)</f>
        <v/>
      </c>
      <c r="G488" s="13">
        <f>IF('Data Entry'!A488="","",'Data Entry'!G488)</f>
        <v/>
      </c>
      <c r="H488" s="10">
        <f>IF('Data Entry'!A488="","",'Data Entry'!H488)</f>
        <v/>
      </c>
      <c r="I488" s="10">
        <f>IF('Data Entry'!A488="","",'Data Entry'!I488)</f>
        <v/>
      </c>
      <c r="J488" s="12">
        <f>IF('Data Entry'!A488="","",IF('Data Entry'!D488&lt;&gt;"",'Data Entry'!D488,'Data Entry'!E488))</f>
        <v/>
      </c>
      <c r="K488" s="10">
        <f>IF('Data Entry'!A488="","",IFERROR(SUMIFS($H$5:$H$2001,$J$5:$J$2001,$J488,$B$5:$B$2001,$B488,$A$5:$A$2001,(MAXIFS($A$5:$A$2001,$J$5:$J$2001,$J488,$B$5:$B$2001,$B488,$A$5:$A$2001,"&lt;"&amp;$A488))),""))</f>
        <v/>
      </c>
      <c r="L488" s="14">
        <f>IF(OR('Data Entry'!A488="",$K488=""),"",$H488-$K488)</f>
        <v/>
      </c>
      <c r="M488" s="15">
        <f>IF(OR('Data Entry'!A488="",$K488="",$K488=0),"",$L488/$K488)</f>
        <v/>
      </c>
      <c r="N488" s="12">
        <f>IF('Data Entry'!A488="","",IF($L488="","New item",IF($L488&gt;0,"UP",IF($L488&lt;0,"down","same"))))</f>
        <v/>
      </c>
    </row>
    <row r="489">
      <c r="A489" s="11">
        <f>IF('Data Entry'!A489="","",'Data Entry'!A489)</f>
        <v/>
      </c>
      <c r="B489" s="12">
        <f>IF('Data Entry'!A489="","",'Data Entry'!B489)</f>
        <v/>
      </c>
      <c r="C489" s="12">
        <f>IF('Data Entry'!A489="","",'Data Entry'!C489)</f>
        <v/>
      </c>
      <c r="D489" s="12">
        <f>IF('Data Entry'!A489="","",'Data Entry'!D489)</f>
        <v/>
      </c>
      <c r="E489" s="12">
        <f>IF('Data Entry'!A489="","",'Data Entry'!E489)</f>
        <v/>
      </c>
      <c r="F489" s="12">
        <f>IF('Data Entry'!A489="","",'Data Entry'!F489)</f>
        <v/>
      </c>
      <c r="G489" s="13">
        <f>IF('Data Entry'!A489="","",'Data Entry'!G489)</f>
        <v/>
      </c>
      <c r="H489" s="10">
        <f>IF('Data Entry'!A489="","",'Data Entry'!H489)</f>
        <v/>
      </c>
      <c r="I489" s="10">
        <f>IF('Data Entry'!A489="","",'Data Entry'!I489)</f>
        <v/>
      </c>
      <c r="J489" s="12">
        <f>IF('Data Entry'!A489="","",IF('Data Entry'!D489&lt;&gt;"",'Data Entry'!D489,'Data Entry'!E489))</f>
        <v/>
      </c>
      <c r="K489" s="10">
        <f>IF('Data Entry'!A489="","",IFERROR(SUMIFS($H$5:$H$2001,$J$5:$J$2001,$J489,$B$5:$B$2001,$B489,$A$5:$A$2001,(MAXIFS($A$5:$A$2001,$J$5:$J$2001,$J489,$B$5:$B$2001,$B489,$A$5:$A$2001,"&lt;"&amp;$A489))),""))</f>
        <v/>
      </c>
      <c r="L489" s="14">
        <f>IF(OR('Data Entry'!A489="",$K489=""),"",$H489-$K489)</f>
        <v/>
      </c>
      <c r="M489" s="15">
        <f>IF(OR('Data Entry'!A489="",$K489="",$K489=0),"",$L489/$K489)</f>
        <v/>
      </c>
      <c r="N489" s="12">
        <f>IF('Data Entry'!A489="","",IF($L489="","New item",IF($L489&gt;0,"UP",IF($L489&lt;0,"down","same"))))</f>
        <v/>
      </c>
    </row>
    <row r="490">
      <c r="A490" s="11">
        <f>IF('Data Entry'!A490="","",'Data Entry'!A490)</f>
        <v/>
      </c>
      <c r="B490" s="12">
        <f>IF('Data Entry'!A490="","",'Data Entry'!B490)</f>
        <v/>
      </c>
      <c r="C490" s="12">
        <f>IF('Data Entry'!A490="","",'Data Entry'!C490)</f>
        <v/>
      </c>
      <c r="D490" s="12">
        <f>IF('Data Entry'!A490="","",'Data Entry'!D490)</f>
        <v/>
      </c>
      <c r="E490" s="12">
        <f>IF('Data Entry'!A490="","",'Data Entry'!E490)</f>
        <v/>
      </c>
      <c r="F490" s="12">
        <f>IF('Data Entry'!A490="","",'Data Entry'!F490)</f>
        <v/>
      </c>
      <c r="G490" s="13">
        <f>IF('Data Entry'!A490="","",'Data Entry'!G490)</f>
        <v/>
      </c>
      <c r="H490" s="10">
        <f>IF('Data Entry'!A490="","",'Data Entry'!H490)</f>
        <v/>
      </c>
      <c r="I490" s="10">
        <f>IF('Data Entry'!A490="","",'Data Entry'!I490)</f>
        <v/>
      </c>
      <c r="J490" s="12">
        <f>IF('Data Entry'!A490="","",IF('Data Entry'!D490&lt;&gt;"",'Data Entry'!D490,'Data Entry'!E490))</f>
        <v/>
      </c>
      <c r="K490" s="10">
        <f>IF('Data Entry'!A490="","",IFERROR(SUMIFS($H$5:$H$2001,$J$5:$J$2001,$J490,$B$5:$B$2001,$B490,$A$5:$A$2001,(MAXIFS($A$5:$A$2001,$J$5:$J$2001,$J490,$B$5:$B$2001,$B490,$A$5:$A$2001,"&lt;"&amp;$A490))),""))</f>
        <v/>
      </c>
      <c r="L490" s="14">
        <f>IF(OR('Data Entry'!A490="",$K490=""),"",$H490-$K490)</f>
        <v/>
      </c>
      <c r="M490" s="15">
        <f>IF(OR('Data Entry'!A490="",$K490="",$K490=0),"",$L490/$K490)</f>
        <v/>
      </c>
      <c r="N490" s="12">
        <f>IF('Data Entry'!A490="","",IF($L490="","New item",IF($L490&gt;0,"UP",IF($L490&lt;0,"down","same"))))</f>
        <v/>
      </c>
    </row>
    <row r="491">
      <c r="A491" s="11">
        <f>IF('Data Entry'!A491="","",'Data Entry'!A491)</f>
        <v/>
      </c>
      <c r="B491" s="12">
        <f>IF('Data Entry'!A491="","",'Data Entry'!B491)</f>
        <v/>
      </c>
      <c r="C491" s="12">
        <f>IF('Data Entry'!A491="","",'Data Entry'!C491)</f>
        <v/>
      </c>
      <c r="D491" s="12">
        <f>IF('Data Entry'!A491="","",'Data Entry'!D491)</f>
        <v/>
      </c>
      <c r="E491" s="12">
        <f>IF('Data Entry'!A491="","",'Data Entry'!E491)</f>
        <v/>
      </c>
      <c r="F491" s="12">
        <f>IF('Data Entry'!A491="","",'Data Entry'!F491)</f>
        <v/>
      </c>
      <c r="G491" s="13">
        <f>IF('Data Entry'!A491="","",'Data Entry'!G491)</f>
        <v/>
      </c>
      <c r="H491" s="10">
        <f>IF('Data Entry'!A491="","",'Data Entry'!H491)</f>
        <v/>
      </c>
      <c r="I491" s="10">
        <f>IF('Data Entry'!A491="","",'Data Entry'!I491)</f>
        <v/>
      </c>
      <c r="J491" s="12">
        <f>IF('Data Entry'!A491="","",IF('Data Entry'!D491&lt;&gt;"",'Data Entry'!D491,'Data Entry'!E491))</f>
        <v/>
      </c>
      <c r="K491" s="10">
        <f>IF('Data Entry'!A491="","",IFERROR(SUMIFS($H$5:$H$2001,$J$5:$J$2001,$J491,$B$5:$B$2001,$B491,$A$5:$A$2001,(MAXIFS($A$5:$A$2001,$J$5:$J$2001,$J491,$B$5:$B$2001,$B491,$A$5:$A$2001,"&lt;"&amp;$A491))),""))</f>
        <v/>
      </c>
      <c r="L491" s="14">
        <f>IF(OR('Data Entry'!A491="",$K491=""),"",$H491-$K491)</f>
        <v/>
      </c>
      <c r="M491" s="15">
        <f>IF(OR('Data Entry'!A491="",$K491="",$K491=0),"",$L491/$K491)</f>
        <v/>
      </c>
      <c r="N491" s="12">
        <f>IF('Data Entry'!A491="","",IF($L491="","New item",IF($L491&gt;0,"UP",IF($L491&lt;0,"down","same"))))</f>
        <v/>
      </c>
    </row>
    <row r="492">
      <c r="A492" s="11">
        <f>IF('Data Entry'!A492="","",'Data Entry'!A492)</f>
        <v/>
      </c>
      <c r="B492" s="12">
        <f>IF('Data Entry'!A492="","",'Data Entry'!B492)</f>
        <v/>
      </c>
      <c r="C492" s="12">
        <f>IF('Data Entry'!A492="","",'Data Entry'!C492)</f>
        <v/>
      </c>
      <c r="D492" s="12">
        <f>IF('Data Entry'!A492="","",'Data Entry'!D492)</f>
        <v/>
      </c>
      <c r="E492" s="12">
        <f>IF('Data Entry'!A492="","",'Data Entry'!E492)</f>
        <v/>
      </c>
      <c r="F492" s="12">
        <f>IF('Data Entry'!A492="","",'Data Entry'!F492)</f>
        <v/>
      </c>
      <c r="G492" s="13">
        <f>IF('Data Entry'!A492="","",'Data Entry'!G492)</f>
        <v/>
      </c>
      <c r="H492" s="10">
        <f>IF('Data Entry'!A492="","",'Data Entry'!H492)</f>
        <v/>
      </c>
      <c r="I492" s="10">
        <f>IF('Data Entry'!A492="","",'Data Entry'!I492)</f>
        <v/>
      </c>
      <c r="J492" s="12">
        <f>IF('Data Entry'!A492="","",IF('Data Entry'!D492&lt;&gt;"",'Data Entry'!D492,'Data Entry'!E492))</f>
        <v/>
      </c>
      <c r="K492" s="10">
        <f>IF('Data Entry'!A492="","",IFERROR(SUMIFS($H$5:$H$2001,$J$5:$J$2001,$J492,$B$5:$B$2001,$B492,$A$5:$A$2001,(MAXIFS($A$5:$A$2001,$J$5:$J$2001,$J492,$B$5:$B$2001,$B492,$A$5:$A$2001,"&lt;"&amp;$A492))),""))</f>
        <v/>
      </c>
      <c r="L492" s="14">
        <f>IF(OR('Data Entry'!A492="",$K492=""),"",$H492-$K492)</f>
        <v/>
      </c>
      <c r="M492" s="15">
        <f>IF(OR('Data Entry'!A492="",$K492="",$K492=0),"",$L492/$K492)</f>
        <v/>
      </c>
      <c r="N492" s="12">
        <f>IF('Data Entry'!A492="","",IF($L492="","New item",IF($L492&gt;0,"UP",IF($L492&lt;0,"down","same"))))</f>
        <v/>
      </c>
    </row>
    <row r="493">
      <c r="A493" s="11">
        <f>IF('Data Entry'!A493="","",'Data Entry'!A493)</f>
        <v/>
      </c>
      <c r="B493" s="12">
        <f>IF('Data Entry'!A493="","",'Data Entry'!B493)</f>
        <v/>
      </c>
      <c r="C493" s="12">
        <f>IF('Data Entry'!A493="","",'Data Entry'!C493)</f>
        <v/>
      </c>
      <c r="D493" s="12">
        <f>IF('Data Entry'!A493="","",'Data Entry'!D493)</f>
        <v/>
      </c>
      <c r="E493" s="12">
        <f>IF('Data Entry'!A493="","",'Data Entry'!E493)</f>
        <v/>
      </c>
      <c r="F493" s="12">
        <f>IF('Data Entry'!A493="","",'Data Entry'!F493)</f>
        <v/>
      </c>
      <c r="G493" s="13">
        <f>IF('Data Entry'!A493="","",'Data Entry'!G493)</f>
        <v/>
      </c>
      <c r="H493" s="10">
        <f>IF('Data Entry'!A493="","",'Data Entry'!H493)</f>
        <v/>
      </c>
      <c r="I493" s="10">
        <f>IF('Data Entry'!A493="","",'Data Entry'!I493)</f>
        <v/>
      </c>
      <c r="J493" s="12">
        <f>IF('Data Entry'!A493="","",IF('Data Entry'!D493&lt;&gt;"",'Data Entry'!D493,'Data Entry'!E493))</f>
        <v/>
      </c>
      <c r="K493" s="10">
        <f>IF('Data Entry'!A493="","",IFERROR(SUMIFS($H$5:$H$2001,$J$5:$J$2001,$J493,$B$5:$B$2001,$B493,$A$5:$A$2001,(MAXIFS($A$5:$A$2001,$J$5:$J$2001,$J493,$B$5:$B$2001,$B493,$A$5:$A$2001,"&lt;"&amp;$A493))),""))</f>
        <v/>
      </c>
      <c r="L493" s="14">
        <f>IF(OR('Data Entry'!A493="",$K493=""),"",$H493-$K493)</f>
        <v/>
      </c>
      <c r="M493" s="15">
        <f>IF(OR('Data Entry'!A493="",$K493="",$K493=0),"",$L493/$K493)</f>
        <v/>
      </c>
      <c r="N493" s="12">
        <f>IF('Data Entry'!A493="","",IF($L493="","New item",IF($L493&gt;0,"UP",IF($L493&lt;0,"down","same"))))</f>
        <v/>
      </c>
    </row>
    <row r="494">
      <c r="A494" s="11">
        <f>IF('Data Entry'!A494="","",'Data Entry'!A494)</f>
        <v/>
      </c>
      <c r="B494" s="12">
        <f>IF('Data Entry'!A494="","",'Data Entry'!B494)</f>
        <v/>
      </c>
      <c r="C494" s="12">
        <f>IF('Data Entry'!A494="","",'Data Entry'!C494)</f>
        <v/>
      </c>
      <c r="D494" s="12">
        <f>IF('Data Entry'!A494="","",'Data Entry'!D494)</f>
        <v/>
      </c>
      <c r="E494" s="12">
        <f>IF('Data Entry'!A494="","",'Data Entry'!E494)</f>
        <v/>
      </c>
      <c r="F494" s="12">
        <f>IF('Data Entry'!A494="","",'Data Entry'!F494)</f>
        <v/>
      </c>
      <c r="G494" s="13">
        <f>IF('Data Entry'!A494="","",'Data Entry'!G494)</f>
        <v/>
      </c>
      <c r="H494" s="10">
        <f>IF('Data Entry'!A494="","",'Data Entry'!H494)</f>
        <v/>
      </c>
      <c r="I494" s="10">
        <f>IF('Data Entry'!A494="","",'Data Entry'!I494)</f>
        <v/>
      </c>
      <c r="J494" s="12">
        <f>IF('Data Entry'!A494="","",IF('Data Entry'!D494&lt;&gt;"",'Data Entry'!D494,'Data Entry'!E494))</f>
        <v/>
      </c>
      <c r="K494" s="10">
        <f>IF('Data Entry'!A494="","",IFERROR(SUMIFS($H$5:$H$2001,$J$5:$J$2001,$J494,$B$5:$B$2001,$B494,$A$5:$A$2001,(MAXIFS($A$5:$A$2001,$J$5:$J$2001,$J494,$B$5:$B$2001,$B494,$A$5:$A$2001,"&lt;"&amp;$A494))),""))</f>
        <v/>
      </c>
      <c r="L494" s="14">
        <f>IF(OR('Data Entry'!A494="",$K494=""),"",$H494-$K494)</f>
        <v/>
      </c>
      <c r="M494" s="15">
        <f>IF(OR('Data Entry'!A494="",$K494="",$K494=0),"",$L494/$K494)</f>
        <v/>
      </c>
      <c r="N494" s="12">
        <f>IF('Data Entry'!A494="","",IF($L494="","New item",IF($L494&gt;0,"UP",IF($L494&lt;0,"down","same"))))</f>
        <v/>
      </c>
    </row>
    <row r="495">
      <c r="A495" s="11">
        <f>IF('Data Entry'!A495="","",'Data Entry'!A495)</f>
        <v/>
      </c>
      <c r="B495" s="12">
        <f>IF('Data Entry'!A495="","",'Data Entry'!B495)</f>
        <v/>
      </c>
      <c r="C495" s="12">
        <f>IF('Data Entry'!A495="","",'Data Entry'!C495)</f>
        <v/>
      </c>
      <c r="D495" s="12">
        <f>IF('Data Entry'!A495="","",'Data Entry'!D495)</f>
        <v/>
      </c>
      <c r="E495" s="12">
        <f>IF('Data Entry'!A495="","",'Data Entry'!E495)</f>
        <v/>
      </c>
      <c r="F495" s="12">
        <f>IF('Data Entry'!A495="","",'Data Entry'!F495)</f>
        <v/>
      </c>
      <c r="G495" s="13">
        <f>IF('Data Entry'!A495="","",'Data Entry'!G495)</f>
        <v/>
      </c>
      <c r="H495" s="10">
        <f>IF('Data Entry'!A495="","",'Data Entry'!H495)</f>
        <v/>
      </c>
      <c r="I495" s="10">
        <f>IF('Data Entry'!A495="","",'Data Entry'!I495)</f>
        <v/>
      </c>
      <c r="J495" s="12">
        <f>IF('Data Entry'!A495="","",IF('Data Entry'!D495&lt;&gt;"",'Data Entry'!D495,'Data Entry'!E495))</f>
        <v/>
      </c>
      <c r="K495" s="10">
        <f>IF('Data Entry'!A495="","",IFERROR(SUMIFS($H$5:$H$2001,$J$5:$J$2001,$J495,$B$5:$B$2001,$B495,$A$5:$A$2001,(MAXIFS($A$5:$A$2001,$J$5:$J$2001,$J495,$B$5:$B$2001,$B495,$A$5:$A$2001,"&lt;"&amp;$A495))),""))</f>
        <v/>
      </c>
      <c r="L495" s="14">
        <f>IF(OR('Data Entry'!A495="",$K495=""),"",$H495-$K495)</f>
        <v/>
      </c>
      <c r="M495" s="15">
        <f>IF(OR('Data Entry'!A495="",$K495="",$K495=0),"",$L495/$K495)</f>
        <v/>
      </c>
      <c r="N495" s="12">
        <f>IF('Data Entry'!A495="","",IF($L495="","New item",IF($L495&gt;0,"UP",IF($L495&lt;0,"down","same"))))</f>
        <v/>
      </c>
    </row>
    <row r="496">
      <c r="A496" s="11">
        <f>IF('Data Entry'!A496="","",'Data Entry'!A496)</f>
        <v/>
      </c>
      <c r="B496" s="12">
        <f>IF('Data Entry'!A496="","",'Data Entry'!B496)</f>
        <v/>
      </c>
      <c r="C496" s="12">
        <f>IF('Data Entry'!A496="","",'Data Entry'!C496)</f>
        <v/>
      </c>
      <c r="D496" s="12">
        <f>IF('Data Entry'!A496="","",'Data Entry'!D496)</f>
        <v/>
      </c>
      <c r="E496" s="12">
        <f>IF('Data Entry'!A496="","",'Data Entry'!E496)</f>
        <v/>
      </c>
      <c r="F496" s="12">
        <f>IF('Data Entry'!A496="","",'Data Entry'!F496)</f>
        <v/>
      </c>
      <c r="G496" s="13">
        <f>IF('Data Entry'!A496="","",'Data Entry'!G496)</f>
        <v/>
      </c>
      <c r="H496" s="10">
        <f>IF('Data Entry'!A496="","",'Data Entry'!H496)</f>
        <v/>
      </c>
      <c r="I496" s="10">
        <f>IF('Data Entry'!A496="","",'Data Entry'!I496)</f>
        <v/>
      </c>
      <c r="J496" s="12">
        <f>IF('Data Entry'!A496="","",IF('Data Entry'!D496&lt;&gt;"",'Data Entry'!D496,'Data Entry'!E496))</f>
        <v/>
      </c>
      <c r="K496" s="10">
        <f>IF('Data Entry'!A496="","",IFERROR(SUMIFS($H$5:$H$2001,$J$5:$J$2001,$J496,$B$5:$B$2001,$B496,$A$5:$A$2001,(MAXIFS($A$5:$A$2001,$J$5:$J$2001,$J496,$B$5:$B$2001,$B496,$A$5:$A$2001,"&lt;"&amp;$A496))),""))</f>
        <v/>
      </c>
      <c r="L496" s="14">
        <f>IF(OR('Data Entry'!A496="",$K496=""),"",$H496-$K496)</f>
        <v/>
      </c>
      <c r="M496" s="15">
        <f>IF(OR('Data Entry'!A496="",$K496="",$K496=0),"",$L496/$K496)</f>
        <v/>
      </c>
      <c r="N496" s="12">
        <f>IF('Data Entry'!A496="","",IF($L496="","New item",IF($L496&gt;0,"UP",IF($L496&lt;0,"down","same"))))</f>
        <v/>
      </c>
    </row>
    <row r="497">
      <c r="A497" s="11">
        <f>IF('Data Entry'!A497="","",'Data Entry'!A497)</f>
        <v/>
      </c>
      <c r="B497" s="12">
        <f>IF('Data Entry'!A497="","",'Data Entry'!B497)</f>
        <v/>
      </c>
      <c r="C497" s="12">
        <f>IF('Data Entry'!A497="","",'Data Entry'!C497)</f>
        <v/>
      </c>
      <c r="D497" s="12">
        <f>IF('Data Entry'!A497="","",'Data Entry'!D497)</f>
        <v/>
      </c>
      <c r="E497" s="12">
        <f>IF('Data Entry'!A497="","",'Data Entry'!E497)</f>
        <v/>
      </c>
      <c r="F497" s="12">
        <f>IF('Data Entry'!A497="","",'Data Entry'!F497)</f>
        <v/>
      </c>
      <c r="G497" s="13">
        <f>IF('Data Entry'!A497="","",'Data Entry'!G497)</f>
        <v/>
      </c>
      <c r="H497" s="10">
        <f>IF('Data Entry'!A497="","",'Data Entry'!H497)</f>
        <v/>
      </c>
      <c r="I497" s="10">
        <f>IF('Data Entry'!A497="","",'Data Entry'!I497)</f>
        <v/>
      </c>
      <c r="J497" s="12">
        <f>IF('Data Entry'!A497="","",IF('Data Entry'!D497&lt;&gt;"",'Data Entry'!D497,'Data Entry'!E497))</f>
        <v/>
      </c>
      <c r="K497" s="10">
        <f>IF('Data Entry'!A497="","",IFERROR(SUMIFS($H$5:$H$2001,$J$5:$J$2001,$J497,$B$5:$B$2001,$B497,$A$5:$A$2001,(MAXIFS($A$5:$A$2001,$J$5:$J$2001,$J497,$B$5:$B$2001,$B497,$A$5:$A$2001,"&lt;"&amp;$A497))),""))</f>
        <v/>
      </c>
      <c r="L497" s="14">
        <f>IF(OR('Data Entry'!A497="",$K497=""),"",$H497-$K497)</f>
        <v/>
      </c>
      <c r="M497" s="15">
        <f>IF(OR('Data Entry'!A497="",$K497="",$K497=0),"",$L497/$K497)</f>
        <v/>
      </c>
      <c r="N497" s="12">
        <f>IF('Data Entry'!A497="","",IF($L497="","New item",IF($L497&gt;0,"UP",IF($L497&lt;0,"down","same"))))</f>
        <v/>
      </c>
    </row>
    <row r="498">
      <c r="A498" s="11">
        <f>IF('Data Entry'!A498="","",'Data Entry'!A498)</f>
        <v/>
      </c>
      <c r="B498" s="12">
        <f>IF('Data Entry'!A498="","",'Data Entry'!B498)</f>
        <v/>
      </c>
      <c r="C498" s="12">
        <f>IF('Data Entry'!A498="","",'Data Entry'!C498)</f>
        <v/>
      </c>
      <c r="D498" s="12">
        <f>IF('Data Entry'!A498="","",'Data Entry'!D498)</f>
        <v/>
      </c>
      <c r="E498" s="12">
        <f>IF('Data Entry'!A498="","",'Data Entry'!E498)</f>
        <v/>
      </c>
      <c r="F498" s="12">
        <f>IF('Data Entry'!A498="","",'Data Entry'!F498)</f>
        <v/>
      </c>
      <c r="G498" s="13">
        <f>IF('Data Entry'!A498="","",'Data Entry'!G498)</f>
        <v/>
      </c>
      <c r="H498" s="10">
        <f>IF('Data Entry'!A498="","",'Data Entry'!H498)</f>
        <v/>
      </c>
      <c r="I498" s="10">
        <f>IF('Data Entry'!A498="","",'Data Entry'!I498)</f>
        <v/>
      </c>
      <c r="J498" s="12">
        <f>IF('Data Entry'!A498="","",IF('Data Entry'!D498&lt;&gt;"",'Data Entry'!D498,'Data Entry'!E498))</f>
        <v/>
      </c>
      <c r="K498" s="10">
        <f>IF('Data Entry'!A498="","",IFERROR(SUMIFS($H$5:$H$2001,$J$5:$J$2001,$J498,$B$5:$B$2001,$B498,$A$5:$A$2001,(MAXIFS($A$5:$A$2001,$J$5:$J$2001,$J498,$B$5:$B$2001,$B498,$A$5:$A$2001,"&lt;"&amp;$A498))),""))</f>
        <v/>
      </c>
      <c r="L498" s="14">
        <f>IF(OR('Data Entry'!A498="",$K498=""),"",$H498-$K498)</f>
        <v/>
      </c>
      <c r="M498" s="15">
        <f>IF(OR('Data Entry'!A498="",$K498="",$K498=0),"",$L498/$K498)</f>
        <v/>
      </c>
      <c r="N498" s="12">
        <f>IF('Data Entry'!A498="","",IF($L498="","New item",IF($L498&gt;0,"UP",IF($L498&lt;0,"down","same"))))</f>
        <v/>
      </c>
    </row>
    <row r="499">
      <c r="A499" s="11">
        <f>IF('Data Entry'!A499="","",'Data Entry'!A499)</f>
        <v/>
      </c>
      <c r="B499" s="12">
        <f>IF('Data Entry'!A499="","",'Data Entry'!B499)</f>
        <v/>
      </c>
      <c r="C499" s="12">
        <f>IF('Data Entry'!A499="","",'Data Entry'!C499)</f>
        <v/>
      </c>
      <c r="D499" s="12">
        <f>IF('Data Entry'!A499="","",'Data Entry'!D499)</f>
        <v/>
      </c>
      <c r="E499" s="12">
        <f>IF('Data Entry'!A499="","",'Data Entry'!E499)</f>
        <v/>
      </c>
      <c r="F499" s="12">
        <f>IF('Data Entry'!A499="","",'Data Entry'!F499)</f>
        <v/>
      </c>
      <c r="G499" s="13">
        <f>IF('Data Entry'!A499="","",'Data Entry'!G499)</f>
        <v/>
      </c>
      <c r="H499" s="10">
        <f>IF('Data Entry'!A499="","",'Data Entry'!H499)</f>
        <v/>
      </c>
      <c r="I499" s="10">
        <f>IF('Data Entry'!A499="","",'Data Entry'!I499)</f>
        <v/>
      </c>
      <c r="J499" s="12">
        <f>IF('Data Entry'!A499="","",IF('Data Entry'!D499&lt;&gt;"",'Data Entry'!D499,'Data Entry'!E499))</f>
        <v/>
      </c>
      <c r="K499" s="10">
        <f>IF('Data Entry'!A499="","",IFERROR(SUMIFS($H$5:$H$2001,$J$5:$J$2001,$J499,$B$5:$B$2001,$B499,$A$5:$A$2001,(MAXIFS($A$5:$A$2001,$J$5:$J$2001,$J499,$B$5:$B$2001,$B499,$A$5:$A$2001,"&lt;"&amp;$A499))),""))</f>
        <v/>
      </c>
      <c r="L499" s="14">
        <f>IF(OR('Data Entry'!A499="",$K499=""),"",$H499-$K499)</f>
        <v/>
      </c>
      <c r="M499" s="15">
        <f>IF(OR('Data Entry'!A499="",$K499="",$K499=0),"",$L499/$K499)</f>
        <v/>
      </c>
      <c r="N499" s="12">
        <f>IF('Data Entry'!A499="","",IF($L499="","New item",IF($L499&gt;0,"UP",IF($L499&lt;0,"down","same"))))</f>
        <v/>
      </c>
    </row>
    <row r="500">
      <c r="A500" s="11">
        <f>IF('Data Entry'!A500="","",'Data Entry'!A500)</f>
        <v/>
      </c>
      <c r="B500" s="12">
        <f>IF('Data Entry'!A500="","",'Data Entry'!B500)</f>
        <v/>
      </c>
      <c r="C500" s="12">
        <f>IF('Data Entry'!A500="","",'Data Entry'!C500)</f>
        <v/>
      </c>
      <c r="D500" s="12">
        <f>IF('Data Entry'!A500="","",'Data Entry'!D500)</f>
        <v/>
      </c>
      <c r="E500" s="12">
        <f>IF('Data Entry'!A500="","",'Data Entry'!E500)</f>
        <v/>
      </c>
      <c r="F500" s="12">
        <f>IF('Data Entry'!A500="","",'Data Entry'!F500)</f>
        <v/>
      </c>
      <c r="G500" s="13">
        <f>IF('Data Entry'!A500="","",'Data Entry'!G500)</f>
        <v/>
      </c>
      <c r="H500" s="10">
        <f>IF('Data Entry'!A500="","",'Data Entry'!H500)</f>
        <v/>
      </c>
      <c r="I500" s="10">
        <f>IF('Data Entry'!A500="","",'Data Entry'!I500)</f>
        <v/>
      </c>
      <c r="J500" s="12">
        <f>IF('Data Entry'!A500="","",IF('Data Entry'!D500&lt;&gt;"",'Data Entry'!D500,'Data Entry'!E500))</f>
        <v/>
      </c>
      <c r="K500" s="10">
        <f>IF('Data Entry'!A500="","",IFERROR(SUMIFS($H$5:$H$2001,$J$5:$J$2001,$J500,$B$5:$B$2001,$B500,$A$5:$A$2001,(MAXIFS($A$5:$A$2001,$J$5:$J$2001,$J500,$B$5:$B$2001,$B500,$A$5:$A$2001,"&lt;"&amp;$A500))),""))</f>
        <v/>
      </c>
      <c r="L500" s="14">
        <f>IF(OR('Data Entry'!A500="",$K500=""),"",$H500-$K500)</f>
        <v/>
      </c>
      <c r="M500" s="15">
        <f>IF(OR('Data Entry'!A500="",$K500="",$K500=0),"",$L500/$K500)</f>
        <v/>
      </c>
      <c r="N500" s="12">
        <f>IF('Data Entry'!A500="","",IF($L500="","New item",IF($L500&gt;0,"UP",IF($L500&lt;0,"down","same"))))</f>
        <v/>
      </c>
    </row>
    <row r="501">
      <c r="A501" s="11">
        <f>IF('Data Entry'!A501="","",'Data Entry'!A501)</f>
        <v/>
      </c>
      <c r="B501" s="12">
        <f>IF('Data Entry'!A501="","",'Data Entry'!B501)</f>
        <v/>
      </c>
      <c r="C501" s="12">
        <f>IF('Data Entry'!A501="","",'Data Entry'!C501)</f>
        <v/>
      </c>
      <c r="D501" s="12">
        <f>IF('Data Entry'!A501="","",'Data Entry'!D501)</f>
        <v/>
      </c>
      <c r="E501" s="12">
        <f>IF('Data Entry'!A501="","",'Data Entry'!E501)</f>
        <v/>
      </c>
      <c r="F501" s="12">
        <f>IF('Data Entry'!A501="","",'Data Entry'!F501)</f>
        <v/>
      </c>
      <c r="G501" s="13">
        <f>IF('Data Entry'!A501="","",'Data Entry'!G501)</f>
        <v/>
      </c>
      <c r="H501" s="10">
        <f>IF('Data Entry'!A501="","",'Data Entry'!H501)</f>
        <v/>
      </c>
      <c r="I501" s="10">
        <f>IF('Data Entry'!A501="","",'Data Entry'!I501)</f>
        <v/>
      </c>
      <c r="J501" s="12">
        <f>IF('Data Entry'!A501="","",IF('Data Entry'!D501&lt;&gt;"",'Data Entry'!D501,'Data Entry'!E501))</f>
        <v/>
      </c>
      <c r="K501" s="10">
        <f>IF('Data Entry'!A501="","",IFERROR(SUMIFS($H$5:$H$2001,$J$5:$J$2001,$J501,$B$5:$B$2001,$B501,$A$5:$A$2001,(MAXIFS($A$5:$A$2001,$J$5:$J$2001,$J501,$B$5:$B$2001,$B501,$A$5:$A$2001,"&lt;"&amp;$A501))),""))</f>
        <v/>
      </c>
      <c r="L501" s="14">
        <f>IF(OR('Data Entry'!A501="",$K501=""),"",$H501-$K501)</f>
        <v/>
      </c>
      <c r="M501" s="15">
        <f>IF(OR('Data Entry'!A501="",$K501="",$K501=0),"",$L501/$K501)</f>
        <v/>
      </c>
      <c r="N501" s="12">
        <f>IF('Data Entry'!A501="","",IF($L501="","New item",IF($L501&gt;0,"UP",IF($L501&lt;0,"down","same"))))</f>
        <v/>
      </c>
    </row>
    <row r="502">
      <c r="A502" s="11">
        <f>IF('Data Entry'!A502="","",'Data Entry'!A502)</f>
        <v/>
      </c>
      <c r="B502" s="12">
        <f>IF('Data Entry'!A502="","",'Data Entry'!B502)</f>
        <v/>
      </c>
      <c r="C502" s="12">
        <f>IF('Data Entry'!A502="","",'Data Entry'!C502)</f>
        <v/>
      </c>
      <c r="D502" s="12">
        <f>IF('Data Entry'!A502="","",'Data Entry'!D502)</f>
        <v/>
      </c>
      <c r="E502" s="12">
        <f>IF('Data Entry'!A502="","",'Data Entry'!E502)</f>
        <v/>
      </c>
      <c r="F502" s="12">
        <f>IF('Data Entry'!A502="","",'Data Entry'!F502)</f>
        <v/>
      </c>
      <c r="G502" s="13">
        <f>IF('Data Entry'!A502="","",'Data Entry'!G502)</f>
        <v/>
      </c>
      <c r="H502" s="10">
        <f>IF('Data Entry'!A502="","",'Data Entry'!H502)</f>
        <v/>
      </c>
      <c r="I502" s="10">
        <f>IF('Data Entry'!A502="","",'Data Entry'!I502)</f>
        <v/>
      </c>
      <c r="J502" s="12">
        <f>IF('Data Entry'!A502="","",IF('Data Entry'!D502&lt;&gt;"",'Data Entry'!D502,'Data Entry'!E502))</f>
        <v/>
      </c>
      <c r="K502" s="10">
        <f>IF('Data Entry'!A502="","",IFERROR(SUMIFS($H$5:$H$2001,$J$5:$J$2001,$J502,$B$5:$B$2001,$B502,$A$5:$A$2001,(MAXIFS($A$5:$A$2001,$J$5:$J$2001,$J502,$B$5:$B$2001,$B502,$A$5:$A$2001,"&lt;"&amp;$A502))),""))</f>
        <v/>
      </c>
      <c r="L502" s="14">
        <f>IF(OR('Data Entry'!A502="",$K502=""),"",$H502-$K502)</f>
        <v/>
      </c>
      <c r="M502" s="15">
        <f>IF(OR('Data Entry'!A502="",$K502="",$K502=0),"",$L502/$K502)</f>
        <v/>
      </c>
      <c r="N502" s="12">
        <f>IF('Data Entry'!A502="","",IF($L502="","New item",IF($L502&gt;0,"UP",IF($L502&lt;0,"down","same"))))</f>
        <v/>
      </c>
    </row>
    <row r="503">
      <c r="A503" s="11">
        <f>IF('Data Entry'!A503="","",'Data Entry'!A503)</f>
        <v/>
      </c>
      <c r="B503" s="12">
        <f>IF('Data Entry'!A503="","",'Data Entry'!B503)</f>
        <v/>
      </c>
      <c r="C503" s="12">
        <f>IF('Data Entry'!A503="","",'Data Entry'!C503)</f>
        <v/>
      </c>
      <c r="D503" s="12">
        <f>IF('Data Entry'!A503="","",'Data Entry'!D503)</f>
        <v/>
      </c>
      <c r="E503" s="12">
        <f>IF('Data Entry'!A503="","",'Data Entry'!E503)</f>
        <v/>
      </c>
      <c r="F503" s="12">
        <f>IF('Data Entry'!A503="","",'Data Entry'!F503)</f>
        <v/>
      </c>
      <c r="G503" s="13">
        <f>IF('Data Entry'!A503="","",'Data Entry'!G503)</f>
        <v/>
      </c>
      <c r="H503" s="10">
        <f>IF('Data Entry'!A503="","",'Data Entry'!H503)</f>
        <v/>
      </c>
      <c r="I503" s="10">
        <f>IF('Data Entry'!A503="","",'Data Entry'!I503)</f>
        <v/>
      </c>
      <c r="J503" s="12">
        <f>IF('Data Entry'!A503="","",IF('Data Entry'!D503&lt;&gt;"",'Data Entry'!D503,'Data Entry'!E503))</f>
        <v/>
      </c>
      <c r="K503" s="10">
        <f>IF('Data Entry'!A503="","",IFERROR(SUMIFS($H$5:$H$2001,$J$5:$J$2001,$J503,$B$5:$B$2001,$B503,$A$5:$A$2001,(MAXIFS($A$5:$A$2001,$J$5:$J$2001,$J503,$B$5:$B$2001,$B503,$A$5:$A$2001,"&lt;"&amp;$A503))),""))</f>
        <v/>
      </c>
      <c r="L503" s="14">
        <f>IF(OR('Data Entry'!A503="",$K503=""),"",$H503-$K503)</f>
        <v/>
      </c>
      <c r="M503" s="15">
        <f>IF(OR('Data Entry'!A503="",$K503="",$K503=0),"",$L503/$K503)</f>
        <v/>
      </c>
      <c r="N503" s="12">
        <f>IF('Data Entry'!A503="","",IF($L503="","New item",IF($L503&gt;0,"UP",IF($L503&lt;0,"down","same"))))</f>
        <v/>
      </c>
    </row>
    <row r="504">
      <c r="A504" s="11">
        <f>IF('Data Entry'!A504="","",'Data Entry'!A504)</f>
        <v/>
      </c>
      <c r="B504" s="12">
        <f>IF('Data Entry'!A504="","",'Data Entry'!B504)</f>
        <v/>
      </c>
      <c r="C504" s="12">
        <f>IF('Data Entry'!A504="","",'Data Entry'!C504)</f>
        <v/>
      </c>
      <c r="D504" s="12">
        <f>IF('Data Entry'!A504="","",'Data Entry'!D504)</f>
        <v/>
      </c>
      <c r="E504" s="12">
        <f>IF('Data Entry'!A504="","",'Data Entry'!E504)</f>
        <v/>
      </c>
      <c r="F504" s="12">
        <f>IF('Data Entry'!A504="","",'Data Entry'!F504)</f>
        <v/>
      </c>
      <c r="G504" s="13">
        <f>IF('Data Entry'!A504="","",'Data Entry'!G504)</f>
        <v/>
      </c>
      <c r="H504" s="10">
        <f>IF('Data Entry'!A504="","",'Data Entry'!H504)</f>
        <v/>
      </c>
      <c r="I504" s="10">
        <f>IF('Data Entry'!A504="","",'Data Entry'!I504)</f>
        <v/>
      </c>
      <c r="J504" s="12">
        <f>IF('Data Entry'!A504="","",IF('Data Entry'!D504&lt;&gt;"",'Data Entry'!D504,'Data Entry'!E504))</f>
        <v/>
      </c>
      <c r="K504" s="10">
        <f>IF('Data Entry'!A504="","",IFERROR(SUMIFS($H$5:$H$2001,$J$5:$J$2001,$J504,$B$5:$B$2001,$B504,$A$5:$A$2001,(MAXIFS($A$5:$A$2001,$J$5:$J$2001,$J504,$B$5:$B$2001,$B504,$A$5:$A$2001,"&lt;"&amp;$A504))),""))</f>
        <v/>
      </c>
      <c r="L504" s="14">
        <f>IF(OR('Data Entry'!A504="",$K504=""),"",$H504-$K504)</f>
        <v/>
      </c>
      <c r="M504" s="15">
        <f>IF(OR('Data Entry'!A504="",$K504="",$K504=0),"",$L504/$K504)</f>
        <v/>
      </c>
      <c r="N504" s="12">
        <f>IF('Data Entry'!A504="","",IF($L504="","New item",IF($L504&gt;0,"UP",IF($L504&lt;0,"down","same"))))</f>
        <v/>
      </c>
    </row>
    <row r="505">
      <c r="A505" s="11">
        <f>IF('Data Entry'!A505="","",'Data Entry'!A505)</f>
        <v/>
      </c>
      <c r="B505" s="12">
        <f>IF('Data Entry'!A505="","",'Data Entry'!B505)</f>
        <v/>
      </c>
      <c r="C505" s="12">
        <f>IF('Data Entry'!A505="","",'Data Entry'!C505)</f>
        <v/>
      </c>
      <c r="D505" s="12">
        <f>IF('Data Entry'!A505="","",'Data Entry'!D505)</f>
        <v/>
      </c>
      <c r="E505" s="12">
        <f>IF('Data Entry'!A505="","",'Data Entry'!E505)</f>
        <v/>
      </c>
      <c r="F505" s="12">
        <f>IF('Data Entry'!A505="","",'Data Entry'!F505)</f>
        <v/>
      </c>
      <c r="G505" s="13">
        <f>IF('Data Entry'!A505="","",'Data Entry'!G505)</f>
        <v/>
      </c>
      <c r="H505" s="10">
        <f>IF('Data Entry'!A505="","",'Data Entry'!H505)</f>
        <v/>
      </c>
      <c r="I505" s="10">
        <f>IF('Data Entry'!A505="","",'Data Entry'!I505)</f>
        <v/>
      </c>
      <c r="J505" s="12">
        <f>IF('Data Entry'!A505="","",IF('Data Entry'!D505&lt;&gt;"",'Data Entry'!D505,'Data Entry'!E505))</f>
        <v/>
      </c>
      <c r="K505" s="10">
        <f>IF('Data Entry'!A505="","",IFERROR(SUMIFS($H$5:$H$2001,$J$5:$J$2001,$J505,$B$5:$B$2001,$B505,$A$5:$A$2001,(MAXIFS($A$5:$A$2001,$J$5:$J$2001,$J505,$B$5:$B$2001,$B505,$A$5:$A$2001,"&lt;"&amp;$A505))),""))</f>
        <v/>
      </c>
      <c r="L505" s="14">
        <f>IF(OR('Data Entry'!A505="",$K505=""),"",$H505-$K505)</f>
        <v/>
      </c>
      <c r="M505" s="15">
        <f>IF(OR('Data Entry'!A505="",$K505="",$K505=0),"",$L505/$K505)</f>
        <v/>
      </c>
      <c r="N505" s="12">
        <f>IF('Data Entry'!A505="","",IF($L505="","New item",IF($L505&gt;0,"UP",IF($L505&lt;0,"down","same"))))</f>
        <v/>
      </c>
    </row>
    <row r="506">
      <c r="A506" s="11">
        <f>IF('Data Entry'!A506="","",'Data Entry'!A506)</f>
        <v/>
      </c>
      <c r="B506" s="12">
        <f>IF('Data Entry'!A506="","",'Data Entry'!B506)</f>
        <v/>
      </c>
      <c r="C506" s="12">
        <f>IF('Data Entry'!A506="","",'Data Entry'!C506)</f>
        <v/>
      </c>
      <c r="D506" s="12">
        <f>IF('Data Entry'!A506="","",'Data Entry'!D506)</f>
        <v/>
      </c>
      <c r="E506" s="12">
        <f>IF('Data Entry'!A506="","",'Data Entry'!E506)</f>
        <v/>
      </c>
      <c r="F506" s="12">
        <f>IF('Data Entry'!A506="","",'Data Entry'!F506)</f>
        <v/>
      </c>
      <c r="G506" s="13">
        <f>IF('Data Entry'!A506="","",'Data Entry'!G506)</f>
        <v/>
      </c>
      <c r="H506" s="10">
        <f>IF('Data Entry'!A506="","",'Data Entry'!H506)</f>
        <v/>
      </c>
      <c r="I506" s="10">
        <f>IF('Data Entry'!A506="","",'Data Entry'!I506)</f>
        <v/>
      </c>
      <c r="J506" s="12">
        <f>IF('Data Entry'!A506="","",IF('Data Entry'!D506&lt;&gt;"",'Data Entry'!D506,'Data Entry'!E506))</f>
        <v/>
      </c>
      <c r="K506" s="10">
        <f>IF('Data Entry'!A506="","",IFERROR(SUMIFS($H$5:$H$2001,$J$5:$J$2001,$J506,$B$5:$B$2001,$B506,$A$5:$A$2001,(MAXIFS($A$5:$A$2001,$J$5:$J$2001,$J506,$B$5:$B$2001,$B506,$A$5:$A$2001,"&lt;"&amp;$A506))),""))</f>
        <v/>
      </c>
      <c r="L506" s="14">
        <f>IF(OR('Data Entry'!A506="",$K506=""),"",$H506-$K506)</f>
        <v/>
      </c>
      <c r="M506" s="15">
        <f>IF(OR('Data Entry'!A506="",$K506="",$K506=0),"",$L506/$K506)</f>
        <v/>
      </c>
      <c r="N506" s="12">
        <f>IF('Data Entry'!A506="","",IF($L506="","New item",IF($L506&gt;0,"UP",IF($L506&lt;0,"down","same"))))</f>
        <v/>
      </c>
    </row>
    <row r="507">
      <c r="A507" s="11">
        <f>IF('Data Entry'!A507="","",'Data Entry'!A507)</f>
        <v/>
      </c>
      <c r="B507" s="12">
        <f>IF('Data Entry'!A507="","",'Data Entry'!B507)</f>
        <v/>
      </c>
      <c r="C507" s="12">
        <f>IF('Data Entry'!A507="","",'Data Entry'!C507)</f>
        <v/>
      </c>
      <c r="D507" s="12">
        <f>IF('Data Entry'!A507="","",'Data Entry'!D507)</f>
        <v/>
      </c>
      <c r="E507" s="12">
        <f>IF('Data Entry'!A507="","",'Data Entry'!E507)</f>
        <v/>
      </c>
      <c r="F507" s="12">
        <f>IF('Data Entry'!A507="","",'Data Entry'!F507)</f>
        <v/>
      </c>
      <c r="G507" s="13">
        <f>IF('Data Entry'!A507="","",'Data Entry'!G507)</f>
        <v/>
      </c>
      <c r="H507" s="10">
        <f>IF('Data Entry'!A507="","",'Data Entry'!H507)</f>
        <v/>
      </c>
      <c r="I507" s="10">
        <f>IF('Data Entry'!A507="","",'Data Entry'!I507)</f>
        <v/>
      </c>
      <c r="J507" s="12">
        <f>IF('Data Entry'!A507="","",IF('Data Entry'!D507&lt;&gt;"",'Data Entry'!D507,'Data Entry'!E507))</f>
        <v/>
      </c>
      <c r="K507" s="10">
        <f>IF('Data Entry'!A507="","",IFERROR(SUMIFS($H$5:$H$2001,$J$5:$J$2001,$J507,$B$5:$B$2001,$B507,$A$5:$A$2001,(MAXIFS($A$5:$A$2001,$J$5:$J$2001,$J507,$B$5:$B$2001,$B507,$A$5:$A$2001,"&lt;"&amp;$A507))),""))</f>
        <v/>
      </c>
      <c r="L507" s="14">
        <f>IF(OR('Data Entry'!A507="",$K507=""),"",$H507-$K507)</f>
        <v/>
      </c>
      <c r="M507" s="15">
        <f>IF(OR('Data Entry'!A507="",$K507="",$K507=0),"",$L507/$K507)</f>
        <v/>
      </c>
      <c r="N507" s="12">
        <f>IF('Data Entry'!A507="","",IF($L507="","New item",IF($L507&gt;0,"UP",IF($L507&lt;0,"down","same"))))</f>
        <v/>
      </c>
    </row>
    <row r="508">
      <c r="A508" s="11">
        <f>IF('Data Entry'!A508="","",'Data Entry'!A508)</f>
        <v/>
      </c>
      <c r="B508" s="12">
        <f>IF('Data Entry'!A508="","",'Data Entry'!B508)</f>
        <v/>
      </c>
      <c r="C508" s="12">
        <f>IF('Data Entry'!A508="","",'Data Entry'!C508)</f>
        <v/>
      </c>
      <c r="D508" s="12">
        <f>IF('Data Entry'!A508="","",'Data Entry'!D508)</f>
        <v/>
      </c>
      <c r="E508" s="12">
        <f>IF('Data Entry'!A508="","",'Data Entry'!E508)</f>
        <v/>
      </c>
      <c r="F508" s="12">
        <f>IF('Data Entry'!A508="","",'Data Entry'!F508)</f>
        <v/>
      </c>
      <c r="G508" s="13">
        <f>IF('Data Entry'!A508="","",'Data Entry'!G508)</f>
        <v/>
      </c>
      <c r="H508" s="10">
        <f>IF('Data Entry'!A508="","",'Data Entry'!H508)</f>
        <v/>
      </c>
      <c r="I508" s="10">
        <f>IF('Data Entry'!A508="","",'Data Entry'!I508)</f>
        <v/>
      </c>
      <c r="J508" s="12">
        <f>IF('Data Entry'!A508="","",IF('Data Entry'!D508&lt;&gt;"",'Data Entry'!D508,'Data Entry'!E508))</f>
        <v/>
      </c>
      <c r="K508" s="10">
        <f>IF('Data Entry'!A508="","",IFERROR(SUMIFS($H$5:$H$2001,$J$5:$J$2001,$J508,$B$5:$B$2001,$B508,$A$5:$A$2001,(MAXIFS($A$5:$A$2001,$J$5:$J$2001,$J508,$B$5:$B$2001,$B508,$A$5:$A$2001,"&lt;"&amp;$A508))),""))</f>
        <v/>
      </c>
      <c r="L508" s="14">
        <f>IF(OR('Data Entry'!A508="",$K508=""),"",$H508-$K508)</f>
        <v/>
      </c>
      <c r="M508" s="15">
        <f>IF(OR('Data Entry'!A508="",$K508="",$K508=0),"",$L508/$K508)</f>
        <v/>
      </c>
      <c r="N508" s="12">
        <f>IF('Data Entry'!A508="","",IF($L508="","New item",IF($L508&gt;0,"UP",IF($L508&lt;0,"down","same"))))</f>
        <v/>
      </c>
    </row>
    <row r="509">
      <c r="A509" s="11">
        <f>IF('Data Entry'!A509="","",'Data Entry'!A509)</f>
        <v/>
      </c>
      <c r="B509" s="12">
        <f>IF('Data Entry'!A509="","",'Data Entry'!B509)</f>
        <v/>
      </c>
      <c r="C509" s="12">
        <f>IF('Data Entry'!A509="","",'Data Entry'!C509)</f>
        <v/>
      </c>
      <c r="D509" s="12">
        <f>IF('Data Entry'!A509="","",'Data Entry'!D509)</f>
        <v/>
      </c>
      <c r="E509" s="12">
        <f>IF('Data Entry'!A509="","",'Data Entry'!E509)</f>
        <v/>
      </c>
      <c r="F509" s="12">
        <f>IF('Data Entry'!A509="","",'Data Entry'!F509)</f>
        <v/>
      </c>
      <c r="G509" s="13">
        <f>IF('Data Entry'!A509="","",'Data Entry'!G509)</f>
        <v/>
      </c>
      <c r="H509" s="10">
        <f>IF('Data Entry'!A509="","",'Data Entry'!H509)</f>
        <v/>
      </c>
      <c r="I509" s="10">
        <f>IF('Data Entry'!A509="","",'Data Entry'!I509)</f>
        <v/>
      </c>
      <c r="J509" s="12">
        <f>IF('Data Entry'!A509="","",IF('Data Entry'!D509&lt;&gt;"",'Data Entry'!D509,'Data Entry'!E509))</f>
        <v/>
      </c>
      <c r="K509" s="10">
        <f>IF('Data Entry'!A509="","",IFERROR(SUMIFS($H$5:$H$2001,$J$5:$J$2001,$J509,$B$5:$B$2001,$B509,$A$5:$A$2001,(MAXIFS($A$5:$A$2001,$J$5:$J$2001,$J509,$B$5:$B$2001,$B509,$A$5:$A$2001,"&lt;"&amp;$A509))),""))</f>
        <v/>
      </c>
      <c r="L509" s="14">
        <f>IF(OR('Data Entry'!A509="",$K509=""),"",$H509-$K509)</f>
        <v/>
      </c>
      <c r="M509" s="15">
        <f>IF(OR('Data Entry'!A509="",$K509="",$K509=0),"",$L509/$K509)</f>
        <v/>
      </c>
      <c r="N509" s="12">
        <f>IF('Data Entry'!A509="","",IF($L509="","New item",IF($L509&gt;0,"UP",IF($L509&lt;0,"down","same"))))</f>
        <v/>
      </c>
    </row>
    <row r="510">
      <c r="A510" s="11">
        <f>IF('Data Entry'!A510="","",'Data Entry'!A510)</f>
        <v/>
      </c>
      <c r="B510" s="12">
        <f>IF('Data Entry'!A510="","",'Data Entry'!B510)</f>
        <v/>
      </c>
      <c r="C510" s="12">
        <f>IF('Data Entry'!A510="","",'Data Entry'!C510)</f>
        <v/>
      </c>
      <c r="D510" s="12">
        <f>IF('Data Entry'!A510="","",'Data Entry'!D510)</f>
        <v/>
      </c>
      <c r="E510" s="12">
        <f>IF('Data Entry'!A510="","",'Data Entry'!E510)</f>
        <v/>
      </c>
      <c r="F510" s="12">
        <f>IF('Data Entry'!A510="","",'Data Entry'!F510)</f>
        <v/>
      </c>
      <c r="G510" s="13">
        <f>IF('Data Entry'!A510="","",'Data Entry'!G510)</f>
        <v/>
      </c>
      <c r="H510" s="10">
        <f>IF('Data Entry'!A510="","",'Data Entry'!H510)</f>
        <v/>
      </c>
      <c r="I510" s="10">
        <f>IF('Data Entry'!A510="","",'Data Entry'!I510)</f>
        <v/>
      </c>
      <c r="J510" s="12">
        <f>IF('Data Entry'!A510="","",IF('Data Entry'!D510&lt;&gt;"",'Data Entry'!D510,'Data Entry'!E510))</f>
        <v/>
      </c>
      <c r="K510" s="10">
        <f>IF('Data Entry'!A510="","",IFERROR(SUMIFS($H$5:$H$2001,$J$5:$J$2001,$J510,$B$5:$B$2001,$B510,$A$5:$A$2001,(MAXIFS($A$5:$A$2001,$J$5:$J$2001,$J510,$B$5:$B$2001,$B510,$A$5:$A$2001,"&lt;"&amp;$A510))),""))</f>
        <v/>
      </c>
      <c r="L510" s="14">
        <f>IF(OR('Data Entry'!A510="",$K510=""),"",$H510-$K510)</f>
        <v/>
      </c>
      <c r="M510" s="15">
        <f>IF(OR('Data Entry'!A510="",$K510="",$K510=0),"",$L510/$K510)</f>
        <v/>
      </c>
      <c r="N510" s="12">
        <f>IF('Data Entry'!A510="","",IF($L510="","New item",IF($L510&gt;0,"UP",IF($L510&lt;0,"down","same"))))</f>
        <v/>
      </c>
    </row>
    <row r="511">
      <c r="A511" s="11">
        <f>IF('Data Entry'!A511="","",'Data Entry'!A511)</f>
        <v/>
      </c>
      <c r="B511" s="12">
        <f>IF('Data Entry'!A511="","",'Data Entry'!B511)</f>
        <v/>
      </c>
      <c r="C511" s="12">
        <f>IF('Data Entry'!A511="","",'Data Entry'!C511)</f>
        <v/>
      </c>
      <c r="D511" s="12">
        <f>IF('Data Entry'!A511="","",'Data Entry'!D511)</f>
        <v/>
      </c>
      <c r="E511" s="12">
        <f>IF('Data Entry'!A511="","",'Data Entry'!E511)</f>
        <v/>
      </c>
      <c r="F511" s="12">
        <f>IF('Data Entry'!A511="","",'Data Entry'!F511)</f>
        <v/>
      </c>
      <c r="G511" s="13">
        <f>IF('Data Entry'!A511="","",'Data Entry'!G511)</f>
        <v/>
      </c>
      <c r="H511" s="10">
        <f>IF('Data Entry'!A511="","",'Data Entry'!H511)</f>
        <v/>
      </c>
      <c r="I511" s="10">
        <f>IF('Data Entry'!A511="","",'Data Entry'!I511)</f>
        <v/>
      </c>
      <c r="J511" s="12">
        <f>IF('Data Entry'!A511="","",IF('Data Entry'!D511&lt;&gt;"",'Data Entry'!D511,'Data Entry'!E511))</f>
        <v/>
      </c>
      <c r="K511" s="10">
        <f>IF('Data Entry'!A511="","",IFERROR(SUMIFS($H$5:$H$2001,$J$5:$J$2001,$J511,$B$5:$B$2001,$B511,$A$5:$A$2001,(MAXIFS($A$5:$A$2001,$J$5:$J$2001,$J511,$B$5:$B$2001,$B511,$A$5:$A$2001,"&lt;"&amp;$A511))),""))</f>
        <v/>
      </c>
      <c r="L511" s="14">
        <f>IF(OR('Data Entry'!A511="",$K511=""),"",$H511-$K511)</f>
        <v/>
      </c>
      <c r="M511" s="15">
        <f>IF(OR('Data Entry'!A511="",$K511="",$K511=0),"",$L511/$K511)</f>
        <v/>
      </c>
      <c r="N511" s="12">
        <f>IF('Data Entry'!A511="","",IF($L511="","New item",IF($L511&gt;0,"UP",IF($L511&lt;0,"down","same"))))</f>
        <v/>
      </c>
    </row>
    <row r="512">
      <c r="A512" s="11">
        <f>IF('Data Entry'!A512="","",'Data Entry'!A512)</f>
        <v/>
      </c>
      <c r="B512" s="12">
        <f>IF('Data Entry'!A512="","",'Data Entry'!B512)</f>
        <v/>
      </c>
      <c r="C512" s="12">
        <f>IF('Data Entry'!A512="","",'Data Entry'!C512)</f>
        <v/>
      </c>
      <c r="D512" s="12">
        <f>IF('Data Entry'!A512="","",'Data Entry'!D512)</f>
        <v/>
      </c>
      <c r="E512" s="12">
        <f>IF('Data Entry'!A512="","",'Data Entry'!E512)</f>
        <v/>
      </c>
      <c r="F512" s="12">
        <f>IF('Data Entry'!A512="","",'Data Entry'!F512)</f>
        <v/>
      </c>
      <c r="G512" s="13">
        <f>IF('Data Entry'!A512="","",'Data Entry'!G512)</f>
        <v/>
      </c>
      <c r="H512" s="10">
        <f>IF('Data Entry'!A512="","",'Data Entry'!H512)</f>
        <v/>
      </c>
      <c r="I512" s="10">
        <f>IF('Data Entry'!A512="","",'Data Entry'!I512)</f>
        <v/>
      </c>
      <c r="J512" s="12">
        <f>IF('Data Entry'!A512="","",IF('Data Entry'!D512&lt;&gt;"",'Data Entry'!D512,'Data Entry'!E512))</f>
        <v/>
      </c>
      <c r="K512" s="10">
        <f>IF('Data Entry'!A512="","",IFERROR(SUMIFS($H$5:$H$2001,$J$5:$J$2001,$J512,$B$5:$B$2001,$B512,$A$5:$A$2001,(MAXIFS($A$5:$A$2001,$J$5:$J$2001,$J512,$B$5:$B$2001,$B512,$A$5:$A$2001,"&lt;"&amp;$A512))),""))</f>
        <v/>
      </c>
      <c r="L512" s="14">
        <f>IF(OR('Data Entry'!A512="",$K512=""),"",$H512-$K512)</f>
        <v/>
      </c>
      <c r="M512" s="15">
        <f>IF(OR('Data Entry'!A512="",$K512="",$K512=0),"",$L512/$K512)</f>
        <v/>
      </c>
      <c r="N512" s="12">
        <f>IF('Data Entry'!A512="","",IF($L512="","New item",IF($L512&gt;0,"UP",IF($L512&lt;0,"down","same"))))</f>
        <v/>
      </c>
    </row>
    <row r="513">
      <c r="A513" s="11">
        <f>IF('Data Entry'!A513="","",'Data Entry'!A513)</f>
        <v/>
      </c>
      <c r="B513" s="12">
        <f>IF('Data Entry'!A513="","",'Data Entry'!B513)</f>
        <v/>
      </c>
      <c r="C513" s="12">
        <f>IF('Data Entry'!A513="","",'Data Entry'!C513)</f>
        <v/>
      </c>
      <c r="D513" s="12">
        <f>IF('Data Entry'!A513="","",'Data Entry'!D513)</f>
        <v/>
      </c>
      <c r="E513" s="12">
        <f>IF('Data Entry'!A513="","",'Data Entry'!E513)</f>
        <v/>
      </c>
      <c r="F513" s="12">
        <f>IF('Data Entry'!A513="","",'Data Entry'!F513)</f>
        <v/>
      </c>
      <c r="G513" s="13">
        <f>IF('Data Entry'!A513="","",'Data Entry'!G513)</f>
        <v/>
      </c>
      <c r="H513" s="10">
        <f>IF('Data Entry'!A513="","",'Data Entry'!H513)</f>
        <v/>
      </c>
      <c r="I513" s="10">
        <f>IF('Data Entry'!A513="","",'Data Entry'!I513)</f>
        <v/>
      </c>
      <c r="J513" s="12">
        <f>IF('Data Entry'!A513="","",IF('Data Entry'!D513&lt;&gt;"",'Data Entry'!D513,'Data Entry'!E513))</f>
        <v/>
      </c>
      <c r="K513" s="10">
        <f>IF('Data Entry'!A513="","",IFERROR(SUMIFS($H$5:$H$2001,$J$5:$J$2001,$J513,$B$5:$B$2001,$B513,$A$5:$A$2001,(MAXIFS($A$5:$A$2001,$J$5:$J$2001,$J513,$B$5:$B$2001,$B513,$A$5:$A$2001,"&lt;"&amp;$A513))),""))</f>
        <v/>
      </c>
      <c r="L513" s="14">
        <f>IF(OR('Data Entry'!A513="",$K513=""),"",$H513-$K513)</f>
        <v/>
      </c>
      <c r="M513" s="15">
        <f>IF(OR('Data Entry'!A513="",$K513="",$K513=0),"",$L513/$K513)</f>
        <v/>
      </c>
      <c r="N513" s="12">
        <f>IF('Data Entry'!A513="","",IF($L513="","New item",IF($L513&gt;0,"UP",IF($L513&lt;0,"down","same"))))</f>
        <v/>
      </c>
    </row>
    <row r="514">
      <c r="A514" s="11">
        <f>IF('Data Entry'!A514="","",'Data Entry'!A514)</f>
        <v/>
      </c>
      <c r="B514" s="12">
        <f>IF('Data Entry'!A514="","",'Data Entry'!B514)</f>
        <v/>
      </c>
      <c r="C514" s="12">
        <f>IF('Data Entry'!A514="","",'Data Entry'!C514)</f>
        <v/>
      </c>
      <c r="D514" s="12">
        <f>IF('Data Entry'!A514="","",'Data Entry'!D514)</f>
        <v/>
      </c>
      <c r="E514" s="12">
        <f>IF('Data Entry'!A514="","",'Data Entry'!E514)</f>
        <v/>
      </c>
      <c r="F514" s="12">
        <f>IF('Data Entry'!A514="","",'Data Entry'!F514)</f>
        <v/>
      </c>
      <c r="G514" s="13">
        <f>IF('Data Entry'!A514="","",'Data Entry'!G514)</f>
        <v/>
      </c>
      <c r="H514" s="10">
        <f>IF('Data Entry'!A514="","",'Data Entry'!H514)</f>
        <v/>
      </c>
      <c r="I514" s="10">
        <f>IF('Data Entry'!A514="","",'Data Entry'!I514)</f>
        <v/>
      </c>
      <c r="J514" s="12">
        <f>IF('Data Entry'!A514="","",IF('Data Entry'!D514&lt;&gt;"",'Data Entry'!D514,'Data Entry'!E514))</f>
        <v/>
      </c>
      <c r="K514" s="10">
        <f>IF('Data Entry'!A514="","",IFERROR(SUMIFS($H$5:$H$2001,$J$5:$J$2001,$J514,$B$5:$B$2001,$B514,$A$5:$A$2001,(MAXIFS($A$5:$A$2001,$J$5:$J$2001,$J514,$B$5:$B$2001,$B514,$A$5:$A$2001,"&lt;"&amp;$A514))),""))</f>
        <v/>
      </c>
      <c r="L514" s="14">
        <f>IF(OR('Data Entry'!A514="",$K514=""),"",$H514-$K514)</f>
        <v/>
      </c>
      <c r="M514" s="15">
        <f>IF(OR('Data Entry'!A514="",$K514="",$K514=0),"",$L514/$K514)</f>
        <v/>
      </c>
      <c r="N514" s="12">
        <f>IF('Data Entry'!A514="","",IF($L514="","New item",IF($L514&gt;0,"UP",IF($L514&lt;0,"down","same"))))</f>
        <v/>
      </c>
    </row>
    <row r="515">
      <c r="A515" s="11">
        <f>IF('Data Entry'!A515="","",'Data Entry'!A515)</f>
        <v/>
      </c>
      <c r="B515" s="12">
        <f>IF('Data Entry'!A515="","",'Data Entry'!B515)</f>
        <v/>
      </c>
      <c r="C515" s="12">
        <f>IF('Data Entry'!A515="","",'Data Entry'!C515)</f>
        <v/>
      </c>
      <c r="D515" s="12">
        <f>IF('Data Entry'!A515="","",'Data Entry'!D515)</f>
        <v/>
      </c>
      <c r="E515" s="12">
        <f>IF('Data Entry'!A515="","",'Data Entry'!E515)</f>
        <v/>
      </c>
      <c r="F515" s="12">
        <f>IF('Data Entry'!A515="","",'Data Entry'!F515)</f>
        <v/>
      </c>
      <c r="G515" s="13">
        <f>IF('Data Entry'!A515="","",'Data Entry'!G515)</f>
        <v/>
      </c>
      <c r="H515" s="10">
        <f>IF('Data Entry'!A515="","",'Data Entry'!H515)</f>
        <v/>
      </c>
      <c r="I515" s="10">
        <f>IF('Data Entry'!A515="","",'Data Entry'!I515)</f>
        <v/>
      </c>
      <c r="J515" s="12">
        <f>IF('Data Entry'!A515="","",IF('Data Entry'!D515&lt;&gt;"",'Data Entry'!D515,'Data Entry'!E515))</f>
        <v/>
      </c>
      <c r="K515" s="10">
        <f>IF('Data Entry'!A515="","",IFERROR(SUMIFS($H$5:$H$2001,$J$5:$J$2001,$J515,$B$5:$B$2001,$B515,$A$5:$A$2001,(MAXIFS($A$5:$A$2001,$J$5:$J$2001,$J515,$B$5:$B$2001,$B515,$A$5:$A$2001,"&lt;"&amp;$A515))),""))</f>
        <v/>
      </c>
      <c r="L515" s="14">
        <f>IF(OR('Data Entry'!A515="",$K515=""),"",$H515-$K515)</f>
        <v/>
      </c>
      <c r="M515" s="15">
        <f>IF(OR('Data Entry'!A515="",$K515="",$K515=0),"",$L515/$K515)</f>
        <v/>
      </c>
      <c r="N515" s="12">
        <f>IF('Data Entry'!A515="","",IF($L515="","New item",IF($L515&gt;0,"UP",IF($L515&lt;0,"down","same"))))</f>
        <v/>
      </c>
    </row>
    <row r="516">
      <c r="A516" s="11">
        <f>IF('Data Entry'!A516="","",'Data Entry'!A516)</f>
        <v/>
      </c>
      <c r="B516" s="12">
        <f>IF('Data Entry'!A516="","",'Data Entry'!B516)</f>
        <v/>
      </c>
      <c r="C516" s="12">
        <f>IF('Data Entry'!A516="","",'Data Entry'!C516)</f>
        <v/>
      </c>
      <c r="D516" s="12">
        <f>IF('Data Entry'!A516="","",'Data Entry'!D516)</f>
        <v/>
      </c>
      <c r="E516" s="12">
        <f>IF('Data Entry'!A516="","",'Data Entry'!E516)</f>
        <v/>
      </c>
      <c r="F516" s="12">
        <f>IF('Data Entry'!A516="","",'Data Entry'!F516)</f>
        <v/>
      </c>
      <c r="G516" s="13">
        <f>IF('Data Entry'!A516="","",'Data Entry'!G516)</f>
        <v/>
      </c>
      <c r="H516" s="10">
        <f>IF('Data Entry'!A516="","",'Data Entry'!H516)</f>
        <v/>
      </c>
      <c r="I516" s="10">
        <f>IF('Data Entry'!A516="","",'Data Entry'!I516)</f>
        <v/>
      </c>
      <c r="J516" s="12">
        <f>IF('Data Entry'!A516="","",IF('Data Entry'!D516&lt;&gt;"",'Data Entry'!D516,'Data Entry'!E516))</f>
        <v/>
      </c>
      <c r="K516" s="10">
        <f>IF('Data Entry'!A516="","",IFERROR(SUMIFS($H$5:$H$2001,$J$5:$J$2001,$J516,$B$5:$B$2001,$B516,$A$5:$A$2001,(MAXIFS($A$5:$A$2001,$J$5:$J$2001,$J516,$B$5:$B$2001,$B516,$A$5:$A$2001,"&lt;"&amp;$A516))),""))</f>
        <v/>
      </c>
      <c r="L516" s="14">
        <f>IF(OR('Data Entry'!A516="",$K516=""),"",$H516-$K516)</f>
        <v/>
      </c>
      <c r="M516" s="15">
        <f>IF(OR('Data Entry'!A516="",$K516="",$K516=0),"",$L516/$K516)</f>
        <v/>
      </c>
      <c r="N516" s="12">
        <f>IF('Data Entry'!A516="","",IF($L516="","New item",IF($L516&gt;0,"UP",IF($L516&lt;0,"down","same"))))</f>
        <v/>
      </c>
    </row>
    <row r="517">
      <c r="A517" s="11">
        <f>IF('Data Entry'!A517="","",'Data Entry'!A517)</f>
        <v/>
      </c>
      <c r="B517" s="12">
        <f>IF('Data Entry'!A517="","",'Data Entry'!B517)</f>
        <v/>
      </c>
      <c r="C517" s="12">
        <f>IF('Data Entry'!A517="","",'Data Entry'!C517)</f>
        <v/>
      </c>
      <c r="D517" s="12">
        <f>IF('Data Entry'!A517="","",'Data Entry'!D517)</f>
        <v/>
      </c>
      <c r="E517" s="12">
        <f>IF('Data Entry'!A517="","",'Data Entry'!E517)</f>
        <v/>
      </c>
      <c r="F517" s="12">
        <f>IF('Data Entry'!A517="","",'Data Entry'!F517)</f>
        <v/>
      </c>
      <c r="G517" s="13">
        <f>IF('Data Entry'!A517="","",'Data Entry'!G517)</f>
        <v/>
      </c>
      <c r="H517" s="10">
        <f>IF('Data Entry'!A517="","",'Data Entry'!H517)</f>
        <v/>
      </c>
      <c r="I517" s="10">
        <f>IF('Data Entry'!A517="","",'Data Entry'!I517)</f>
        <v/>
      </c>
      <c r="J517" s="12">
        <f>IF('Data Entry'!A517="","",IF('Data Entry'!D517&lt;&gt;"",'Data Entry'!D517,'Data Entry'!E517))</f>
        <v/>
      </c>
      <c r="K517" s="10">
        <f>IF('Data Entry'!A517="","",IFERROR(SUMIFS($H$5:$H$2001,$J$5:$J$2001,$J517,$B$5:$B$2001,$B517,$A$5:$A$2001,(MAXIFS($A$5:$A$2001,$J$5:$J$2001,$J517,$B$5:$B$2001,$B517,$A$5:$A$2001,"&lt;"&amp;$A517))),""))</f>
        <v/>
      </c>
      <c r="L517" s="14">
        <f>IF(OR('Data Entry'!A517="",$K517=""),"",$H517-$K517)</f>
        <v/>
      </c>
      <c r="M517" s="15">
        <f>IF(OR('Data Entry'!A517="",$K517="",$K517=0),"",$L517/$K517)</f>
        <v/>
      </c>
      <c r="N517" s="12">
        <f>IF('Data Entry'!A517="","",IF($L517="","New item",IF($L517&gt;0,"UP",IF($L517&lt;0,"down","same"))))</f>
        <v/>
      </c>
    </row>
    <row r="518">
      <c r="A518" s="11">
        <f>IF('Data Entry'!A518="","",'Data Entry'!A518)</f>
        <v/>
      </c>
      <c r="B518" s="12">
        <f>IF('Data Entry'!A518="","",'Data Entry'!B518)</f>
        <v/>
      </c>
      <c r="C518" s="12">
        <f>IF('Data Entry'!A518="","",'Data Entry'!C518)</f>
        <v/>
      </c>
      <c r="D518" s="12">
        <f>IF('Data Entry'!A518="","",'Data Entry'!D518)</f>
        <v/>
      </c>
      <c r="E518" s="12">
        <f>IF('Data Entry'!A518="","",'Data Entry'!E518)</f>
        <v/>
      </c>
      <c r="F518" s="12">
        <f>IF('Data Entry'!A518="","",'Data Entry'!F518)</f>
        <v/>
      </c>
      <c r="G518" s="13">
        <f>IF('Data Entry'!A518="","",'Data Entry'!G518)</f>
        <v/>
      </c>
      <c r="H518" s="10">
        <f>IF('Data Entry'!A518="","",'Data Entry'!H518)</f>
        <v/>
      </c>
      <c r="I518" s="10">
        <f>IF('Data Entry'!A518="","",'Data Entry'!I518)</f>
        <v/>
      </c>
      <c r="J518" s="12">
        <f>IF('Data Entry'!A518="","",IF('Data Entry'!D518&lt;&gt;"",'Data Entry'!D518,'Data Entry'!E518))</f>
        <v/>
      </c>
      <c r="K518" s="10">
        <f>IF('Data Entry'!A518="","",IFERROR(SUMIFS($H$5:$H$2001,$J$5:$J$2001,$J518,$B$5:$B$2001,$B518,$A$5:$A$2001,(MAXIFS($A$5:$A$2001,$J$5:$J$2001,$J518,$B$5:$B$2001,$B518,$A$5:$A$2001,"&lt;"&amp;$A518))),""))</f>
        <v/>
      </c>
      <c r="L518" s="14">
        <f>IF(OR('Data Entry'!A518="",$K518=""),"",$H518-$K518)</f>
        <v/>
      </c>
      <c r="M518" s="15">
        <f>IF(OR('Data Entry'!A518="",$K518="",$K518=0),"",$L518/$K518)</f>
        <v/>
      </c>
      <c r="N518" s="12">
        <f>IF('Data Entry'!A518="","",IF($L518="","New item",IF($L518&gt;0,"UP",IF($L518&lt;0,"down","same"))))</f>
        <v/>
      </c>
    </row>
    <row r="519">
      <c r="A519" s="11">
        <f>IF('Data Entry'!A519="","",'Data Entry'!A519)</f>
        <v/>
      </c>
      <c r="B519" s="12">
        <f>IF('Data Entry'!A519="","",'Data Entry'!B519)</f>
        <v/>
      </c>
      <c r="C519" s="12">
        <f>IF('Data Entry'!A519="","",'Data Entry'!C519)</f>
        <v/>
      </c>
      <c r="D519" s="12">
        <f>IF('Data Entry'!A519="","",'Data Entry'!D519)</f>
        <v/>
      </c>
      <c r="E519" s="12">
        <f>IF('Data Entry'!A519="","",'Data Entry'!E519)</f>
        <v/>
      </c>
      <c r="F519" s="12">
        <f>IF('Data Entry'!A519="","",'Data Entry'!F519)</f>
        <v/>
      </c>
      <c r="G519" s="13">
        <f>IF('Data Entry'!A519="","",'Data Entry'!G519)</f>
        <v/>
      </c>
      <c r="H519" s="10">
        <f>IF('Data Entry'!A519="","",'Data Entry'!H519)</f>
        <v/>
      </c>
      <c r="I519" s="10">
        <f>IF('Data Entry'!A519="","",'Data Entry'!I519)</f>
        <v/>
      </c>
      <c r="J519" s="12">
        <f>IF('Data Entry'!A519="","",IF('Data Entry'!D519&lt;&gt;"",'Data Entry'!D519,'Data Entry'!E519))</f>
        <v/>
      </c>
      <c r="K519" s="10">
        <f>IF('Data Entry'!A519="","",IFERROR(SUMIFS($H$5:$H$2001,$J$5:$J$2001,$J519,$B$5:$B$2001,$B519,$A$5:$A$2001,(MAXIFS($A$5:$A$2001,$J$5:$J$2001,$J519,$B$5:$B$2001,$B519,$A$5:$A$2001,"&lt;"&amp;$A519))),""))</f>
        <v/>
      </c>
      <c r="L519" s="14">
        <f>IF(OR('Data Entry'!A519="",$K519=""),"",$H519-$K519)</f>
        <v/>
      </c>
      <c r="M519" s="15">
        <f>IF(OR('Data Entry'!A519="",$K519="",$K519=0),"",$L519/$K519)</f>
        <v/>
      </c>
      <c r="N519" s="12">
        <f>IF('Data Entry'!A519="","",IF($L519="","New item",IF($L519&gt;0,"UP",IF($L519&lt;0,"down","same"))))</f>
        <v/>
      </c>
    </row>
    <row r="520">
      <c r="A520" s="11">
        <f>IF('Data Entry'!A520="","",'Data Entry'!A520)</f>
        <v/>
      </c>
      <c r="B520" s="12">
        <f>IF('Data Entry'!A520="","",'Data Entry'!B520)</f>
        <v/>
      </c>
      <c r="C520" s="12">
        <f>IF('Data Entry'!A520="","",'Data Entry'!C520)</f>
        <v/>
      </c>
      <c r="D520" s="12">
        <f>IF('Data Entry'!A520="","",'Data Entry'!D520)</f>
        <v/>
      </c>
      <c r="E520" s="12">
        <f>IF('Data Entry'!A520="","",'Data Entry'!E520)</f>
        <v/>
      </c>
      <c r="F520" s="12">
        <f>IF('Data Entry'!A520="","",'Data Entry'!F520)</f>
        <v/>
      </c>
      <c r="G520" s="13">
        <f>IF('Data Entry'!A520="","",'Data Entry'!G520)</f>
        <v/>
      </c>
      <c r="H520" s="10">
        <f>IF('Data Entry'!A520="","",'Data Entry'!H520)</f>
        <v/>
      </c>
      <c r="I520" s="10">
        <f>IF('Data Entry'!A520="","",'Data Entry'!I520)</f>
        <v/>
      </c>
      <c r="J520" s="12">
        <f>IF('Data Entry'!A520="","",IF('Data Entry'!D520&lt;&gt;"",'Data Entry'!D520,'Data Entry'!E520))</f>
        <v/>
      </c>
      <c r="K520" s="10">
        <f>IF('Data Entry'!A520="","",IFERROR(SUMIFS($H$5:$H$2001,$J$5:$J$2001,$J520,$B$5:$B$2001,$B520,$A$5:$A$2001,(MAXIFS($A$5:$A$2001,$J$5:$J$2001,$J520,$B$5:$B$2001,$B520,$A$5:$A$2001,"&lt;"&amp;$A520))),""))</f>
        <v/>
      </c>
      <c r="L520" s="14">
        <f>IF(OR('Data Entry'!A520="",$K520=""),"",$H520-$K520)</f>
        <v/>
      </c>
      <c r="M520" s="15">
        <f>IF(OR('Data Entry'!A520="",$K520="",$K520=0),"",$L520/$K520)</f>
        <v/>
      </c>
      <c r="N520" s="12">
        <f>IF('Data Entry'!A520="","",IF($L520="","New item",IF($L520&gt;0,"UP",IF($L520&lt;0,"down","same"))))</f>
        <v/>
      </c>
    </row>
    <row r="521">
      <c r="A521" s="11">
        <f>IF('Data Entry'!A521="","",'Data Entry'!A521)</f>
        <v/>
      </c>
      <c r="B521" s="12">
        <f>IF('Data Entry'!A521="","",'Data Entry'!B521)</f>
        <v/>
      </c>
      <c r="C521" s="12">
        <f>IF('Data Entry'!A521="","",'Data Entry'!C521)</f>
        <v/>
      </c>
      <c r="D521" s="12">
        <f>IF('Data Entry'!A521="","",'Data Entry'!D521)</f>
        <v/>
      </c>
      <c r="E521" s="12">
        <f>IF('Data Entry'!A521="","",'Data Entry'!E521)</f>
        <v/>
      </c>
      <c r="F521" s="12">
        <f>IF('Data Entry'!A521="","",'Data Entry'!F521)</f>
        <v/>
      </c>
      <c r="G521" s="13">
        <f>IF('Data Entry'!A521="","",'Data Entry'!G521)</f>
        <v/>
      </c>
      <c r="H521" s="10">
        <f>IF('Data Entry'!A521="","",'Data Entry'!H521)</f>
        <v/>
      </c>
      <c r="I521" s="10">
        <f>IF('Data Entry'!A521="","",'Data Entry'!I521)</f>
        <v/>
      </c>
      <c r="J521" s="12">
        <f>IF('Data Entry'!A521="","",IF('Data Entry'!D521&lt;&gt;"",'Data Entry'!D521,'Data Entry'!E521))</f>
        <v/>
      </c>
      <c r="K521" s="10">
        <f>IF('Data Entry'!A521="","",IFERROR(SUMIFS($H$5:$H$2001,$J$5:$J$2001,$J521,$B$5:$B$2001,$B521,$A$5:$A$2001,(MAXIFS($A$5:$A$2001,$J$5:$J$2001,$J521,$B$5:$B$2001,$B521,$A$5:$A$2001,"&lt;"&amp;$A521))),""))</f>
        <v/>
      </c>
      <c r="L521" s="14">
        <f>IF(OR('Data Entry'!A521="",$K521=""),"",$H521-$K521)</f>
        <v/>
      </c>
      <c r="M521" s="15">
        <f>IF(OR('Data Entry'!A521="",$K521="",$K521=0),"",$L521/$K521)</f>
        <v/>
      </c>
      <c r="N521" s="12">
        <f>IF('Data Entry'!A521="","",IF($L521="","New item",IF($L521&gt;0,"UP",IF($L521&lt;0,"down","same"))))</f>
        <v/>
      </c>
    </row>
    <row r="522">
      <c r="A522" s="11">
        <f>IF('Data Entry'!A522="","",'Data Entry'!A522)</f>
        <v/>
      </c>
      <c r="B522" s="12">
        <f>IF('Data Entry'!A522="","",'Data Entry'!B522)</f>
        <v/>
      </c>
      <c r="C522" s="12">
        <f>IF('Data Entry'!A522="","",'Data Entry'!C522)</f>
        <v/>
      </c>
      <c r="D522" s="12">
        <f>IF('Data Entry'!A522="","",'Data Entry'!D522)</f>
        <v/>
      </c>
      <c r="E522" s="12">
        <f>IF('Data Entry'!A522="","",'Data Entry'!E522)</f>
        <v/>
      </c>
      <c r="F522" s="12">
        <f>IF('Data Entry'!A522="","",'Data Entry'!F522)</f>
        <v/>
      </c>
      <c r="G522" s="13">
        <f>IF('Data Entry'!A522="","",'Data Entry'!G522)</f>
        <v/>
      </c>
      <c r="H522" s="10">
        <f>IF('Data Entry'!A522="","",'Data Entry'!H522)</f>
        <v/>
      </c>
      <c r="I522" s="10">
        <f>IF('Data Entry'!A522="","",'Data Entry'!I522)</f>
        <v/>
      </c>
      <c r="J522" s="12">
        <f>IF('Data Entry'!A522="","",IF('Data Entry'!D522&lt;&gt;"",'Data Entry'!D522,'Data Entry'!E522))</f>
        <v/>
      </c>
      <c r="K522" s="10">
        <f>IF('Data Entry'!A522="","",IFERROR(SUMIFS($H$5:$H$2001,$J$5:$J$2001,$J522,$B$5:$B$2001,$B522,$A$5:$A$2001,(MAXIFS($A$5:$A$2001,$J$5:$J$2001,$J522,$B$5:$B$2001,$B522,$A$5:$A$2001,"&lt;"&amp;$A522))),""))</f>
        <v/>
      </c>
      <c r="L522" s="14">
        <f>IF(OR('Data Entry'!A522="",$K522=""),"",$H522-$K522)</f>
        <v/>
      </c>
      <c r="M522" s="15">
        <f>IF(OR('Data Entry'!A522="",$K522="",$K522=0),"",$L522/$K522)</f>
        <v/>
      </c>
      <c r="N522" s="12">
        <f>IF('Data Entry'!A522="","",IF($L522="","New item",IF($L522&gt;0,"UP",IF($L522&lt;0,"down","same"))))</f>
        <v/>
      </c>
    </row>
    <row r="523">
      <c r="A523" s="11">
        <f>IF('Data Entry'!A523="","",'Data Entry'!A523)</f>
        <v/>
      </c>
      <c r="B523" s="12">
        <f>IF('Data Entry'!A523="","",'Data Entry'!B523)</f>
        <v/>
      </c>
      <c r="C523" s="12">
        <f>IF('Data Entry'!A523="","",'Data Entry'!C523)</f>
        <v/>
      </c>
      <c r="D523" s="12">
        <f>IF('Data Entry'!A523="","",'Data Entry'!D523)</f>
        <v/>
      </c>
      <c r="E523" s="12">
        <f>IF('Data Entry'!A523="","",'Data Entry'!E523)</f>
        <v/>
      </c>
      <c r="F523" s="12">
        <f>IF('Data Entry'!A523="","",'Data Entry'!F523)</f>
        <v/>
      </c>
      <c r="G523" s="13">
        <f>IF('Data Entry'!A523="","",'Data Entry'!G523)</f>
        <v/>
      </c>
      <c r="H523" s="10">
        <f>IF('Data Entry'!A523="","",'Data Entry'!H523)</f>
        <v/>
      </c>
      <c r="I523" s="10">
        <f>IF('Data Entry'!A523="","",'Data Entry'!I523)</f>
        <v/>
      </c>
      <c r="J523" s="12">
        <f>IF('Data Entry'!A523="","",IF('Data Entry'!D523&lt;&gt;"",'Data Entry'!D523,'Data Entry'!E523))</f>
        <v/>
      </c>
      <c r="K523" s="10">
        <f>IF('Data Entry'!A523="","",IFERROR(SUMIFS($H$5:$H$2001,$J$5:$J$2001,$J523,$B$5:$B$2001,$B523,$A$5:$A$2001,(MAXIFS($A$5:$A$2001,$J$5:$J$2001,$J523,$B$5:$B$2001,$B523,$A$5:$A$2001,"&lt;"&amp;$A523))),""))</f>
        <v/>
      </c>
      <c r="L523" s="14">
        <f>IF(OR('Data Entry'!A523="",$K523=""),"",$H523-$K523)</f>
        <v/>
      </c>
      <c r="M523" s="15">
        <f>IF(OR('Data Entry'!A523="",$K523="",$K523=0),"",$L523/$K523)</f>
        <v/>
      </c>
      <c r="N523" s="12">
        <f>IF('Data Entry'!A523="","",IF($L523="","New item",IF($L523&gt;0,"UP",IF($L523&lt;0,"down","same"))))</f>
        <v/>
      </c>
    </row>
    <row r="524">
      <c r="A524" s="11">
        <f>IF('Data Entry'!A524="","",'Data Entry'!A524)</f>
        <v/>
      </c>
      <c r="B524" s="12">
        <f>IF('Data Entry'!A524="","",'Data Entry'!B524)</f>
        <v/>
      </c>
      <c r="C524" s="12">
        <f>IF('Data Entry'!A524="","",'Data Entry'!C524)</f>
        <v/>
      </c>
      <c r="D524" s="12">
        <f>IF('Data Entry'!A524="","",'Data Entry'!D524)</f>
        <v/>
      </c>
      <c r="E524" s="12">
        <f>IF('Data Entry'!A524="","",'Data Entry'!E524)</f>
        <v/>
      </c>
      <c r="F524" s="12">
        <f>IF('Data Entry'!A524="","",'Data Entry'!F524)</f>
        <v/>
      </c>
      <c r="G524" s="13">
        <f>IF('Data Entry'!A524="","",'Data Entry'!G524)</f>
        <v/>
      </c>
      <c r="H524" s="10">
        <f>IF('Data Entry'!A524="","",'Data Entry'!H524)</f>
        <v/>
      </c>
      <c r="I524" s="10">
        <f>IF('Data Entry'!A524="","",'Data Entry'!I524)</f>
        <v/>
      </c>
      <c r="J524" s="12">
        <f>IF('Data Entry'!A524="","",IF('Data Entry'!D524&lt;&gt;"",'Data Entry'!D524,'Data Entry'!E524))</f>
        <v/>
      </c>
      <c r="K524" s="10">
        <f>IF('Data Entry'!A524="","",IFERROR(SUMIFS($H$5:$H$2001,$J$5:$J$2001,$J524,$B$5:$B$2001,$B524,$A$5:$A$2001,(MAXIFS($A$5:$A$2001,$J$5:$J$2001,$J524,$B$5:$B$2001,$B524,$A$5:$A$2001,"&lt;"&amp;$A524))),""))</f>
        <v/>
      </c>
      <c r="L524" s="14">
        <f>IF(OR('Data Entry'!A524="",$K524=""),"",$H524-$K524)</f>
        <v/>
      </c>
      <c r="M524" s="15">
        <f>IF(OR('Data Entry'!A524="",$K524="",$K524=0),"",$L524/$K524)</f>
        <v/>
      </c>
      <c r="N524" s="12">
        <f>IF('Data Entry'!A524="","",IF($L524="","New item",IF($L524&gt;0,"UP",IF($L524&lt;0,"down","same"))))</f>
        <v/>
      </c>
    </row>
    <row r="525">
      <c r="A525" s="11">
        <f>IF('Data Entry'!A525="","",'Data Entry'!A525)</f>
        <v/>
      </c>
      <c r="B525" s="12">
        <f>IF('Data Entry'!A525="","",'Data Entry'!B525)</f>
        <v/>
      </c>
      <c r="C525" s="12">
        <f>IF('Data Entry'!A525="","",'Data Entry'!C525)</f>
        <v/>
      </c>
      <c r="D525" s="12">
        <f>IF('Data Entry'!A525="","",'Data Entry'!D525)</f>
        <v/>
      </c>
      <c r="E525" s="12">
        <f>IF('Data Entry'!A525="","",'Data Entry'!E525)</f>
        <v/>
      </c>
      <c r="F525" s="12">
        <f>IF('Data Entry'!A525="","",'Data Entry'!F525)</f>
        <v/>
      </c>
      <c r="G525" s="13">
        <f>IF('Data Entry'!A525="","",'Data Entry'!G525)</f>
        <v/>
      </c>
      <c r="H525" s="10">
        <f>IF('Data Entry'!A525="","",'Data Entry'!H525)</f>
        <v/>
      </c>
      <c r="I525" s="10">
        <f>IF('Data Entry'!A525="","",'Data Entry'!I525)</f>
        <v/>
      </c>
      <c r="J525" s="12">
        <f>IF('Data Entry'!A525="","",IF('Data Entry'!D525&lt;&gt;"",'Data Entry'!D525,'Data Entry'!E525))</f>
        <v/>
      </c>
      <c r="K525" s="10">
        <f>IF('Data Entry'!A525="","",IFERROR(SUMIFS($H$5:$H$2001,$J$5:$J$2001,$J525,$B$5:$B$2001,$B525,$A$5:$A$2001,(MAXIFS($A$5:$A$2001,$J$5:$J$2001,$J525,$B$5:$B$2001,$B525,$A$5:$A$2001,"&lt;"&amp;$A525))),""))</f>
        <v/>
      </c>
      <c r="L525" s="14">
        <f>IF(OR('Data Entry'!A525="",$K525=""),"",$H525-$K525)</f>
        <v/>
      </c>
      <c r="M525" s="15">
        <f>IF(OR('Data Entry'!A525="",$K525="",$K525=0),"",$L525/$K525)</f>
        <v/>
      </c>
      <c r="N525" s="12">
        <f>IF('Data Entry'!A525="","",IF($L525="","New item",IF($L525&gt;0,"UP",IF($L525&lt;0,"down","same"))))</f>
        <v/>
      </c>
    </row>
    <row r="526">
      <c r="A526" s="11">
        <f>IF('Data Entry'!A526="","",'Data Entry'!A526)</f>
        <v/>
      </c>
      <c r="B526" s="12">
        <f>IF('Data Entry'!A526="","",'Data Entry'!B526)</f>
        <v/>
      </c>
      <c r="C526" s="12">
        <f>IF('Data Entry'!A526="","",'Data Entry'!C526)</f>
        <v/>
      </c>
      <c r="D526" s="12">
        <f>IF('Data Entry'!A526="","",'Data Entry'!D526)</f>
        <v/>
      </c>
      <c r="E526" s="12">
        <f>IF('Data Entry'!A526="","",'Data Entry'!E526)</f>
        <v/>
      </c>
      <c r="F526" s="12">
        <f>IF('Data Entry'!A526="","",'Data Entry'!F526)</f>
        <v/>
      </c>
      <c r="G526" s="13">
        <f>IF('Data Entry'!A526="","",'Data Entry'!G526)</f>
        <v/>
      </c>
      <c r="H526" s="10">
        <f>IF('Data Entry'!A526="","",'Data Entry'!H526)</f>
        <v/>
      </c>
      <c r="I526" s="10">
        <f>IF('Data Entry'!A526="","",'Data Entry'!I526)</f>
        <v/>
      </c>
      <c r="J526" s="12">
        <f>IF('Data Entry'!A526="","",IF('Data Entry'!D526&lt;&gt;"",'Data Entry'!D526,'Data Entry'!E526))</f>
        <v/>
      </c>
      <c r="K526" s="10">
        <f>IF('Data Entry'!A526="","",IFERROR(SUMIFS($H$5:$H$2001,$J$5:$J$2001,$J526,$B$5:$B$2001,$B526,$A$5:$A$2001,(MAXIFS($A$5:$A$2001,$J$5:$J$2001,$J526,$B$5:$B$2001,$B526,$A$5:$A$2001,"&lt;"&amp;$A526))),""))</f>
        <v/>
      </c>
      <c r="L526" s="14">
        <f>IF(OR('Data Entry'!A526="",$K526=""),"",$H526-$K526)</f>
        <v/>
      </c>
      <c r="M526" s="15">
        <f>IF(OR('Data Entry'!A526="",$K526="",$K526=0),"",$L526/$K526)</f>
        <v/>
      </c>
      <c r="N526" s="12">
        <f>IF('Data Entry'!A526="","",IF($L526="","New item",IF($L526&gt;0,"UP",IF($L526&lt;0,"down","same"))))</f>
        <v/>
      </c>
    </row>
    <row r="527">
      <c r="A527" s="11">
        <f>IF('Data Entry'!A527="","",'Data Entry'!A527)</f>
        <v/>
      </c>
      <c r="B527" s="12">
        <f>IF('Data Entry'!A527="","",'Data Entry'!B527)</f>
        <v/>
      </c>
      <c r="C527" s="12">
        <f>IF('Data Entry'!A527="","",'Data Entry'!C527)</f>
        <v/>
      </c>
      <c r="D527" s="12">
        <f>IF('Data Entry'!A527="","",'Data Entry'!D527)</f>
        <v/>
      </c>
      <c r="E527" s="12">
        <f>IF('Data Entry'!A527="","",'Data Entry'!E527)</f>
        <v/>
      </c>
      <c r="F527" s="12">
        <f>IF('Data Entry'!A527="","",'Data Entry'!F527)</f>
        <v/>
      </c>
      <c r="G527" s="13">
        <f>IF('Data Entry'!A527="","",'Data Entry'!G527)</f>
        <v/>
      </c>
      <c r="H527" s="10">
        <f>IF('Data Entry'!A527="","",'Data Entry'!H527)</f>
        <v/>
      </c>
      <c r="I527" s="10">
        <f>IF('Data Entry'!A527="","",'Data Entry'!I527)</f>
        <v/>
      </c>
      <c r="J527" s="12">
        <f>IF('Data Entry'!A527="","",IF('Data Entry'!D527&lt;&gt;"",'Data Entry'!D527,'Data Entry'!E527))</f>
        <v/>
      </c>
      <c r="K527" s="10">
        <f>IF('Data Entry'!A527="","",IFERROR(SUMIFS($H$5:$H$2001,$J$5:$J$2001,$J527,$B$5:$B$2001,$B527,$A$5:$A$2001,(MAXIFS($A$5:$A$2001,$J$5:$J$2001,$J527,$B$5:$B$2001,$B527,$A$5:$A$2001,"&lt;"&amp;$A527))),""))</f>
        <v/>
      </c>
      <c r="L527" s="14">
        <f>IF(OR('Data Entry'!A527="",$K527=""),"",$H527-$K527)</f>
        <v/>
      </c>
      <c r="M527" s="15">
        <f>IF(OR('Data Entry'!A527="",$K527="",$K527=0),"",$L527/$K527)</f>
        <v/>
      </c>
      <c r="N527" s="12">
        <f>IF('Data Entry'!A527="","",IF($L527="","New item",IF($L527&gt;0,"UP",IF($L527&lt;0,"down","same"))))</f>
        <v/>
      </c>
    </row>
    <row r="528">
      <c r="A528" s="11">
        <f>IF('Data Entry'!A528="","",'Data Entry'!A528)</f>
        <v/>
      </c>
      <c r="B528" s="12">
        <f>IF('Data Entry'!A528="","",'Data Entry'!B528)</f>
        <v/>
      </c>
      <c r="C528" s="12">
        <f>IF('Data Entry'!A528="","",'Data Entry'!C528)</f>
        <v/>
      </c>
      <c r="D528" s="12">
        <f>IF('Data Entry'!A528="","",'Data Entry'!D528)</f>
        <v/>
      </c>
      <c r="E528" s="12">
        <f>IF('Data Entry'!A528="","",'Data Entry'!E528)</f>
        <v/>
      </c>
      <c r="F528" s="12">
        <f>IF('Data Entry'!A528="","",'Data Entry'!F528)</f>
        <v/>
      </c>
      <c r="G528" s="13">
        <f>IF('Data Entry'!A528="","",'Data Entry'!G528)</f>
        <v/>
      </c>
      <c r="H528" s="10">
        <f>IF('Data Entry'!A528="","",'Data Entry'!H528)</f>
        <v/>
      </c>
      <c r="I528" s="10">
        <f>IF('Data Entry'!A528="","",'Data Entry'!I528)</f>
        <v/>
      </c>
      <c r="J528" s="12">
        <f>IF('Data Entry'!A528="","",IF('Data Entry'!D528&lt;&gt;"",'Data Entry'!D528,'Data Entry'!E528))</f>
        <v/>
      </c>
      <c r="K528" s="10">
        <f>IF('Data Entry'!A528="","",IFERROR(SUMIFS($H$5:$H$2001,$J$5:$J$2001,$J528,$B$5:$B$2001,$B528,$A$5:$A$2001,(MAXIFS($A$5:$A$2001,$J$5:$J$2001,$J528,$B$5:$B$2001,$B528,$A$5:$A$2001,"&lt;"&amp;$A528))),""))</f>
        <v/>
      </c>
      <c r="L528" s="14">
        <f>IF(OR('Data Entry'!A528="",$K528=""),"",$H528-$K528)</f>
        <v/>
      </c>
      <c r="M528" s="15">
        <f>IF(OR('Data Entry'!A528="",$K528="",$K528=0),"",$L528/$K528)</f>
        <v/>
      </c>
      <c r="N528" s="12">
        <f>IF('Data Entry'!A528="","",IF($L528="","New item",IF($L528&gt;0,"UP",IF($L528&lt;0,"down","same"))))</f>
        <v/>
      </c>
    </row>
    <row r="529">
      <c r="A529" s="11">
        <f>IF('Data Entry'!A529="","",'Data Entry'!A529)</f>
        <v/>
      </c>
      <c r="B529" s="12">
        <f>IF('Data Entry'!A529="","",'Data Entry'!B529)</f>
        <v/>
      </c>
      <c r="C529" s="12">
        <f>IF('Data Entry'!A529="","",'Data Entry'!C529)</f>
        <v/>
      </c>
      <c r="D529" s="12">
        <f>IF('Data Entry'!A529="","",'Data Entry'!D529)</f>
        <v/>
      </c>
      <c r="E529" s="12">
        <f>IF('Data Entry'!A529="","",'Data Entry'!E529)</f>
        <v/>
      </c>
      <c r="F529" s="12">
        <f>IF('Data Entry'!A529="","",'Data Entry'!F529)</f>
        <v/>
      </c>
      <c r="G529" s="13">
        <f>IF('Data Entry'!A529="","",'Data Entry'!G529)</f>
        <v/>
      </c>
      <c r="H529" s="10">
        <f>IF('Data Entry'!A529="","",'Data Entry'!H529)</f>
        <v/>
      </c>
      <c r="I529" s="10">
        <f>IF('Data Entry'!A529="","",'Data Entry'!I529)</f>
        <v/>
      </c>
      <c r="J529" s="12">
        <f>IF('Data Entry'!A529="","",IF('Data Entry'!D529&lt;&gt;"",'Data Entry'!D529,'Data Entry'!E529))</f>
        <v/>
      </c>
      <c r="K529" s="10">
        <f>IF('Data Entry'!A529="","",IFERROR(SUMIFS($H$5:$H$2001,$J$5:$J$2001,$J529,$B$5:$B$2001,$B529,$A$5:$A$2001,(MAXIFS($A$5:$A$2001,$J$5:$J$2001,$J529,$B$5:$B$2001,$B529,$A$5:$A$2001,"&lt;"&amp;$A529))),""))</f>
        <v/>
      </c>
      <c r="L529" s="14">
        <f>IF(OR('Data Entry'!A529="",$K529=""),"",$H529-$K529)</f>
        <v/>
      </c>
      <c r="M529" s="15">
        <f>IF(OR('Data Entry'!A529="",$K529="",$K529=0),"",$L529/$K529)</f>
        <v/>
      </c>
      <c r="N529" s="12">
        <f>IF('Data Entry'!A529="","",IF($L529="","New item",IF($L529&gt;0,"UP",IF($L529&lt;0,"down","same"))))</f>
        <v/>
      </c>
    </row>
    <row r="530">
      <c r="A530" s="11">
        <f>IF('Data Entry'!A530="","",'Data Entry'!A530)</f>
        <v/>
      </c>
      <c r="B530" s="12">
        <f>IF('Data Entry'!A530="","",'Data Entry'!B530)</f>
        <v/>
      </c>
      <c r="C530" s="12">
        <f>IF('Data Entry'!A530="","",'Data Entry'!C530)</f>
        <v/>
      </c>
      <c r="D530" s="12">
        <f>IF('Data Entry'!A530="","",'Data Entry'!D530)</f>
        <v/>
      </c>
      <c r="E530" s="12">
        <f>IF('Data Entry'!A530="","",'Data Entry'!E530)</f>
        <v/>
      </c>
      <c r="F530" s="12">
        <f>IF('Data Entry'!A530="","",'Data Entry'!F530)</f>
        <v/>
      </c>
      <c r="G530" s="13">
        <f>IF('Data Entry'!A530="","",'Data Entry'!G530)</f>
        <v/>
      </c>
      <c r="H530" s="10">
        <f>IF('Data Entry'!A530="","",'Data Entry'!H530)</f>
        <v/>
      </c>
      <c r="I530" s="10">
        <f>IF('Data Entry'!A530="","",'Data Entry'!I530)</f>
        <v/>
      </c>
      <c r="J530" s="12">
        <f>IF('Data Entry'!A530="","",IF('Data Entry'!D530&lt;&gt;"",'Data Entry'!D530,'Data Entry'!E530))</f>
        <v/>
      </c>
      <c r="K530" s="10">
        <f>IF('Data Entry'!A530="","",IFERROR(SUMIFS($H$5:$H$2001,$J$5:$J$2001,$J530,$B$5:$B$2001,$B530,$A$5:$A$2001,(MAXIFS($A$5:$A$2001,$J$5:$J$2001,$J530,$B$5:$B$2001,$B530,$A$5:$A$2001,"&lt;"&amp;$A530))),""))</f>
        <v/>
      </c>
      <c r="L530" s="14">
        <f>IF(OR('Data Entry'!A530="",$K530=""),"",$H530-$K530)</f>
        <v/>
      </c>
      <c r="M530" s="15">
        <f>IF(OR('Data Entry'!A530="",$K530="",$K530=0),"",$L530/$K530)</f>
        <v/>
      </c>
      <c r="N530" s="12">
        <f>IF('Data Entry'!A530="","",IF($L530="","New item",IF($L530&gt;0,"UP",IF($L530&lt;0,"down","same"))))</f>
        <v/>
      </c>
    </row>
    <row r="531">
      <c r="A531" s="11">
        <f>IF('Data Entry'!A531="","",'Data Entry'!A531)</f>
        <v/>
      </c>
      <c r="B531" s="12">
        <f>IF('Data Entry'!A531="","",'Data Entry'!B531)</f>
        <v/>
      </c>
      <c r="C531" s="12">
        <f>IF('Data Entry'!A531="","",'Data Entry'!C531)</f>
        <v/>
      </c>
      <c r="D531" s="12">
        <f>IF('Data Entry'!A531="","",'Data Entry'!D531)</f>
        <v/>
      </c>
      <c r="E531" s="12">
        <f>IF('Data Entry'!A531="","",'Data Entry'!E531)</f>
        <v/>
      </c>
      <c r="F531" s="12">
        <f>IF('Data Entry'!A531="","",'Data Entry'!F531)</f>
        <v/>
      </c>
      <c r="G531" s="13">
        <f>IF('Data Entry'!A531="","",'Data Entry'!G531)</f>
        <v/>
      </c>
      <c r="H531" s="10">
        <f>IF('Data Entry'!A531="","",'Data Entry'!H531)</f>
        <v/>
      </c>
      <c r="I531" s="10">
        <f>IF('Data Entry'!A531="","",'Data Entry'!I531)</f>
        <v/>
      </c>
      <c r="J531" s="12">
        <f>IF('Data Entry'!A531="","",IF('Data Entry'!D531&lt;&gt;"",'Data Entry'!D531,'Data Entry'!E531))</f>
        <v/>
      </c>
      <c r="K531" s="10">
        <f>IF('Data Entry'!A531="","",IFERROR(SUMIFS($H$5:$H$2001,$J$5:$J$2001,$J531,$B$5:$B$2001,$B531,$A$5:$A$2001,(MAXIFS($A$5:$A$2001,$J$5:$J$2001,$J531,$B$5:$B$2001,$B531,$A$5:$A$2001,"&lt;"&amp;$A531))),""))</f>
        <v/>
      </c>
      <c r="L531" s="14">
        <f>IF(OR('Data Entry'!A531="",$K531=""),"",$H531-$K531)</f>
        <v/>
      </c>
      <c r="M531" s="15">
        <f>IF(OR('Data Entry'!A531="",$K531="",$K531=0),"",$L531/$K531)</f>
        <v/>
      </c>
      <c r="N531" s="12">
        <f>IF('Data Entry'!A531="","",IF($L531="","New item",IF($L531&gt;0,"UP",IF($L531&lt;0,"down","same"))))</f>
        <v/>
      </c>
    </row>
    <row r="532">
      <c r="A532" s="11">
        <f>IF('Data Entry'!A532="","",'Data Entry'!A532)</f>
        <v/>
      </c>
      <c r="B532" s="12">
        <f>IF('Data Entry'!A532="","",'Data Entry'!B532)</f>
        <v/>
      </c>
      <c r="C532" s="12">
        <f>IF('Data Entry'!A532="","",'Data Entry'!C532)</f>
        <v/>
      </c>
      <c r="D532" s="12">
        <f>IF('Data Entry'!A532="","",'Data Entry'!D532)</f>
        <v/>
      </c>
      <c r="E532" s="12">
        <f>IF('Data Entry'!A532="","",'Data Entry'!E532)</f>
        <v/>
      </c>
      <c r="F532" s="12">
        <f>IF('Data Entry'!A532="","",'Data Entry'!F532)</f>
        <v/>
      </c>
      <c r="G532" s="13">
        <f>IF('Data Entry'!A532="","",'Data Entry'!G532)</f>
        <v/>
      </c>
      <c r="H532" s="10">
        <f>IF('Data Entry'!A532="","",'Data Entry'!H532)</f>
        <v/>
      </c>
      <c r="I532" s="10">
        <f>IF('Data Entry'!A532="","",'Data Entry'!I532)</f>
        <v/>
      </c>
      <c r="J532" s="12">
        <f>IF('Data Entry'!A532="","",IF('Data Entry'!D532&lt;&gt;"",'Data Entry'!D532,'Data Entry'!E532))</f>
        <v/>
      </c>
      <c r="K532" s="10">
        <f>IF('Data Entry'!A532="","",IFERROR(SUMIFS($H$5:$H$2001,$J$5:$J$2001,$J532,$B$5:$B$2001,$B532,$A$5:$A$2001,(MAXIFS($A$5:$A$2001,$J$5:$J$2001,$J532,$B$5:$B$2001,$B532,$A$5:$A$2001,"&lt;"&amp;$A532))),""))</f>
        <v/>
      </c>
      <c r="L532" s="14">
        <f>IF(OR('Data Entry'!A532="",$K532=""),"",$H532-$K532)</f>
        <v/>
      </c>
      <c r="M532" s="15">
        <f>IF(OR('Data Entry'!A532="",$K532="",$K532=0),"",$L532/$K532)</f>
        <v/>
      </c>
      <c r="N532" s="12">
        <f>IF('Data Entry'!A532="","",IF($L532="","New item",IF($L532&gt;0,"UP",IF($L532&lt;0,"down","same"))))</f>
        <v/>
      </c>
    </row>
    <row r="533">
      <c r="A533" s="11">
        <f>IF('Data Entry'!A533="","",'Data Entry'!A533)</f>
        <v/>
      </c>
      <c r="B533" s="12">
        <f>IF('Data Entry'!A533="","",'Data Entry'!B533)</f>
        <v/>
      </c>
      <c r="C533" s="12">
        <f>IF('Data Entry'!A533="","",'Data Entry'!C533)</f>
        <v/>
      </c>
      <c r="D533" s="12">
        <f>IF('Data Entry'!A533="","",'Data Entry'!D533)</f>
        <v/>
      </c>
      <c r="E533" s="12">
        <f>IF('Data Entry'!A533="","",'Data Entry'!E533)</f>
        <v/>
      </c>
      <c r="F533" s="12">
        <f>IF('Data Entry'!A533="","",'Data Entry'!F533)</f>
        <v/>
      </c>
      <c r="G533" s="13">
        <f>IF('Data Entry'!A533="","",'Data Entry'!G533)</f>
        <v/>
      </c>
      <c r="H533" s="10">
        <f>IF('Data Entry'!A533="","",'Data Entry'!H533)</f>
        <v/>
      </c>
      <c r="I533" s="10">
        <f>IF('Data Entry'!A533="","",'Data Entry'!I533)</f>
        <v/>
      </c>
      <c r="J533" s="12">
        <f>IF('Data Entry'!A533="","",IF('Data Entry'!D533&lt;&gt;"",'Data Entry'!D533,'Data Entry'!E533))</f>
        <v/>
      </c>
      <c r="K533" s="10">
        <f>IF('Data Entry'!A533="","",IFERROR(SUMIFS($H$5:$H$2001,$J$5:$J$2001,$J533,$B$5:$B$2001,$B533,$A$5:$A$2001,(MAXIFS($A$5:$A$2001,$J$5:$J$2001,$J533,$B$5:$B$2001,$B533,$A$5:$A$2001,"&lt;"&amp;$A533))),""))</f>
        <v/>
      </c>
      <c r="L533" s="14">
        <f>IF(OR('Data Entry'!A533="",$K533=""),"",$H533-$K533)</f>
        <v/>
      </c>
      <c r="M533" s="15">
        <f>IF(OR('Data Entry'!A533="",$K533="",$K533=0),"",$L533/$K533)</f>
        <v/>
      </c>
      <c r="N533" s="12">
        <f>IF('Data Entry'!A533="","",IF($L533="","New item",IF($L533&gt;0,"UP",IF($L533&lt;0,"down","same"))))</f>
        <v/>
      </c>
    </row>
    <row r="534">
      <c r="A534" s="11">
        <f>IF('Data Entry'!A534="","",'Data Entry'!A534)</f>
        <v/>
      </c>
      <c r="B534" s="12">
        <f>IF('Data Entry'!A534="","",'Data Entry'!B534)</f>
        <v/>
      </c>
      <c r="C534" s="12">
        <f>IF('Data Entry'!A534="","",'Data Entry'!C534)</f>
        <v/>
      </c>
      <c r="D534" s="12">
        <f>IF('Data Entry'!A534="","",'Data Entry'!D534)</f>
        <v/>
      </c>
      <c r="E534" s="12">
        <f>IF('Data Entry'!A534="","",'Data Entry'!E534)</f>
        <v/>
      </c>
      <c r="F534" s="12">
        <f>IF('Data Entry'!A534="","",'Data Entry'!F534)</f>
        <v/>
      </c>
      <c r="G534" s="13">
        <f>IF('Data Entry'!A534="","",'Data Entry'!G534)</f>
        <v/>
      </c>
      <c r="H534" s="10">
        <f>IF('Data Entry'!A534="","",'Data Entry'!H534)</f>
        <v/>
      </c>
      <c r="I534" s="10">
        <f>IF('Data Entry'!A534="","",'Data Entry'!I534)</f>
        <v/>
      </c>
      <c r="J534" s="12">
        <f>IF('Data Entry'!A534="","",IF('Data Entry'!D534&lt;&gt;"",'Data Entry'!D534,'Data Entry'!E534))</f>
        <v/>
      </c>
      <c r="K534" s="10">
        <f>IF('Data Entry'!A534="","",IFERROR(SUMIFS($H$5:$H$2001,$J$5:$J$2001,$J534,$B$5:$B$2001,$B534,$A$5:$A$2001,(MAXIFS($A$5:$A$2001,$J$5:$J$2001,$J534,$B$5:$B$2001,$B534,$A$5:$A$2001,"&lt;"&amp;$A534))),""))</f>
        <v/>
      </c>
      <c r="L534" s="14">
        <f>IF(OR('Data Entry'!A534="",$K534=""),"",$H534-$K534)</f>
        <v/>
      </c>
      <c r="M534" s="15">
        <f>IF(OR('Data Entry'!A534="",$K534="",$K534=0),"",$L534/$K534)</f>
        <v/>
      </c>
      <c r="N534" s="12">
        <f>IF('Data Entry'!A534="","",IF($L534="","New item",IF($L534&gt;0,"UP",IF($L534&lt;0,"down","same"))))</f>
        <v/>
      </c>
    </row>
    <row r="535">
      <c r="A535" s="11">
        <f>IF('Data Entry'!A535="","",'Data Entry'!A535)</f>
        <v/>
      </c>
      <c r="B535" s="12">
        <f>IF('Data Entry'!A535="","",'Data Entry'!B535)</f>
        <v/>
      </c>
      <c r="C535" s="12">
        <f>IF('Data Entry'!A535="","",'Data Entry'!C535)</f>
        <v/>
      </c>
      <c r="D535" s="12">
        <f>IF('Data Entry'!A535="","",'Data Entry'!D535)</f>
        <v/>
      </c>
      <c r="E535" s="12">
        <f>IF('Data Entry'!A535="","",'Data Entry'!E535)</f>
        <v/>
      </c>
      <c r="F535" s="12">
        <f>IF('Data Entry'!A535="","",'Data Entry'!F535)</f>
        <v/>
      </c>
      <c r="G535" s="13">
        <f>IF('Data Entry'!A535="","",'Data Entry'!G535)</f>
        <v/>
      </c>
      <c r="H535" s="10">
        <f>IF('Data Entry'!A535="","",'Data Entry'!H535)</f>
        <v/>
      </c>
      <c r="I535" s="10">
        <f>IF('Data Entry'!A535="","",'Data Entry'!I535)</f>
        <v/>
      </c>
      <c r="J535" s="12">
        <f>IF('Data Entry'!A535="","",IF('Data Entry'!D535&lt;&gt;"",'Data Entry'!D535,'Data Entry'!E535))</f>
        <v/>
      </c>
      <c r="K535" s="10">
        <f>IF('Data Entry'!A535="","",IFERROR(SUMIFS($H$5:$H$2001,$J$5:$J$2001,$J535,$B$5:$B$2001,$B535,$A$5:$A$2001,(MAXIFS($A$5:$A$2001,$J$5:$J$2001,$J535,$B$5:$B$2001,$B535,$A$5:$A$2001,"&lt;"&amp;$A535))),""))</f>
        <v/>
      </c>
      <c r="L535" s="14">
        <f>IF(OR('Data Entry'!A535="",$K535=""),"",$H535-$K535)</f>
        <v/>
      </c>
      <c r="M535" s="15">
        <f>IF(OR('Data Entry'!A535="",$K535="",$K535=0),"",$L535/$K535)</f>
        <v/>
      </c>
      <c r="N535" s="12">
        <f>IF('Data Entry'!A535="","",IF($L535="","New item",IF($L535&gt;0,"UP",IF($L535&lt;0,"down","same"))))</f>
        <v/>
      </c>
    </row>
    <row r="536">
      <c r="A536" s="11">
        <f>IF('Data Entry'!A536="","",'Data Entry'!A536)</f>
        <v/>
      </c>
      <c r="B536" s="12">
        <f>IF('Data Entry'!A536="","",'Data Entry'!B536)</f>
        <v/>
      </c>
      <c r="C536" s="12">
        <f>IF('Data Entry'!A536="","",'Data Entry'!C536)</f>
        <v/>
      </c>
      <c r="D536" s="12">
        <f>IF('Data Entry'!A536="","",'Data Entry'!D536)</f>
        <v/>
      </c>
      <c r="E536" s="12">
        <f>IF('Data Entry'!A536="","",'Data Entry'!E536)</f>
        <v/>
      </c>
      <c r="F536" s="12">
        <f>IF('Data Entry'!A536="","",'Data Entry'!F536)</f>
        <v/>
      </c>
      <c r="G536" s="13">
        <f>IF('Data Entry'!A536="","",'Data Entry'!G536)</f>
        <v/>
      </c>
      <c r="H536" s="10">
        <f>IF('Data Entry'!A536="","",'Data Entry'!H536)</f>
        <v/>
      </c>
      <c r="I536" s="10">
        <f>IF('Data Entry'!A536="","",'Data Entry'!I536)</f>
        <v/>
      </c>
      <c r="J536" s="12">
        <f>IF('Data Entry'!A536="","",IF('Data Entry'!D536&lt;&gt;"",'Data Entry'!D536,'Data Entry'!E536))</f>
        <v/>
      </c>
      <c r="K536" s="10">
        <f>IF('Data Entry'!A536="","",IFERROR(SUMIFS($H$5:$H$2001,$J$5:$J$2001,$J536,$B$5:$B$2001,$B536,$A$5:$A$2001,(MAXIFS($A$5:$A$2001,$J$5:$J$2001,$J536,$B$5:$B$2001,$B536,$A$5:$A$2001,"&lt;"&amp;$A536))),""))</f>
        <v/>
      </c>
      <c r="L536" s="14">
        <f>IF(OR('Data Entry'!A536="",$K536=""),"",$H536-$K536)</f>
        <v/>
      </c>
      <c r="M536" s="15">
        <f>IF(OR('Data Entry'!A536="",$K536="",$K536=0),"",$L536/$K536)</f>
        <v/>
      </c>
      <c r="N536" s="12">
        <f>IF('Data Entry'!A536="","",IF($L536="","New item",IF($L536&gt;0,"UP",IF($L536&lt;0,"down","same"))))</f>
        <v/>
      </c>
    </row>
    <row r="537">
      <c r="A537" s="11">
        <f>IF('Data Entry'!A537="","",'Data Entry'!A537)</f>
        <v/>
      </c>
      <c r="B537" s="12">
        <f>IF('Data Entry'!A537="","",'Data Entry'!B537)</f>
        <v/>
      </c>
      <c r="C537" s="12">
        <f>IF('Data Entry'!A537="","",'Data Entry'!C537)</f>
        <v/>
      </c>
      <c r="D537" s="12">
        <f>IF('Data Entry'!A537="","",'Data Entry'!D537)</f>
        <v/>
      </c>
      <c r="E537" s="12">
        <f>IF('Data Entry'!A537="","",'Data Entry'!E537)</f>
        <v/>
      </c>
      <c r="F537" s="12">
        <f>IF('Data Entry'!A537="","",'Data Entry'!F537)</f>
        <v/>
      </c>
      <c r="G537" s="13">
        <f>IF('Data Entry'!A537="","",'Data Entry'!G537)</f>
        <v/>
      </c>
      <c r="H537" s="10">
        <f>IF('Data Entry'!A537="","",'Data Entry'!H537)</f>
        <v/>
      </c>
      <c r="I537" s="10">
        <f>IF('Data Entry'!A537="","",'Data Entry'!I537)</f>
        <v/>
      </c>
      <c r="J537" s="12">
        <f>IF('Data Entry'!A537="","",IF('Data Entry'!D537&lt;&gt;"",'Data Entry'!D537,'Data Entry'!E537))</f>
        <v/>
      </c>
      <c r="K537" s="10">
        <f>IF('Data Entry'!A537="","",IFERROR(SUMIFS($H$5:$H$2001,$J$5:$J$2001,$J537,$B$5:$B$2001,$B537,$A$5:$A$2001,(MAXIFS($A$5:$A$2001,$J$5:$J$2001,$J537,$B$5:$B$2001,$B537,$A$5:$A$2001,"&lt;"&amp;$A537))),""))</f>
        <v/>
      </c>
      <c r="L537" s="14">
        <f>IF(OR('Data Entry'!A537="",$K537=""),"",$H537-$K537)</f>
        <v/>
      </c>
      <c r="M537" s="15">
        <f>IF(OR('Data Entry'!A537="",$K537="",$K537=0),"",$L537/$K537)</f>
        <v/>
      </c>
      <c r="N537" s="12">
        <f>IF('Data Entry'!A537="","",IF($L537="","New item",IF($L537&gt;0,"UP",IF($L537&lt;0,"down","same"))))</f>
        <v/>
      </c>
    </row>
    <row r="538">
      <c r="A538" s="11">
        <f>IF('Data Entry'!A538="","",'Data Entry'!A538)</f>
        <v/>
      </c>
      <c r="B538" s="12">
        <f>IF('Data Entry'!A538="","",'Data Entry'!B538)</f>
        <v/>
      </c>
      <c r="C538" s="12">
        <f>IF('Data Entry'!A538="","",'Data Entry'!C538)</f>
        <v/>
      </c>
      <c r="D538" s="12">
        <f>IF('Data Entry'!A538="","",'Data Entry'!D538)</f>
        <v/>
      </c>
      <c r="E538" s="12">
        <f>IF('Data Entry'!A538="","",'Data Entry'!E538)</f>
        <v/>
      </c>
      <c r="F538" s="12">
        <f>IF('Data Entry'!A538="","",'Data Entry'!F538)</f>
        <v/>
      </c>
      <c r="G538" s="13">
        <f>IF('Data Entry'!A538="","",'Data Entry'!G538)</f>
        <v/>
      </c>
      <c r="H538" s="10">
        <f>IF('Data Entry'!A538="","",'Data Entry'!H538)</f>
        <v/>
      </c>
      <c r="I538" s="10">
        <f>IF('Data Entry'!A538="","",'Data Entry'!I538)</f>
        <v/>
      </c>
      <c r="J538" s="12">
        <f>IF('Data Entry'!A538="","",IF('Data Entry'!D538&lt;&gt;"",'Data Entry'!D538,'Data Entry'!E538))</f>
        <v/>
      </c>
      <c r="K538" s="10">
        <f>IF('Data Entry'!A538="","",IFERROR(SUMIFS($H$5:$H$2001,$J$5:$J$2001,$J538,$B$5:$B$2001,$B538,$A$5:$A$2001,(MAXIFS($A$5:$A$2001,$J$5:$J$2001,$J538,$B$5:$B$2001,$B538,$A$5:$A$2001,"&lt;"&amp;$A538))),""))</f>
        <v/>
      </c>
      <c r="L538" s="14">
        <f>IF(OR('Data Entry'!A538="",$K538=""),"",$H538-$K538)</f>
        <v/>
      </c>
      <c r="M538" s="15">
        <f>IF(OR('Data Entry'!A538="",$K538="",$K538=0),"",$L538/$K538)</f>
        <v/>
      </c>
      <c r="N538" s="12">
        <f>IF('Data Entry'!A538="","",IF($L538="","New item",IF($L538&gt;0,"UP",IF($L538&lt;0,"down","same"))))</f>
        <v/>
      </c>
    </row>
    <row r="539">
      <c r="A539" s="11">
        <f>IF('Data Entry'!A539="","",'Data Entry'!A539)</f>
        <v/>
      </c>
      <c r="B539" s="12">
        <f>IF('Data Entry'!A539="","",'Data Entry'!B539)</f>
        <v/>
      </c>
      <c r="C539" s="12">
        <f>IF('Data Entry'!A539="","",'Data Entry'!C539)</f>
        <v/>
      </c>
      <c r="D539" s="12">
        <f>IF('Data Entry'!A539="","",'Data Entry'!D539)</f>
        <v/>
      </c>
      <c r="E539" s="12">
        <f>IF('Data Entry'!A539="","",'Data Entry'!E539)</f>
        <v/>
      </c>
      <c r="F539" s="12">
        <f>IF('Data Entry'!A539="","",'Data Entry'!F539)</f>
        <v/>
      </c>
      <c r="G539" s="13">
        <f>IF('Data Entry'!A539="","",'Data Entry'!G539)</f>
        <v/>
      </c>
      <c r="H539" s="10">
        <f>IF('Data Entry'!A539="","",'Data Entry'!H539)</f>
        <v/>
      </c>
      <c r="I539" s="10">
        <f>IF('Data Entry'!A539="","",'Data Entry'!I539)</f>
        <v/>
      </c>
      <c r="J539" s="12">
        <f>IF('Data Entry'!A539="","",IF('Data Entry'!D539&lt;&gt;"",'Data Entry'!D539,'Data Entry'!E539))</f>
        <v/>
      </c>
      <c r="K539" s="10">
        <f>IF('Data Entry'!A539="","",IFERROR(SUMIFS($H$5:$H$2001,$J$5:$J$2001,$J539,$B$5:$B$2001,$B539,$A$5:$A$2001,(MAXIFS($A$5:$A$2001,$J$5:$J$2001,$J539,$B$5:$B$2001,$B539,$A$5:$A$2001,"&lt;"&amp;$A539))),""))</f>
        <v/>
      </c>
      <c r="L539" s="14">
        <f>IF(OR('Data Entry'!A539="",$K539=""),"",$H539-$K539)</f>
        <v/>
      </c>
      <c r="M539" s="15">
        <f>IF(OR('Data Entry'!A539="",$K539="",$K539=0),"",$L539/$K539)</f>
        <v/>
      </c>
      <c r="N539" s="12">
        <f>IF('Data Entry'!A539="","",IF($L539="","New item",IF($L539&gt;0,"UP",IF($L539&lt;0,"down","same"))))</f>
        <v/>
      </c>
    </row>
    <row r="540">
      <c r="A540" s="11">
        <f>IF('Data Entry'!A540="","",'Data Entry'!A540)</f>
        <v/>
      </c>
      <c r="B540" s="12">
        <f>IF('Data Entry'!A540="","",'Data Entry'!B540)</f>
        <v/>
      </c>
      <c r="C540" s="12">
        <f>IF('Data Entry'!A540="","",'Data Entry'!C540)</f>
        <v/>
      </c>
      <c r="D540" s="12">
        <f>IF('Data Entry'!A540="","",'Data Entry'!D540)</f>
        <v/>
      </c>
      <c r="E540" s="12">
        <f>IF('Data Entry'!A540="","",'Data Entry'!E540)</f>
        <v/>
      </c>
      <c r="F540" s="12">
        <f>IF('Data Entry'!A540="","",'Data Entry'!F540)</f>
        <v/>
      </c>
      <c r="G540" s="13">
        <f>IF('Data Entry'!A540="","",'Data Entry'!G540)</f>
        <v/>
      </c>
      <c r="H540" s="10">
        <f>IF('Data Entry'!A540="","",'Data Entry'!H540)</f>
        <v/>
      </c>
      <c r="I540" s="10">
        <f>IF('Data Entry'!A540="","",'Data Entry'!I540)</f>
        <v/>
      </c>
      <c r="J540" s="12">
        <f>IF('Data Entry'!A540="","",IF('Data Entry'!D540&lt;&gt;"",'Data Entry'!D540,'Data Entry'!E540))</f>
        <v/>
      </c>
      <c r="K540" s="10">
        <f>IF('Data Entry'!A540="","",IFERROR(SUMIFS($H$5:$H$2001,$J$5:$J$2001,$J540,$B$5:$B$2001,$B540,$A$5:$A$2001,(MAXIFS($A$5:$A$2001,$J$5:$J$2001,$J540,$B$5:$B$2001,$B540,$A$5:$A$2001,"&lt;"&amp;$A540))),""))</f>
        <v/>
      </c>
      <c r="L540" s="14">
        <f>IF(OR('Data Entry'!A540="",$K540=""),"",$H540-$K540)</f>
        <v/>
      </c>
      <c r="M540" s="15">
        <f>IF(OR('Data Entry'!A540="",$K540="",$K540=0),"",$L540/$K540)</f>
        <v/>
      </c>
      <c r="N540" s="12">
        <f>IF('Data Entry'!A540="","",IF($L540="","New item",IF($L540&gt;0,"UP",IF($L540&lt;0,"down","same"))))</f>
        <v/>
      </c>
    </row>
    <row r="541">
      <c r="A541" s="11">
        <f>IF('Data Entry'!A541="","",'Data Entry'!A541)</f>
        <v/>
      </c>
      <c r="B541" s="12">
        <f>IF('Data Entry'!A541="","",'Data Entry'!B541)</f>
        <v/>
      </c>
      <c r="C541" s="12">
        <f>IF('Data Entry'!A541="","",'Data Entry'!C541)</f>
        <v/>
      </c>
      <c r="D541" s="12">
        <f>IF('Data Entry'!A541="","",'Data Entry'!D541)</f>
        <v/>
      </c>
      <c r="E541" s="12">
        <f>IF('Data Entry'!A541="","",'Data Entry'!E541)</f>
        <v/>
      </c>
      <c r="F541" s="12">
        <f>IF('Data Entry'!A541="","",'Data Entry'!F541)</f>
        <v/>
      </c>
      <c r="G541" s="13">
        <f>IF('Data Entry'!A541="","",'Data Entry'!G541)</f>
        <v/>
      </c>
      <c r="H541" s="10">
        <f>IF('Data Entry'!A541="","",'Data Entry'!H541)</f>
        <v/>
      </c>
      <c r="I541" s="10">
        <f>IF('Data Entry'!A541="","",'Data Entry'!I541)</f>
        <v/>
      </c>
      <c r="J541" s="12">
        <f>IF('Data Entry'!A541="","",IF('Data Entry'!D541&lt;&gt;"",'Data Entry'!D541,'Data Entry'!E541))</f>
        <v/>
      </c>
      <c r="K541" s="10">
        <f>IF('Data Entry'!A541="","",IFERROR(SUMIFS($H$5:$H$2001,$J$5:$J$2001,$J541,$B$5:$B$2001,$B541,$A$5:$A$2001,(MAXIFS($A$5:$A$2001,$J$5:$J$2001,$J541,$B$5:$B$2001,$B541,$A$5:$A$2001,"&lt;"&amp;$A541))),""))</f>
        <v/>
      </c>
      <c r="L541" s="14">
        <f>IF(OR('Data Entry'!A541="",$K541=""),"",$H541-$K541)</f>
        <v/>
      </c>
      <c r="M541" s="15">
        <f>IF(OR('Data Entry'!A541="",$K541="",$K541=0),"",$L541/$K541)</f>
        <v/>
      </c>
      <c r="N541" s="12">
        <f>IF('Data Entry'!A541="","",IF($L541="","New item",IF($L541&gt;0,"UP",IF($L541&lt;0,"down","same"))))</f>
        <v/>
      </c>
    </row>
    <row r="542">
      <c r="A542" s="11">
        <f>IF('Data Entry'!A542="","",'Data Entry'!A542)</f>
        <v/>
      </c>
      <c r="B542" s="12">
        <f>IF('Data Entry'!A542="","",'Data Entry'!B542)</f>
        <v/>
      </c>
      <c r="C542" s="12">
        <f>IF('Data Entry'!A542="","",'Data Entry'!C542)</f>
        <v/>
      </c>
      <c r="D542" s="12">
        <f>IF('Data Entry'!A542="","",'Data Entry'!D542)</f>
        <v/>
      </c>
      <c r="E542" s="12">
        <f>IF('Data Entry'!A542="","",'Data Entry'!E542)</f>
        <v/>
      </c>
      <c r="F542" s="12">
        <f>IF('Data Entry'!A542="","",'Data Entry'!F542)</f>
        <v/>
      </c>
      <c r="G542" s="13">
        <f>IF('Data Entry'!A542="","",'Data Entry'!G542)</f>
        <v/>
      </c>
      <c r="H542" s="10">
        <f>IF('Data Entry'!A542="","",'Data Entry'!H542)</f>
        <v/>
      </c>
      <c r="I542" s="10">
        <f>IF('Data Entry'!A542="","",'Data Entry'!I542)</f>
        <v/>
      </c>
      <c r="J542" s="12">
        <f>IF('Data Entry'!A542="","",IF('Data Entry'!D542&lt;&gt;"",'Data Entry'!D542,'Data Entry'!E542))</f>
        <v/>
      </c>
      <c r="K542" s="10">
        <f>IF('Data Entry'!A542="","",IFERROR(SUMIFS($H$5:$H$2001,$J$5:$J$2001,$J542,$B$5:$B$2001,$B542,$A$5:$A$2001,(MAXIFS($A$5:$A$2001,$J$5:$J$2001,$J542,$B$5:$B$2001,$B542,$A$5:$A$2001,"&lt;"&amp;$A542))),""))</f>
        <v/>
      </c>
      <c r="L542" s="14">
        <f>IF(OR('Data Entry'!A542="",$K542=""),"",$H542-$K542)</f>
        <v/>
      </c>
      <c r="M542" s="15">
        <f>IF(OR('Data Entry'!A542="",$K542="",$K542=0),"",$L542/$K542)</f>
        <v/>
      </c>
      <c r="N542" s="12">
        <f>IF('Data Entry'!A542="","",IF($L542="","New item",IF($L542&gt;0,"UP",IF($L542&lt;0,"down","same"))))</f>
        <v/>
      </c>
    </row>
    <row r="543">
      <c r="A543" s="11">
        <f>IF('Data Entry'!A543="","",'Data Entry'!A543)</f>
        <v/>
      </c>
      <c r="B543" s="12">
        <f>IF('Data Entry'!A543="","",'Data Entry'!B543)</f>
        <v/>
      </c>
      <c r="C543" s="12">
        <f>IF('Data Entry'!A543="","",'Data Entry'!C543)</f>
        <v/>
      </c>
      <c r="D543" s="12">
        <f>IF('Data Entry'!A543="","",'Data Entry'!D543)</f>
        <v/>
      </c>
      <c r="E543" s="12">
        <f>IF('Data Entry'!A543="","",'Data Entry'!E543)</f>
        <v/>
      </c>
      <c r="F543" s="12">
        <f>IF('Data Entry'!A543="","",'Data Entry'!F543)</f>
        <v/>
      </c>
      <c r="G543" s="13">
        <f>IF('Data Entry'!A543="","",'Data Entry'!G543)</f>
        <v/>
      </c>
      <c r="H543" s="10">
        <f>IF('Data Entry'!A543="","",'Data Entry'!H543)</f>
        <v/>
      </c>
      <c r="I543" s="10">
        <f>IF('Data Entry'!A543="","",'Data Entry'!I543)</f>
        <v/>
      </c>
      <c r="J543" s="12">
        <f>IF('Data Entry'!A543="","",IF('Data Entry'!D543&lt;&gt;"",'Data Entry'!D543,'Data Entry'!E543))</f>
        <v/>
      </c>
      <c r="K543" s="10">
        <f>IF('Data Entry'!A543="","",IFERROR(SUMIFS($H$5:$H$2001,$J$5:$J$2001,$J543,$B$5:$B$2001,$B543,$A$5:$A$2001,(MAXIFS($A$5:$A$2001,$J$5:$J$2001,$J543,$B$5:$B$2001,$B543,$A$5:$A$2001,"&lt;"&amp;$A543))),""))</f>
        <v/>
      </c>
      <c r="L543" s="14">
        <f>IF(OR('Data Entry'!A543="",$K543=""),"",$H543-$K543)</f>
        <v/>
      </c>
      <c r="M543" s="15">
        <f>IF(OR('Data Entry'!A543="",$K543="",$K543=0),"",$L543/$K543)</f>
        <v/>
      </c>
      <c r="N543" s="12">
        <f>IF('Data Entry'!A543="","",IF($L543="","New item",IF($L543&gt;0,"UP",IF($L543&lt;0,"down","same"))))</f>
        <v/>
      </c>
    </row>
    <row r="544">
      <c r="A544" s="11">
        <f>IF('Data Entry'!A544="","",'Data Entry'!A544)</f>
        <v/>
      </c>
      <c r="B544" s="12">
        <f>IF('Data Entry'!A544="","",'Data Entry'!B544)</f>
        <v/>
      </c>
      <c r="C544" s="12">
        <f>IF('Data Entry'!A544="","",'Data Entry'!C544)</f>
        <v/>
      </c>
      <c r="D544" s="12">
        <f>IF('Data Entry'!A544="","",'Data Entry'!D544)</f>
        <v/>
      </c>
      <c r="E544" s="12">
        <f>IF('Data Entry'!A544="","",'Data Entry'!E544)</f>
        <v/>
      </c>
      <c r="F544" s="12">
        <f>IF('Data Entry'!A544="","",'Data Entry'!F544)</f>
        <v/>
      </c>
      <c r="G544" s="13">
        <f>IF('Data Entry'!A544="","",'Data Entry'!G544)</f>
        <v/>
      </c>
      <c r="H544" s="10">
        <f>IF('Data Entry'!A544="","",'Data Entry'!H544)</f>
        <v/>
      </c>
      <c r="I544" s="10">
        <f>IF('Data Entry'!A544="","",'Data Entry'!I544)</f>
        <v/>
      </c>
      <c r="J544" s="12">
        <f>IF('Data Entry'!A544="","",IF('Data Entry'!D544&lt;&gt;"",'Data Entry'!D544,'Data Entry'!E544))</f>
        <v/>
      </c>
      <c r="K544" s="10">
        <f>IF('Data Entry'!A544="","",IFERROR(SUMIFS($H$5:$H$2001,$J$5:$J$2001,$J544,$B$5:$B$2001,$B544,$A$5:$A$2001,(MAXIFS($A$5:$A$2001,$J$5:$J$2001,$J544,$B$5:$B$2001,$B544,$A$5:$A$2001,"&lt;"&amp;$A544))),""))</f>
        <v/>
      </c>
      <c r="L544" s="14">
        <f>IF(OR('Data Entry'!A544="",$K544=""),"",$H544-$K544)</f>
        <v/>
      </c>
      <c r="M544" s="15">
        <f>IF(OR('Data Entry'!A544="",$K544="",$K544=0),"",$L544/$K544)</f>
        <v/>
      </c>
      <c r="N544" s="12">
        <f>IF('Data Entry'!A544="","",IF($L544="","New item",IF($L544&gt;0,"UP",IF($L544&lt;0,"down","same"))))</f>
        <v/>
      </c>
    </row>
    <row r="545">
      <c r="A545" s="11">
        <f>IF('Data Entry'!A545="","",'Data Entry'!A545)</f>
        <v/>
      </c>
      <c r="B545" s="12">
        <f>IF('Data Entry'!A545="","",'Data Entry'!B545)</f>
        <v/>
      </c>
      <c r="C545" s="12">
        <f>IF('Data Entry'!A545="","",'Data Entry'!C545)</f>
        <v/>
      </c>
      <c r="D545" s="12">
        <f>IF('Data Entry'!A545="","",'Data Entry'!D545)</f>
        <v/>
      </c>
      <c r="E545" s="12">
        <f>IF('Data Entry'!A545="","",'Data Entry'!E545)</f>
        <v/>
      </c>
      <c r="F545" s="12">
        <f>IF('Data Entry'!A545="","",'Data Entry'!F545)</f>
        <v/>
      </c>
      <c r="G545" s="13">
        <f>IF('Data Entry'!A545="","",'Data Entry'!G545)</f>
        <v/>
      </c>
      <c r="H545" s="10">
        <f>IF('Data Entry'!A545="","",'Data Entry'!H545)</f>
        <v/>
      </c>
      <c r="I545" s="10">
        <f>IF('Data Entry'!A545="","",'Data Entry'!I545)</f>
        <v/>
      </c>
      <c r="J545" s="12">
        <f>IF('Data Entry'!A545="","",IF('Data Entry'!D545&lt;&gt;"",'Data Entry'!D545,'Data Entry'!E545))</f>
        <v/>
      </c>
      <c r="K545" s="10">
        <f>IF('Data Entry'!A545="","",IFERROR(SUMIFS($H$5:$H$2001,$J$5:$J$2001,$J545,$B$5:$B$2001,$B545,$A$5:$A$2001,(MAXIFS($A$5:$A$2001,$J$5:$J$2001,$J545,$B$5:$B$2001,$B545,$A$5:$A$2001,"&lt;"&amp;$A545))),""))</f>
        <v/>
      </c>
      <c r="L545" s="14">
        <f>IF(OR('Data Entry'!A545="",$K545=""),"",$H545-$K545)</f>
        <v/>
      </c>
      <c r="M545" s="15">
        <f>IF(OR('Data Entry'!A545="",$K545="",$K545=0),"",$L545/$K545)</f>
        <v/>
      </c>
      <c r="N545" s="12">
        <f>IF('Data Entry'!A545="","",IF($L545="","New item",IF($L545&gt;0,"UP",IF($L545&lt;0,"down","same"))))</f>
        <v/>
      </c>
    </row>
    <row r="546">
      <c r="A546" s="11">
        <f>IF('Data Entry'!A546="","",'Data Entry'!A546)</f>
        <v/>
      </c>
      <c r="B546" s="12">
        <f>IF('Data Entry'!A546="","",'Data Entry'!B546)</f>
        <v/>
      </c>
      <c r="C546" s="12">
        <f>IF('Data Entry'!A546="","",'Data Entry'!C546)</f>
        <v/>
      </c>
      <c r="D546" s="12">
        <f>IF('Data Entry'!A546="","",'Data Entry'!D546)</f>
        <v/>
      </c>
      <c r="E546" s="12">
        <f>IF('Data Entry'!A546="","",'Data Entry'!E546)</f>
        <v/>
      </c>
      <c r="F546" s="12">
        <f>IF('Data Entry'!A546="","",'Data Entry'!F546)</f>
        <v/>
      </c>
      <c r="G546" s="13">
        <f>IF('Data Entry'!A546="","",'Data Entry'!G546)</f>
        <v/>
      </c>
      <c r="H546" s="10">
        <f>IF('Data Entry'!A546="","",'Data Entry'!H546)</f>
        <v/>
      </c>
      <c r="I546" s="10">
        <f>IF('Data Entry'!A546="","",'Data Entry'!I546)</f>
        <v/>
      </c>
      <c r="J546" s="12">
        <f>IF('Data Entry'!A546="","",IF('Data Entry'!D546&lt;&gt;"",'Data Entry'!D546,'Data Entry'!E546))</f>
        <v/>
      </c>
      <c r="K546" s="10">
        <f>IF('Data Entry'!A546="","",IFERROR(SUMIFS($H$5:$H$2001,$J$5:$J$2001,$J546,$B$5:$B$2001,$B546,$A$5:$A$2001,(MAXIFS($A$5:$A$2001,$J$5:$J$2001,$J546,$B$5:$B$2001,$B546,$A$5:$A$2001,"&lt;"&amp;$A546))),""))</f>
        <v/>
      </c>
      <c r="L546" s="14">
        <f>IF(OR('Data Entry'!A546="",$K546=""),"",$H546-$K546)</f>
        <v/>
      </c>
      <c r="M546" s="15">
        <f>IF(OR('Data Entry'!A546="",$K546="",$K546=0),"",$L546/$K546)</f>
        <v/>
      </c>
      <c r="N546" s="12">
        <f>IF('Data Entry'!A546="","",IF($L546="","New item",IF($L546&gt;0,"UP",IF($L546&lt;0,"down","same"))))</f>
        <v/>
      </c>
    </row>
    <row r="547">
      <c r="A547" s="11">
        <f>IF('Data Entry'!A547="","",'Data Entry'!A547)</f>
        <v/>
      </c>
      <c r="B547" s="12">
        <f>IF('Data Entry'!A547="","",'Data Entry'!B547)</f>
        <v/>
      </c>
      <c r="C547" s="12">
        <f>IF('Data Entry'!A547="","",'Data Entry'!C547)</f>
        <v/>
      </c>
      <c r="D547" s="12">
        <f>IF('Data Entry'!A547="","",'Data Entry'!D547)</f>
        <v/>
      </c>
      <c r="E547" s="12">
        <f>IF('Data Entry'!A547="","",'Data Entry'!E547)</f>
        <v/>
      </c>
      <c r="F547" s="12">
        <f>IF('Data Entry'!A547="","",'Data Entry'!F547)</f>
        <v/>
      </c>
      <c r="G547" s="13">
        <f>IF('Data Entry'!A547="","",'Data Entry'!G547)</f>
        <v/>
      </c>
      <c r="H547" s="10">
        <f>IF('Data Entry'!A547="","",'Data Entry'!H547)</f>
        <v/>
      </c>
      <c r="I547" s="10">
        <f>IF('Data Entry'!A547="","",'Data Entry'!I547)</f>
        <v/>
      </c>
      <c r="J547" s="12">
        <f>IF('Data Entry'!A547="","",IF('Data Entry'!D547&lt;&gt;"",'Data Entry'!D547,'Data Entry'!E547))</f>
        <v/>
      </c>
      <c r="K547" s="10">
        <f>IF('Data Entry'!A547="","",IFERROR(SUMIFS($H$5:$H$2001,$J$5:$J$2001,$J547,$B$5:$B$2001,$B547,$A$5:$A$2001,(MAXIFS($A$5:$A$2001,$J$5:$J$2001,$J547,$B$5:$B$2001,$B547,$A$5:$A$2001,"&lt;"&amp;$A547))),""))</f>
        <v/>
      </c>
      <c r="L547" s="14">
        <f>IF(OR('Data Entry'!A547="",$K547=""),"",$H547-$K547)</f>
        <v/>
      </c>
      <c r="M547" s="15">
        <f>IF(OR('Data Entry'!A547="",$K547="",$K547=0),"",$L547/$K547)</f>
        <v/>
      </c>
      <c r="N547" s="12">
        <f>IF('Data Entry'!A547="","",IF($L547="","New item",IF($L547&gt;0,"UP",IF($L547&lt;0,"down","same"))))</f>
        <v/>
      </c>
    </row>
    <row r="548">
      <c r="A548" s="11">
        <f>IF('Data Entry'!A548="","",'Data Entry'!A548)</f>
        <v/>
      </c>
      <c r="B548" s="12">
        <f>IF('Data Entry'!A548="","",'Data Entry'!B548)</f>
        <v/>
      </c>
      <c r="C548" s="12">
        <f>IF('Data Entry'!A548="","",'Data Entry'!C548)</f>
        <v/>
      </c>
      <c r="D548" s="12">
        <f>IF('Data Entry'!A548="","",'Data Entry'!D548)</f>
        <v/>
      </c>
      <c r="E548" s="12">
        <f>IF('Data Entry'!A548="","",'Data Entry'!E548)</f>
        <v/>
      </c>
      <c r="F548" s="12">
        <f>IF('Data Entry'!A548="","",'Data Entry'!F548)</f>
        <v/>
      </c>
      <c r="G548" s="13">
        <f>IF('Data Entry'!A548="","",'Data Entry'!G548)</f>
        <v/>
      </c>
      <c r="H548" s="10">
        <f>IF('Data Entry'!A548="","",'Data Entry'!H548)</f>
        <v/>
      </c>
      <c r="I548" s="10">
        <f>IF('Data Entry'!A548="","",'Data Entry'!I548)</f>
        <v/>
      </c>
      <c r="J548" s="12">
        <f>IF('Data Entry'!A548="","",IF('Data Entry'!D548&lt;&gt;"",'Data Entry'!D548,'Data Entry'!E548))</f>
        <v/>
      </c>
      <c r="K548" s="10">
        <f>IF('Data Entry'!A548="","",IFERROR(SUMIFS($H$5:$H$2001,$J$5:$J$2001,$J548,$B$5:$B$2001,$B548,$A$5:$A$2001,(MAXIFS($A$5:$A$2001,$J$5:$J$2001,$J548,$B$5:$B$2001,$B548,$A$5:$A$2001,"&lt;"&amp;$A548))),""))</f>
        <v/>
      </c>
      <c r="L548" s="14">
        <f>IF(OR('Data Entry'!A548="",$K548=""),"",$H548-$K548)</f>
        <v/>
      </c>
      <c r="M548" s="15">
        <f>IF(OR('Data Entry'!A548="",$K548="",$K548=0),"",$L548/$K548)</f>
        <v/>
      </c>
      <c r="N548" s="12">
        <f>IF('Data Entry'!A548="","",IF($L548="","New item",IF($L548&gt;0,"UP",IF($L548&lt;0,"down","same"))))</f>
        <v/>
      </c>
    </row>
    <row r="549">
      <c r="A549" s="11">
        <f>IF('Data Entry'!A549="","",'Data Entry'!A549)</f>
        <v/>
      </c>
      <c r="B549" s="12">
        <f>IF('Data Entry'!A549="","",'Data Entry'!B549)</f>
        <v/>
      </c>
      <c r="C549" s="12">
        <f>IF('Data Entry'!A549="","",'Data Entry'!C549)</f>
        <v/>
      </c>
      <c r="D549" s="12">
        <f>IF('Data Entry'!A549="","",'Data Entry'!D549)</f>
        <v/>
      </c>
      <c r="E549" s="12">
        <f>IF('Data Entry'!A549="","",'Data Entry'!E549)</f>
        <v/>
      </c>
      <c r="F549" s="12">
        <f>IF('Data Entry'!A549="","",'Data Entry'!F549)</f>
        <v/>
      </c>
      <c r="G549" s="13">
        <f>IF('Data Entry'!A549="","",'Data Entry'!G549)</f>
        <v/>
      </c>
      <c r="H549" s="10">
        <f>IF('Data Entry'!A549="","",'Data Entry'!H549)</f>
        <v/>
      </c>
      <c r="I549" s="10">
        <f>IF('Data Entry'!A549="","",'Data Entry'!I549)</f>
        <v/>
      </c>
      <c r="J549" s="12">
        <f>IF('Data Entry'!A549="","",IF('Data Entry'!D549&lt;&gt;"",'Data Entry'!D549,'Data Entry'!E549))</f>
        <v/>
      </c>
      <c r="K549" s="10">
        <f>IF('Data Entry'!A549="","",IFERROR(SUMIFS($H$5:$H$2001,$J$5:$J$2001,$J549,$B$5:$B$2001,$B549,$A$5:$A$2001,(MAXIFS($A$5:$A$2001,$J$5:$J$2001,$J549,$B$5:$B$2001,$B549,$A$5:$A$2001,"&lt;"&amp;$A549))),""))</f>
        <v/>
      </c>
      <c r="L549" s="14">
        <f>IF(OR('Data Entry'!A549="",$K549=""),"",$H549-$K549)</f>
        <v/>
      </c>
      <c r="M549" s="15">
        <f>IF(OR('Data Entry'!A549="",$K549="",$K549=0),"",$L549/$K549)</f>
        <v/>
      </c>
      <c r="N549" s="12">
        <f>IF('Data Entry'!A549="","",IF($L549="","New item",IF($L549&gt;0,"UP",IF($L549&lt;0,"down","same"))))</f>
        <v/>
      </c>
    </row>
    <row r="550">
      <c r="A550" s="11">
        <f>IF('Data Entry'!A550="","",'Data Entry'!A550)</f>
        <v/>
      </c>
      <c r="B550" s="12">
        <f>IF('Data Entry'!A550="","",'Data Entry'!B550)</f>
        <v/>
      </c>
      <c r="C550" s="12">
        <f>IF('Data Entry'!A550="","",'Data Entry'!C550)</f>
        <v/>
      </c>
      <c r="D550" s="12">
        <f>IF('Data Entry'!A550="","",'Data Entry'!D550)</f>
        <v/>
      </c>
      <c r="E550" s="12">
        <f>IF('Data Entry'!A550="","",'Data Entry'!E550)</f>
        <v/>
      </c>
      <c r="F550" s="12">
        <f>IF('Data Entry'!A550="","",'Data Entry'!F550)</f>
        <v/>
      </c>
      <c r="G550" s="13">
        <f>IF('Data Entry'!A550="","",'Data Entry'!G550)</f>
        <v/>
      </c>
      <c r="H550" s="10">
        <f>IF('Data Entry'!A550="","",'Data Entry'!H550)</f>
        <v/>
      </c>
      <c r="I550" s="10">
        <f>IF('Data Entry'!A550="","",'Data Entry'!I550)</f>
        <v/>
      </c>
      <c r="J550" s="12">
        <f>IF('Data Entry'!A550="","",IF('Data Entry'!D550&lt;&gt;"",'Data Entry'!D550,'Data Entry'!E550))</f>
        <v/>
      </c>
      <c r="K550" s="10">
        <f>IF('Data Entry'!A550="","",IFERROR(SUMIFS($H$5:$H$2001,$J$5:$J$2001,$J550,$B$5:$B$2001,$B550,$A$5:$A$2001,(MAXIFS($A$5:$A$2001,$J$5:$J$2001,$J550,$B$5:$B$2001,$B550,$A$5:$A$2001,"&lt;"&amp;$A550))),""))</f>
        <v/>
      </c>
      <c r="L550" s="14">
        <f>IF(OR('Data Entry'!A550="",$K550=""),"",$H550-$K550)</f>
        <v/>
      </c>
      <c r="M550" s="15">
        <f>IF(OR('Data Entry'!A550="",$K550="",$K550=0),"",$L550/$K550)</f>
        <v/>
      </c>
      <c r="N550" s="12">
        <f>IF('Data Entry'!A550="","",IF($L550="","New item",IF($L550&gt;0,"UP",IF($L550&lt;0,"down","same"))))</f>
        <v/>
      </c>
    </row>
    <row r="551">
      <c r="A551" s="11">
        <f>IF('Data Entry'!A551="","",'Data Entry'!A551)</f>
        <v/>
      </c>
      <c r="B551" s="12">
        <f>IF('Data Entry'!A551="","",'Data Entry'!B551)</f>
        <v/>
      </c>
      <c r="C551" s="12">
        <f>IF('Data Entry'!A551="","",'Data Entry'!C551)</f>
        <v/>
      </c>
      <c r="D551" s="12">
        <f>IF('Data Entry'!A551="","",'Data Entry'!D551)</f>
        <v/>
      </c>
      <c r="E551" s="12">
        <f>IF('Data Entry'!A551="","",'Data Entry'!E551)</f>
        <v/>
      </c>
      <c r="F551" s="12">
        <f>IF('Data Entry'!A551="","",'Data Entry'!F551)</f>
        <v/>
      </c>
      <c r="G551" s="13">
        <f>IF('Data Entry'!A551="","",'Data Entry'!G551)</f>
        <v/>
      </c>
      <c r="H551" s="10">
        <f>IF('Data Entry'!A551="","",'Data Entry'!H551)</f>
        <v/>
      </c>
      <c r="I551" s="10">
        <f>IF('Data Entry'!A551="","",'Data Entry'!I551)</f>
        <v/>
      </c>
      <c r="J551" s="12">
        <f>IF('Data Entry'!A551="","",IF('Data Entry'!D551&lt;&gt;"",'Data Entry'!D551,'Data Entry'!E551))</f>
        <v/>
      </c>
      <c r="K551" s="10">
        <f>IF('Data Entry'!A551="","",IFERROR(SUMIFS($H$5:$H$2001,$J$5:$J$2001,$J551,$B$5:$B$2001,$B551,$A$5:$A$2001,(MAXIFS($A$5:$A$2001,$J$5:$J$2001,$J551,$B$5:$B$2001,$B551,$A$5:$A$2001,"&lt;"&amp;$A551))),""))</f>
        <v/>
      </c>
      <c r="L551" s="14">
        <f>IF(OR('Data Entry'!A551="",$K551=""),"",$H551-$K551)</f>
        <v/>
      </c>
      <c r="M551" s="15">
        <f>IF(OR('Data Entry'!A551="",$K551="",$K551=0),"",$L551/$K551)</f>
        <v/>
      </c>
      <c r="N551" s="12">
        <f>IF('Data Entry'!A551="","",IF($L551="","New item",IF($L551&gt;0,"UP",IF($L551&lt;0,"down","same"))))</f>
        <v/>
      </c>
    </row>
    <row r="552">
      <c r="A552" s="11">
        <f>IF('Data Entry'!A552="","",'Data Entry'!A552)</f>
        <v/>
      </c>
      <c r="B552" s="12">
        <f>IF('Data Entry'!A552="","",'Data Entry'!B552)</f>
        <v/>
      </c>
      <c r="C552" s="12">
        <f>IF('Data Entry'!A552="","",'Data Entry'!C552)</f>
        <v/>
      </c>
      <c r="D552" s="12">
        <f>IF('Data Entry'!A552="","",'Data Entry'!D552)</f>
        <v/>
      </c>
      <c r="E552" s="12">
        <f>IF('Data Entry'!A552="","",'Data Entry'!E552)</f>
        <v/>
      </c>
      <c r="F552" s="12">
        <f>IF('Data Entry'!A552="","",'Data Entry'!F552)</f>
        <v/>
      </c>
      <c r="G552" s="13">
        <f>IF('Data Entry'!A552="","",'Data Entry'!G552)</f>
        <v/>
      </c>
      <c r="H552" s="10">
        <f>IF('Data Entry'!A552="","",'Data Entry'!H552)</f>
        <v/>
      </c>
      <c r="I552" s="10">
        <f>IF('Data Entry'!A552="","",'Data Entry'!I552)</f>
        <v/>
      </c>
      <c r="J552" s="12">
        <f>IF('Data Entry'!A552="","",IF('Data Entry'!D552&lt;&gt;"",'Data Entry'!D552,'Data Entry'!E552))</f>
        <v/>
      </c>
      <c r="K552" s="10">
        <f>IF('Data Entry'!A552="","",IFERROR(SUMIFS($H$5:$H$2001,$J$5:$J$2001,$J552,$B$5:$B$2001,$B552,$A$5:$A$2001,(MAXIFS($A$5:$A$2001,$J$5:$J$2001,$J552,$B$5:$B$2001,$B552,$A$5:$A$2001,"&lt;"&amp;$A552))),""))</f>
        <v/>
      </c>
      <c r="L552" s="14">
        <f>IF(OR('Data Entry'!A552="",$K552=""),"",$H552-$K552)</f>
        <v/>
      </c>
      <c r="M552" s="15">
        <f>IF(OR('Data Entry'!A552="",$K552="",$K552=0),"",$L552/$K552)</f>
        <v/>
      </c>
      <c r="N552" s="12">
        <f>IF('Data Entry'!A552="","",IF($L552="","New item",IF($L552&gt;0,"UP",IF($L552&lt;0,"down","same"))))</f>
        <v/>
      </c>
    </row>
    <row r="553">
      <c r="A553" s="11">
        <f>IF('Data Entry'!A553="","",'Data Entry'!A553)</f>
        <v/>
      </c>
      <c r="B553" s="12">
        <f>IF('Data Entry'!A553="","",'Data Entry'!B553)</f>
        <v/>
      </c>
      <c r="C553" s="12">
        <f>IF('Data Entry'!A553="","",'Data Entry'!C553)</f>
        <v/>
      </c>
      <c r="D553" s="12">
        <f>IF('Data Entry'!A553="","",'Data Entry'!D553)</f>
        <v/>
      </c>
      <c r="E553" s="12">
        <f>IF('Data Entry'!A553="","",'Data Entry'!E553)</f>
        <v/>
      </c>
      <c r="F553" s="12">
        <f>IF('Data Entry'!A553="","",'Data Entry'!F553)</f>
        <v/>
      </c>
      <c r="G553" s="13">
        <f>IF('Data Entry'!A553="","",'Data Entry'!G553)</f>
        <v/>
      </c>
      <c r="H553" s="10">
        <f>IF('Data Entry'!A553="","",'Data Entry'!H553)</f>
        <v/>
      </c>
      <c r="I553" s="10">
        <f>IF('Data Entry'!A553="","",'Data Entry'!I553)</f>
        <v/>
      </c>
      <c r="J553" s="12">
        <f>IF('Data Entry'!A553="","",IF('Data Entry'!D553&lt;&gt;"",'Data Entry'!D553,'Data Entry'!E553))</f>
        <v/>
      </c>
      <c r="K553" s="10">
        <f>IF('Data Entry'!A553="","",IFERROR(SUMIFS($H$5:$H$2001,$J$5:$J$2001,$J553,$B$5:$B$2001,$B553,$A$5:$A$2001,(MAXIFS($A$5:$A$2001,$J$5:$J$2001,$J553,$B$5:$B$2001,$B553,$A$5:$A$2001,"&lt;"&amp;$A553))),""))</f>
        <v/>
      </c>
      <c r="L553" s="14">
        <f>IF(OR('Data Entry'!A553="",$K553=""),"",$H553-$K553)</f>
        <v/>
      </c>
      <c r="M553" s="15">
        <f>IF(OR('Data Entry'!A553="",$K553="",$K553=0),"",$L553/$K553)</f>
        <v/>
      </c>
      <c r="N553" s="12">
        <f>IF('Data Entry'!A553="","",IF($L553="","New item",IF($L553&gt;0,"UP",IF($L553&lt;0,"down","same"))))</f>
        <v/>
      </c>
    </row>
    <row r="554">
      <c r="A554" s="11">
        <f>IF('Data Entry'!A554="","",'Data Entry'!A554)</f>
        <v/>
      </c>
      <c r="B554" s="12">
        <f>IF('Data Entry'!A554="","",'Data Entry'!B554)</f>
        <v/>
      </c>
      <c r="C554" s="12">
        <f>IF('Data Entry'!A554="","",'Data Entry'!C554)</f>
        <v/>
      </c>
      <c r="D554" s="12">
        <f>IF('Data Entry'!A554="","",'Data Entry'!D554)</f>
        <v/>
      </c>
      <c r="E554" s="12">
        <f>IF('Data Entry'!A554="","",'Data Entry'!E554)</f>
        <v/>
      </c>
      <c r="F554" s="12">
        <f>IF('Data Entry'!A554="","",'Data Entry'!F554)</f>
        <v/>
      </c>
      <c r="G554" s="13">
        <f>IF('Data Entry'!A554="","",'Data Entry'!G554)</f>
        <v/>
      </c>
      <c r="H554" s="10">
        <f>IF('Data Entry'!A554="","",'Data Entry'!H554)</f>
        <v/>
      </c>
      <c r="I554" s="10">
        <f>IF('Data Entry'!A554="","",'Data Entry'!I554)</f>
        <v/>
      </c>
      <c r="J554" s="12">
        <f>IF('Data Entry'!A554="","",IF('Data Entry'!D554&lt;&gt;"",'Data Entry'!D554,'Data Entry'!E554))</f>
        <v/>
      </c>
      <c r="K554" s="10">
        <f>IF('Data Entry'!A554="","",IFERROR(SUMIFS($H$5:$H$2001,$J$5:$J$2001,$J554,$B$5:$B$2001,$B554,$A$5:$A$2001,(MAXIFS($A$5:$A$2001,$J$5:$J$2001,$J554,$B$5:$B$2001,$B554,$A$5:$A$2001,"&lt;"&amp;$A554))),""))</f>
        <v/>
      </c>
      <c r="L554" s="14">
        <f>IF(OR('Data Entry'!A554="",$K554=""),"",$H554-$K554)</f>
        <v/>
      </c>
      <c r="M554" s="15">
        <f>IF(OR('Data Entry'!A554="",$K554="",$K554=0),"",$L554/$K554)</f>
        <v/>
      </c>
      <c r="N554" s="12">
        <f>IF('Data Entry'!A554="","",IF($L554="","New item",IF($L554&gt;0,"UP",IF($L554&lt;0,"down","same"))))</f>
        <v/>
      </c>
    </row>
    <row r="555">
      <c r="A555" s="11">
        <f>IF('Data Entry'!A555="","",'Data Entry'!A555)</f>
        <v/>
      </c>
      <c r="B555" s="12">
        <f>IF('Data Entry'!A555="","",'Data Entry'!B555)</f>
        <v/>
      </c>
      <c r="C555" s="12">
        <f>IF('Data Entry'!A555="","",'Data Entry'!C555)</f>
        <v/>
      </c>
      <c r="D555" s="12">
        <f>IF('Data Entry'!A555="","",'Data Entry'!D555)</f>
        <v/>
      </c>
      <c r="E555" s="12">
        <f>IF('Data Entry'!A555="","",'Data Entry'!E555)</f>
        <v/>
      </c>
      <c r="F555" s="12">
        <f>IF('Data Entry'!A555="","",'Data Entry'!F555)</f>
        <v/>
      </c>
      <c r="G555" s="13">
        <f>IF('Data Entry'!A555="","",'Data Entry'!G555)</f>
        <v/>
      </c>
      <c r="H555" s="10">
        <f>IF('Data Entry'!A555="","",'Data Entry'!H555)</f>
        <v/>
      </c>
      <c r="I555" s="10">
        <f>IF('Data Entry'!A555="","",'Data Entry'!I555)</f>
        <v/>
      </c>
      <c r="J555" s="12">
        <f>IF('Data Entry'!A555="","",IF('Data Entry'!D555&lt;&gt;"",'Data Entry'!D555,'Data Entry'!E555))</f>
        <v/>
      </c>
      <c r="K555" s="10">
        <f>IF('Data Entry'!A555="","",IFERROR(SUMIFS($H$5:$H$2001,$J$5:$J$2001,$J555,$B$5:$B$2001,$B555,$A$5:$A$2001,(MAXIFS($A$5:$A$2001,$J$5:$J$2001,$J555,$B$5:$B$2001,$B555,$A$5:$A$2001,"&lt;"&amp;$A555))),""))</f>
        <v/>
      </c>
      <c r="L555" s="14">
        <f>IF(OR('Data Entry'!A555="",$K555=""),"",$H555-$K555)</f>
        <v/>
      </c>
      <c r="M555" s="15">
        <f>IF(OR('Data Entry'!A555="",$K555="",$K555=0),"",$L555/$K555)</f>
        <v/>
      </c>
      <c r="N555" s="12">
        <f>IF('Data Entry'!A555="","",IF($L555="","New item",IF($L555&gt;0,"UP",IF($L555&lt;0,"down","same"))))</f>
        <v/>
      </c>
    </row>
    <row r="556">
      <c r="A556" s="11">
        <f>IF('Data Entry'!A556="","",'Data Entry'!A556)</f>
        <v/>
      </c>
      <c r="B556" s="12">
        <f>IF('Data Entry'!A556="","",'Data Entry'!B556)</f>
        <v/>
      </c>
      <c r="C556" s="12">
        <f>IF('Data Entry'!A556="","",'Data Entry'!C556)</f>
        <v/>
      </c>
      <c r="D556" s="12">
        <f>IF('Data Entry'!A556="","",'Data Entry'!D556)</f>
        <v/>
      </c>
      <c r="E556" s="12">
        <f>IF('Data Entry'!A556="","",'Data Entry'!E556)</f>
        <v/>
      </c>
      <c r="F556" s="12">
        <f>IF('Data Entry'!A556="","",'Data Entry'!F556)</f>
        <v/>
      </c>
      <c r="G556" s="13">
        <f>IF('Data Entry'!A556="","",'Data Entry'!G556)</f>
        <v/>
      </c>
      <c r="H556" s="10">
        <f>IF('Data Entry'!A556="","",'Data Entry'!H556)</f>
        <v/>
      </c>
      <c r="I556" s="10">
        <f>IF('Data Entry'!A556="","",'Data Entry'!I556)</f>
        <v/>
      </c>
      <c r="J556" s="12">
        <f>IF('Data Entry'!A556="","",IF('Data Entry'!D556&lt;&gt;"",'Data Entry'!D556,'Data Entry'!E556))</f>
        <v/>
      </c>
      <c r="K556" s="10">
        <f>IF('Data Entry'!A556="","",IFERROR(SUMIFS($H$5:$H$2001,$J$5:$J$2001,$J556,$B$5:$B$2001,$B556,$A$5:$A$2001,(MAXIFS($A$5:$A$2001,$J$5:$J$2001,$J556,$B$5:$B$2001,$B556,$A$5:$A$2001,"&lt;"&amp;$A556))),""))</f>
        <v/>
      </c>
      <c r="L556" s="14">
        <f>IF(OR('Data Entry'!A556="",$K556=""),"",$H556-$K556)</f>
        <v/>
      </c>
      <c r="M556" s="15">
        <f>IF(OR('Data Entry'!A556="",$K556="",$K556=0),"",$L556/$K556)</f>
        <v/>
      </c>
      <c r="N556" s="12">
        <f>IF('Data Entry'!A556="","",IF($L556="","New item",IF($L556&gt;0,"UP",IF($L556&lt;0,"down","same"))))</f>
        <v/>
      </c>
    </row>
    <row r="557">
      <c r="A557" s="11">
        <f>IF('Data Entry'!A557="","",'Data Entry'!A557)</f>
        <v/>
      </c>
      <c r="B557" s="12">
        <f>IF('Data Entry'!A557="","",'Data Entry'!B557)</f>
        <v/>
      </c>
      <c r="C557" s="12">
        <f>IF('Data Entry'!A557="","",'Data Entry'!C557)</f>
        <v/>
      </c>
      <c r="D557" s="12">
        <f>IF('Data Entry'!A557="","",'Data Entry'!D557)</f>
        <v/>
      </c>
      <c r="E557" s="12">
        <f>IF('Data Entry'!A557="","",'Data Entry'!E557)</f>
        <v/>
      </c>
      <c r="F557" s="12">
        <f>IF('Data Entry'!A557="","",'Data Entry'!F557)</f>
        <v/>
      </c>
      <c r="G557" s="13">
        <f>IF('Data Entry'!A557="","",'Data Entry'!G557)</f>
        <v/>
      </c>
      <c r="H557" s="10">
        <f>IF('Data Entry'!A557="","",'Data Entry'!H557)</f>
        <v/>
      </c>
      <c r="I557" s="10">
        <f>IF('Data Entry'!A557="","",'Data Entry'!I557)</f>
        <v/>
      </c>
      <c r="J557" s="12">
        <f>IF('Data Entry'!A557="","",IF('Data Entry'!D557&lt;&gt;"",'Data Entry'!D557,'Data Entry'!E557))</f>
        <v/>
      </c>
      <c r="K557" s="10">
        <f>IF('Data Entry'!A557="","",IFERROR(SUMIFS($H$5:$H$2001,$J$5:$J$2001,$J557,$B$5:$B$2001,$B557,$A$5:$A$2001,(MAXIFS($A$5:$A$2001,$J$5:$J$2001,$J557,$B$5:$B$2001,$B557,$A$5:$A$2001,"&lt;"&amp;$A557))),""))</f>
        <v/>
      </c>
      <c r="L557" s="14">
        <f>IF(OR('Data Entry'!A557="",$K557=""),"",$H557-$K557)</f>
        <v/>
      </c>
      <c r="M557" s="15">
        <f>IF(OR('Data Entry'!A557="",$K557="",$K557=0),"",$L557/$K557)</f>
        <v/>
      </c>
      <c r="N557" s="12">
        <f>IF('Data Entry'!A557="","",IF($L557="","New item",IF($L557&gt;0,"UP",IF($L557&lt;0,"down","same"))))</f>
        <v/>
      </c>
    </row>
    <row r="558">
      <c r="A558" s="11">
        <f>IF('Data Entry'!A558="","",'Data Entry'!A558)</f>
        <v/>
      </c>
      <c r="B558" s="12">
        <f>IF('Data Entry'!A558="","",'Data Entry'!B558)</f>
        <v/>
      </c>
      <c r="C558" s="12">
        <f>IF('Data Entry'!A558="","",'Data Entry'!C558)</f>
        <v/>
      </c>
      <c r="D558" s="12">
        <f>IF('Data Entry'!A558="","",'Data Entry'!D558)</f>
        <v/>
      </c>
      <c r="E558" s="12">
        <f>IF('Data Entry'!A558="","",'Data Entry'!E558)</f>
        <v/>
      </c>
      <c r="F558" s="12">
        <f>IF('Data Entry'!A558="","",'Data Entry'!F558)</f>
        <v/>
      </c>
      <c r="G558" s="13">
        <f>IF('Data Entry'!A558="","",'Data Entry'!G558)</f>
        <v/>
      </c>
      <c r="H558" s="10">
        <f>IF('Data Entry'!A558="","",'Data Entry'!H558)</f>
        <v/>
      </c>
      <c r="I558" s="10">
        <f>IF('Data Entry'!A558="","",'Data Entry'!I558)</f>
        <v/>
      </c>
      <c r="J558" s="12">
        <f>IF('Data Entry'!A558="","",IF('Data Entry'!D558&lt;&gt;"",'Data Entry'!D558,'Data Entry'!E558))</f>
        <v/>
      </c>
      <c r="K558" s="10">
        <f>IF('Data Entry'!A558="","",IFERROR(SUMIFS($H$5:$H$2001,$J$5:$J$2001,$J558,$B$5:$B$2001,$B558,$A$5:$A$2001,(MAXIFS($A$5:$A$2001,$J$5:$J$2001,$J558,$B$5:$B$2001,$B558,$A$5:$A$2001,"&lt;"&amp;$A558))),""))</f>
        <v/>
      </c>
      <c r="L558" s="14">
        <f>IF(OR('Data Entry'!A558="",$K558=""),"",$H558-$K558)</f>
        <v/>
      </c>
      <c r="M558" s="15">
        <f>IF(OR('Data Entry'!A558="",$K558="",$K558=0),"",$L558/$K558)</f>
        <v/>
      </c>
      <c r="N558" s="12">
        <f>IF('Data Entry'!A558="","",IF($L558="","New item",IF($L558&gt;0,"UP",IF($L558&lt;0,"down","same"))))</f>
        <v/>
      </c>
    </row>
    <row r="559">
      <c r="A559" s="11">
        <f>IF('Data Entry'!A559="","",'Data Entry'!A559)</f>
        <v/>
      </c>
      <c r="B559" s="12">
        <f>IF('Data Entry'!A559="","",'Data Entry'!B559)</f>
        <v/>
      </c>
      <c r="C559" s="12">
        <f>IF('Data Entry'!A559="","",'Data Entry'!C559)</f>
        <v/>
      </c>
      <c r="D559" s="12">
        <f>IF('Data Entry'!A559="","",'Data Entry'!D559)</f>
        <v/>
      </c>
      <c r="E559" s="12">
        <f>IF('Data Entry'!A559="","",'Data Entry'!E559)</f>
        <v/>
      </c>
      <c r="F559" s="12">
        <f>IF('Data Entry'!A559="","",'Data Entry'!F559)</f>
        <v/>
      </c>
      <c r="G559" s="13">
        <f>IF('Data Entry'!A559="","",'Data Entry'!G559)</f>
        <v/>
      </c>
      <c r="H559" s="10">
        <f>IF('Data Entry'!A559="","",'Data Entry'!H559)</f>
        <v/>
      </c>
      <c r="I559" s="10">
        <f>IF('Data Entry'!A559="","",'Data Entry'!I559)</f>
        <v/>
      </c>
      <c r="J559" s="12">
        <f>IF('Data Entry'!A559="","",IF('Data Entry'!D559&lt;&gt;"",'Data Entry'!D559,'Data Entry'!E559))</f>
        <v/>
      </c>
      <c r="K559" s="10">
        <f>IF('Data Entry'!A559="","",IFERROR(SUMIFS($H$5:$H$2001,$J$5:$J$2001,$J559,$B$5:$B$2001,$B559,$A$5:$A$2001,(MAXIFS($A$5:$A$2001,$J$5:$J$2001,$J559,$B$5:$B$2001,$B559,$A$5:$A$2001,"&lt;"&amp;$A559))),""))</f>
        <v/>
      </c>
      <c r="L559" s="14">
        <f>IF(OR('Data Entry'!A559="",$K559=""),"",$H559-$K559)</f>
        <v/>
      </c>
      <c r="M559" s="15">
        <f>IF(OR('Data Entry'!A559="",$K559="",$K559=0),"",$L559/$K559)</f>
        <v/>
      </c>
      <c r="N559" s="12">
        <f>IF('Data Entry'!A559="","",IF($L559="","New item",IF($L559&gt;0,"UP",IF($L559&lt;0,"down","same"))))</f>
        <v/>
      </c>
    </row>
    <row r="560">
      <c r="A560" s="11">
        <f>IF('Data Entry'!A560="","",'Data Entry'!A560)</f>
        <v/>
      </c>
      <c r="B560" s="12">
        <f>IF('Data Entry'!A560="","",'Data Entry'!B560)</f>
        <v/>
      </c>
      <c r="C560" s="12">
        <f>IF('Data Entry'!A560="","",'Data Entry'!C560)</f>
        <v/>
      </c>
      <c r="D560" s="12">
        <f>IF('Data Entry'!A560="","",'Data Entry'!D560)</f>
        <v/>
      </c>
      <c r="E560" s="12">
        <f>IF('Data Entry'!A560="","",'Data Entry'!E560)</f>
        <v/>
      </c>
      <c r="F560" s="12">
        <f>IF('Data Entry'!A560="","",'Data Entry'!F560)</f>
        <v/>
      </c>
      <c r="G560" s="13">
        <f>IF('Data Entry'!A560="","",'Data Entry'!G560)</f>
        <v/>
      </c>
      <c r="H560" s="10">
        <f>IF('Data Entry'!A560="","",'Data Entry'!H560)</f>
        <v/>
      </c>
      <c r="I560" s="10">
        <f>IF('Data Entry'!A560="","",'Data Entry'!I560)</f>
        <v/>
      </c>
      <c r="J560" s="12">
        <f>IF('Data Entry'!A560="","",IF('Data Entry'!D560&lt;&gt;"",'Data Entry'!D560,'Data Entry'!E560))</f>
        <v/>
      </c>
      <c r="K560" s="10">
        <f>IF('Data Entry'!A560="","",IFERROR(SUMIFS($H$5:$H$2001,$J$5:$J$2001,$J560,$B$5:$B$2001,$B560,$A$5:$A$2001,(MAXIFS($A$5:$A$2001,$J$5:$J$2001,$J560,$B$5:$B$2001,$B560,$A$5:$A$2001,"&lt;"&amp;$A560))),""))</f>
        <v/>
      </c>
      <c r="L560" s="14">
        <f>IF(OR('Data Entry'!A560="",$K560=""),"",$H560-$K560)</f>
        <v/>
      </c>
      <c r="M560" s="15">
        <f>IF(OR('Data Entry'!A560="",$K560="",$K560=0),"",$L560/$K560)</f>
        <v/>
      </c>
      <c r="N560" s="12">
        <f>IF('Data Entry'!A560="","",IF($L560="","New item",IF($L560&gt;0,"UP",IF($L560&lt;0,"down","same"))))</f>
        <v/>
      </c>
    </row>
    <row r="561">
      <c r="A561" s="11">
        <f>IF('Data Entry'!A561="","",'Data Entry'!A561)</f>
        <v/>
      </c>
      <c r="B561" s="12">
        <f>IF('Data Entry'!A561="","",'Data Entry'!B561)</f>
        <v/>
      </c>
      <c r="C561" s="12">
        <f>IF('Data Entry'!A561="","",'Data Entry'!C561)</f>
        <v/>
      </c>
      <c r="D561" s="12">
        <f>IF('Data Entry'!A561="","",'Data Entry'!D561)</f>
        <v/>
      </c>
      <c r="E561" s="12">
        <f>IF('Data Entry'!A561="","",'Data Entry'!E561)</f>
        <v/>
      </c>
      <c r="F561" s="12">
        <f>IF('Data Entry'!A561="","",'Data Entry'!F561)</f>
        <v/>
      </c>
      <c r="G561" s="13">
        <f>IF('Data Entry'!A561="","",'Data Entry'!G561)</f>
        <v/>
      </c>
      <c r="H561" s="10">
        <f>IF('Data Entry'!A561="","",'Data Entry'!H561)</f>
        <v/>
      </c>
      <c r="I561" s="10">
        <f>IF('Data Entry'!A561="","",'Data Entry'!I561)</f>
        <v/>
      </c>
      <c r="J561" s="12">
        <f>IF('Data Entry'!A561="","",IF('Data Entry'!D561&lt;&gt;"",'Data Entry'!D561,'Data Entry'!E561))</f>
        <v/>
      </c>
      <c r="K561" s="10">
        <f>IF('Data Entry'!A561="","",IFERROR(SUMIFS($H$5:$H$2001,$J$5:$J$2001,$J561,$B$5:$B$2001,$B561,$A$5:$A$2001,(MAXIFS($A$5:$A$2001,$J$5:$J$2001,$J561,$B$5:$B$2001,$B561,$A$5:$A$2001,"&lt;"&amp;$A561))),""))</f>
        <v/>
      </c>
      <c r="L561" s="14">
        <f>IF(OR('Data Entry'!A561="",$K561=""),"",$H561-$K561)</f>
        <v/>
      </c>
      <c r="M561" s="15">
        <f>IF(OR('Data Entry'!A561="",$K561="",$K561=0),"",$L561/$K561)</f>
        <v/>
      </c>
      <c r="N561" s="12">
        <f>IF('Data Entry'!A561="","",IF($L561="","New item",IF($L561&gt;0,"UP",IF($L561&lt;0,"down","same"))))</f>
        <v/>
      </c>
    </row>
    <row r="562">
      <c r="A562" s="11">
        <f>IF('Data Entry'!A562="","",'Data Entry'!A562)</f>
        <v/>
      </c>
      <c r="B562" s="12">
        <f>IF('Data Entry'!A562="","",'Data Entry'!B562)</f>
        <v/>
      </c>
      <c r="C562" s="12">
        <f>IF('Data Entry'!A562="","",'Data Entry'!C562)</f>
        <v/>
      </c>
      <c r="D562" s="12">
        <f>IF('Data Entry'!A562="","",'Data Entry'!D562)</f>
        <v/>
      </c>
      <c r="E562" s="12">
        <f>IF('Data Entry'!A562="","",'Data Entry'!E562)</f>
        <v/>
      </c>
      <c r="F562" s="12">
        <f>IF('Data Entry'!A562="","",'Data Entry'!F562)</f>
        <v/>
      </c>
      <c r="G562" s="13">
        <f>IF('Data Entry'!A562="","",'Data Entry'!G562)</f>
        <v/>
      </c>
      <c r="H562" s="10">
        <f>IF('Data Entry'!A562="","",'Data Entry'!H562)</f>
        <v/>
      </c>
      <c r="I562" s="10">
        <f>IF('Data Entry'!A562="","",'Data Entry'!I562)</f>
        <v/>
      </c>
      <c r="J562" s="12">
        <f>IF('Data Entry'!A562="","",IF('Data Entry'!D562&lt;&gt;"",'Data Entry'!D562,'Data Entry'!E562))</f>
        <v/>
      </c>
      <c r="K562" s="10">
        <f>IF('Data Entry'!A562="","",IFERROR(SUMIFS($H$5:$H$2001,$J$5:$J$2001,$J562,$B$5:$B$2001,$B562,$A$5:$A$2001,(MAXIFS($A$5:$A$2001,$J$5:$J$2001,$J562,$B$5:$B$2001,$B562,$A$5:$A$2001,"&lt;"&amp;$A562))),""))</f>
        <v/>
      </c>
      <c r="L562" s="14">
        <f>IF(OR('Data Entry'!A562="",$K562=""),"",$H562-$K562)</f>
        <v/>
      </c>
      <c r="M562" s="15">
        <f>IF(OR('Data Entry'!A562="",$K562="",$K562=0),"",$L562/$K562)</f>
        <v/>
      </c>
      <c r="N562" s="12">
        <f>IF('Data Entry'!A562="","",IF($L562="","New item",IF($L562&gt;0,"UP",IF($L562&lt;0,"down","same"))))</f>
        <v/>
      </c>
    </row>
    <row r="563">
      <c r="A563" s="11">
        <f>IF('Data Entry'!A563="","",'Data Entry'!A563)</f>
        <v/>
      </c>
      <c r="B563" s="12">
        <f>IF('Data Entry'!A563="","",'Data Entry'!B563)</f>
        <v/>
      </c>
      <c r="C563" s="12">
        <f>IF('Data Entry'!A563="","",'Data Entry'!C563)</f>
        <v/>
      </c>
      <c r="D563" s="12">
        <f>IF('Data Entry'!A563="","",'Data Entry'!D563)</f>
        <v/>
      </c>
      <c r="E563" s="12">
        <f>IF('Data Entry'!A563="","",'Data Entry'!E563)</f>
        <v/>
      </c>
      <c r="F563" s="12">
        <f>IF('Data Entry'!A563="","",'Data Entry'!F563)</f>
        <v/>
      </c>
      <c r="G563" s="13">
        <f>IF('Data Entry'!A563="","",'Data Entry'!G563)</f>
        <v/>
      </c>
      <c r="H563" s="10">
        <f>IF('Data Entry'!A563="","",'Data Entry'!H563)</f>
        <v/>
      </c>
      <c r="I563" s="10">
        <f>IF('Data Entry'!A563="","",'Data Entry'!I563)</f>
        <v/>
      </c>
      <c r="J563" s="12">
        <f>IF('Data Entry'!A563="","",IF('Data Entry'!D563&lt;&gt;"",'Data Entry'!D563,'Data Entry'!E563))</f>
        <v/>
      </c>
      <c r="K563" s="10">
        <f>IF('Data Entry'!A563="","",IFERROR(SUMIFS($H$5:$H$2001,$J$5:$J$2001,$J563,$B$5:$B$2001,$B563,$A$5:$A$2001,(MAXIFS($A$5:$A$2001,$J$5:$J$2001,$J563,$B$5:$B$2001,$B563,$A$5:$A$2001,"&lt;"&amp;$A563))),""))</f>
        <v/>
      </c>
      <c r="L563" s="14">
        <f>IF(OR('Data Entry'!A563="",$K563=""),"",$H563-$K563)</f>
        <v/>
      </c>
      <c r="M563" s="15">
        <f>IF(OR('Data Entry'!A563="",$K563="",$K563=0),"",$L563/$K563)</f>
        <v/>
      </c>
      <c r="N563" s="12">
        <f>IF('Data Entry'!A563="","",IF($L563="","New item",IF($L563&gt;0,"UP",IF($L563&lt;0,"down","same"))))</f>
        <v/>
      </c>
    </row>
    <row r="564">
      <c r="A564" s="11">
        <f>IF('Data Entry'!A564="","",'Data Entry'!A564)</f>
        <v/>
      </c>
      <c r="B564" s="12">
        <f>IF('Data Entry'!A564="","",'Data Entry'!B564)</f>
        <v/>
      </c>
      <c r="C564" s="12">
        <f>IF('Data Entry'!A564="","",'Data Entry'!C564)</f>
        <v/>
      </c>
      <c r="D564" s="12">
        <f>IF('Data Entry'!A564="","",'Data Entry'!D564)</f>
        <v/>
      </c>
      <c r="E564" s="12">
        <f>IF('Data Entry'!A564="","",'Data Entry'!E564)</f>
        <v/>
      </c>
      <c r="F564" s="12">
        <f>IF('Data Entry'!A564="","",'Data Entry'!F564)</f>
        <v/>
      </c>
      <c r="G564" s="13">
        <f>IF('Data Entry'!A564="","",'Data Entry'!G564)</f>
        <v/>
      </c>
      <c r="H564" s="10">
        <f>IF('Data Entry'!A564="","",'Data Entry'!H564)</f>
        <v/>
      </c>
      <c r="I564" s="10">
        <f>IF('Data Entry'!A564="","",'Data Entry'!I564)</f>
        <v/>
      </c>
      <c r="J564" s="12">
        <f>IF('Data Entry'!A564="","",IF('Data Entry'!D564&lt;&gt;"",'Data Entry'!D564,'Data Entry'!E564))</f>
        <v/>
      </c>
      <c r="K564" s="10">
        <f>IF('Data Entry'!A564="","",IFERROR(SUMIFS($H$5:$H$2001,$J$5:$J$2001,$J564,$B$5:$B$2001,$B564,$A$5:$A$2001,(MAXIFS($A$5:$A$2001,$J$5:$J$2001,$J564,$B$5:$B$2001,$B564,$A$5:$A$2001,"&lt;"&amp;$A564))),""))</f>
        <v/>
      </c>
      <c r="L564" s="14">
        <f>IF(OR('Data Entry'!A564="",$K564=""),"",$H564-$K564)</f>
        <v/>
      </c>
      <c r="M564" s="15">
        <f>IF(OR('Data Entry'!A564="",$K564="",$K564=0),"",$L564/$K564)</f>
        <v/>
      </c>
      <c r="N564" s="12">
        <f>IF('Data Entry'!A564="","",IF($L564="","New item",IF($L564&gt;0,"UP",IF($L564&lt;0,"down","same"))))</f>
        <v/>
      </c>
    </row>
    <row r="565">
      <c r="A565" s="11">
        <f>IF('Data Entry'!A565="","",'Data Entry'!A565)</f>
        <v/>
      </c>
      <c r="B565" s="12">
        <f>IF('Data Entry'!A565="","",'Data Entry'!B565)</f>
        <v/>
      </c>
      <c r="C565" s="12">
        <f>IF('Data Entry'!A565="","",'Data Entry'!C565)</f>
        <v/>
      </c>
      <c r="D565" s="12">
        <f>IF('Data Entry'!A565="","",'Data Entry'!D565)</f>
        <v/>
      </c>
      <c r="E565" s="12">
        <f>IF('Data Entry'!A565="","",'Data Entry'!E565)</f>
        <v/>
      </c>
      <c r="F565" s="12">
        <f>IF('Data Entry'!A565="","",'Data Entry'!F565)</f>
        <v/>
      </c>
      <c r="G565" s="13">
        <f>IF('Data Entry'!A565="","",'Data Entry'!G565)</f>
        <v/>
      </c>
      <c r="H565" s="10">
        <f>IF('Data Entry'!A565="","",'Data Entry'!H565)</f>
        <v/>
      </c>
      <c r="I565" s="10">
        <f>IF('Data Entry'!A565="","",'Data Entry'!I565)</f>
        <v/>
      </c>
      <c r="J565" s="12">
        <f>IF('Data Entry'!A565="","",IF('Data Entry'!D565&lt;&gt;"",'Data Entry'!D565,'Data Entry'!E565))</f>
        <v/>
      </c>
      <c r="K565" s="10">
        <f>IF('Data Entry'!A565="","",IFERROR(SUMIFS($H$5:$H$2001,$J$5:$J$2001,$J565,$B$5:$B$2001,$B565,$A$5:$A$2001,(MAXIFS($A$5:$A$2001,$J$5:$J$2001,$J565,$B$5:$B$2001,$B565,$A$5:$A$2001,"&lt;"&amp;$A565))),""))</f>
        <v/>
      </c>
      <c r="L565" s="14">
        <f>IF(OR('Data Entry'!A565="",$K565=""),"",$H565-$K565)</f>
        <v/>
      </c>
      <c r="M565" s="15">
        <f>IF(OR('Data Entry'!A565="",$K565="",$K565=0),"",$L565/$K565)</f>
        <v/>
      </c>
      <c r="N565" s="12">
        <f>IF('Data Entry'!A565="","",IF($L565="","New item",IF($L565&gt;0,"UP",IF($L565&lt;0,"down","same"))))</f>
        <v/>
      </c>
    </row>
    <row r="566">
      <c r="A566" s="11">
        <f>IF('Data Entry'!A566="","",'Data Entry'!A566)</f>
        <v/>
      </c>
      <c r="B566" s="12">
        <f>IF('Data Entry'!A566="","",'Data Entry'!B566)</f>
        <v/>
      </c>
      <c r="C566" s="12">
        <f>IF('Data Entry'!A566="","",'Data Entry'!C566)</f>
        <v/>
      </c>
      <c r="D566" s="12">
        <f>IF('Data Entry'!A566="","",'Data Entry'!D566)</f>
        <v/>
      </c>
      <c r="E566" s="12">
        <f>IF('Data Entry'!A566="","",'Data Entry'!E566)</f>
        <v/>
      </c>
      <c r="F566" s="12">
        <f>IF('Data Entry'!A566="","",'Data Entry'!F566)</f>
        <v/>
      </c>
      <c r="G566" s="13">
        <f>IF('Data Entry'!A566="","",'Data Entry'!G566)</f>
        <v/>
      </c>
      <c r="H566" s="10">
        <f>IF('Data Entry'!A566="","",'Data Entry'!H566)</f>
        <v/>
      </c>
      <c r="I566" s="10">
        <f>IF('Data Entry'!A566="","",'Data Entry'!I566)</f>
        <v/>
      </c>
      <c r="J566" s="12">
        <f>IF('Data Entry'!A566="","",IF('Data Entry'!D566&lt;&gt;"",'Data Entry'!D566,'Data Entry'!E566))</f>
        <v/>
      </c>
      <c r="K566" s="10">
        <f>IF('Data Entry'!A566="","",IFERROR(SUMIFS($H$5:$H$2001,$J$5:$J$2001,$J566,$B$5:$B$2001,$B566,$A$5:$A$2001,(MAXIFS($A$5:$A$2001,$J$5:$J$2001,$J566,$B$5:$B$2001,$B566,$A$5:$A$2001,"&lt;"&amp;$A566))),""))</f>
        <v/>
      </c>
      <c r="L566" s="14">
        <f>IF(OR('Data Entry'!A566="",$K566=""),"",$H566-$K566)</f>
        <v/>
      </c>
      <c r="M566" s="15">
        <f>IF(OR('Data Entry'!A566="",$K566="",$K566=0),"",$L566/$K566)</f>
        <v/>
      </c>
      <c r="N566" s="12">
        <f>IF('Data Entry'!A566="","",IF($L566="","New item",IF($L566&gt;0,"UP",IF($L566&lt;0,"down","same"))))</f>
        <v/>
      </c>
    </row>
    <row r="567">
      <c r="A567" s="11">
        <f>IF('Data Entry'!A567="","",'Data Entry'!A567)</f>
        <v/>
      </c>
      <c r="B567" s="12">
        <f>IF('Data Entry'!A567="","",'Data Entry'!B567)</f>
        <v/>
      </c>
      <c r="C567" s="12">
        <f>IF('Data Entry'!A567="","",'Data Entry'!C567)</f>
        <v/>
      </c>
      <c r="D567" s="12">
        <f>IF('Data Entry'!A567="","",'Data Entry'!D567)</f>
        <v/>
      </c>
      <c r="E567" s="12">
        <f>IF('Data Entry'!A567="","",'Data Entry'!E567)</f>
        <v/>
      </c>
      <c r="F567" s="12">
        <f>IF('Data Entry'!A567="","",'Data Entry'!F567)</f>
        <v/>
      </c>
      <c r="G567" s="13">
        <f>IF('Data Entry'!A567="","",'Data Entry'!G567)</f>
        <v/>
      </c>
      <c r="H567" s="10">
        <f>IF('Data Entry'!A567="","",'Data Entry'!H567)</f>
        <v/>
      </c>
      <c r="I567" s="10">
        <f>IF('Data Entry'!A567="","",'Data Entry'!I567)</f>
        <v/>
      </c>
      <c r="J567" s="12">
        <f>IF('Data Entry'!A567="","",IF('Data Entry'!D567&lt;&gt;"",'Data Entry'!D567,'Data Entry'!E567))</f>
        <v/>
      </c>
      <c r="K567" s="10">
        <f>IF('Data Entry'!A567="","",IFERROR(SUMIFS($H$5:$H$2001,$J$5:$J$2001,$J567,$B$5:$B$2001,$B567,$A$5:$A$2001,(MAXIFS($A$5:$A$2001,$J$5:$J$2001,$J567,$B$5:$B$2001,$B567,$A$5:$A$2001,"&lt;"&amp;$A567))),""))</f>
        <v/>
      </c>
      <c r="L567" s="14">
        <f>IF(OR('Data Entry'!A567="",$K567=""),"",$H567-$K567)</f>
        <v/>
      </c>
      <c r="M567" s="15">
        <f>IF(OR('Data Entry'!A567="",$K567="",$K567=0),"",$L567/$K567)</f>
        <v/>
      </c>
      <c r="N567" s="12">
        <f>IF('Data Entry'!A567="","",IF($L567="","New item",IF($L567&gt;0,"UP",IF($L567&lt;0,"down","same"))))</f>
        <v/>
      </c>
    </row>
    <row r="568">
      <c r="A568" s="11">
        <f>IF('Data Entry'!A568="","",'Data Entry'!A568)</f>
        <v/>
      </c>
      <c r="B568" s="12">
        <f>IF('Data Entry'!A568="","",'Data Entry'!B568)</f>
        <v/>
      </c>
      <c r="C568" s="12">
        <f>IF('Data Entry'!A568="","",'Data Entry'!C568)</f>
        <v/>
      </c>
      <c r="D568" s="12">
        <f>IF('Data Entry'!A568="","",'Data Entry'!D568)</f>
        <v/>
      </c>
      <c r="E568" s="12">
        <f>IF('Data Entry'!A568="","",'Data Entry'!E568)</f>
        <v/>
      </c>
      <c r="F568" s="12">
        <f>IF('Data Entry'!A568="","",'Data Entry'!F568)</f>
        <v/>
      </c>
      <c r="G568" s="13">
        <f>IF('Data Entry'!A568="","",'Data Entry'!G568)</f>
        <v/>
      </c>
      <c r="H568" s="10">
        <f>IF('Data Entry'!A568="","",'Data Entry'!H568)</f>
        <v/>
      </c>
      <c r="I568" s="10">
        <f>IF('Data Entry'!A568="","",'Data Entry'!I568)</f>
        <v/>
      </c>
      <c r="J568" s="12">
        <f>IF('Data Entry'!A568="","",IF('Data Entry'!D568&lt;&gt;"",'Data Entry'!D568,'Data Entry'!E568))</f>
        <v/>
      </c>
      <c r="K568" s="10">
        <f>IF('Data Entry'!A568="","",IFERROR(SUMIFS($H$5:$H$2001,$J$5:$J$2001,$J568,$B$5:$B$2001,$B568,$A$5:$A$2001,(MAXIFS($A$5:$A$2001,$J$5:$J$2001,$J568,$B$5:$B$2001,$B568,$A$5:$A$2001,"&lt;"&amp;$A568))),""))</f>
        <v/>
      </c>
      <c r="L568" s="14">
        <f>IF(OR('Data Entry'!A568="",$K568=""),"",$H568-$K568)</f>
        <v/>
      </c>
      <c r="M568" s="15">
        <f>IF(OR('Data Entry'!A568="",$K568="",$K568=0),"",$L568/$K568)</f>
        <v/>
      </c>
      <c r="N568" s="12">
        <f>IF('Data Entry'!A568="","",IF($L568="","New item",IF($L568&gt;0,"UP",IF($L568&lt;0,"down","same"))))</f>
        <v/>
      </c>
    </row>
    <row r="569">
      <c r="A569" s="11">
        <f>IF('Data Entry'!A569="","",'Data Entry'!A569)</f>
        <v/>
      </c>
      <c r="B569" s="12">
        <f>IF('Data Entry'!A569="","",'Data Entry'!B569)</f>
        <v/>
      </c>
      <c r="C569" s="12">
        <f>IF('Data Entry'!A569="","",'Data Entry'!C569)</f>
        <v/>
      </c>
      <c r="D569" s="12">
        <f>IF('Data Entry'!A569="","",'Data Entry'!D569)</f>
        <v/>
      </c>
      <c r="E569" s="12">
        <f>IF('Data Entry'!A569="","",'Data Entry'!E569)</f>
        <v/>
      </c>
      <c r="F569" s="12">
        <f>IF('Data Entry'!A569="","",'Data Entry'!F569)</f>
        <v/>
      </c>
      <c r="G569" s="13">
        <f>IF('Data Entry'!A569="","",'Data Entry'!G569)</f>
        <v/>
      </c>
      <c r="H569" s="10">
        <f>IF('Data Entry'!A569="","",'Data Entry'!H569)</f>
        <v/>
      </c>
      <c r="I569" s="10">
        <f>IF('Data Entry'!A569="","",'Data Entry'!I569)</f>
        <v/>
      </c>
      <c r="J569" s="12">
        <f>IF('Data Entry'!A569="","",IF('Data Entry'!D569&lt;&gt;"",'Data Entry'!D569,'Data Entry'!E569))</f>
        <v/>
      </c>
      <c r="K569" s="10">
        <f>IF('Data Entry'!A569="","",IFERROR(SUMIFS($H$5:$H$2001,$J$5:$J$2001,$J569,$B$5:$B$2001,$B569,$A$5:$A$2001,(MAXIFS($A$5:$A$2001,$J$5:$J$2001,$J569,$B$5:$B$2001,$B569,$A$5:$A$2001,"&lt;"&amp;$A569))),""))</f>
        <v/>
      </c>
      <c r="L569" s="14">
        <f>IF(OR('Data Entry'!A569="",$K569=""),"",$H569-$K569)</f>
        <v/>
      </c>
      <c r="M569" s="15">
        <f>IF(OR('Data Entry'!A569="",$K569="",$K569=0),"",$L569/$K569)</f>
        <v/>
      </c>
      <c r="N569" s="12">
        <f>IF('Data Entry'!A569="","",IF($L569="","New item",IF($L569&gt;0,"UP",IF($L569&lt;0,"down","same"))))</f>
        <v/>
      </c>
    </row>
    <row r="570">
      <c r="A570" s="11">
        <f>IF('Data Entry'!A570="","",'Data Entry'!A570)</f>
        <v/>
      </c>
      <c r="B570" s="12">
        <f>IF('Data Entry'!A570="","",'Data Entry'!B570)</f>
        <v/>
      </c>
      <c r="C570" s="12">
        <f>IF('Data Entry'!A570="","",'Data Entry'!C570)</f>
        <v/>
      </c>
      <c r="D570" s="12">
        <f>IF('Data Entry'!A570="","",'Data Entry'!D570)</f>
        <v/>
      </c>
      <c r="E570" s="12">
        <f>IF('Data Entry'!A570="","",'Data Entry'!E570)</f>
        <v/>
      </c>
      <c r="F570" s="12">
        <f>IF('Data Entry'!A570="","",'Data Entry'!F570)</f>
        <v/>
      </c>
      <c r="G570" s="13">
        <f>IF('Data Entry'!A570="","",'Data Entry'!G570)</f>
        <v/>
      </c>
      <c r="H570" s="10">
        <f>IF('Data Entry'!A570="","",'Data Entry'!H570)</f>
        <v/>
      </c>
      <c r="I570" s="10">
        <f>IF('Data Entry'!A570="","",'Data Entry'!I570)</f>
        <v/>
      </c>
      <c r="J570" s="12">
        <f>IF('Data Entry'!A570="","",IF('Data Entry'!D570&lt;&gt;"",'Data Entry'!D570,'Data Entry'!E570))</f>
        <v/>
      </c>
      <c r="K570" s="10">
        <f>IF('Data Entry'!A570="","",IFERROR(SUMIFS($H$5:$H$2001,$J$5:$J$2001,$J570,$B$5:$B$2001,$B570,$A$5:$A$2001,(MAXIFS($A$5:$A$2001,$J$5:$J$2001,$J570,$B$5:$B$2001,$B570,$A$5:$A$2001,"&lt;"&amp;$A570))),""))</f>
        <v/>
      </c>
      <c r="L570" s="14">
        <f>IF(OR('Data Entry'!A570="",$K570=""),"",$H570-$K570)</f>
        <v/>
      </c>
      <c r="M570" s="15">
        <f>IF(OR('Data Entry'!A570="",$K570="",$K570=0),"",$L570/$K570)</f>
        <v/>
      </c>
      <c r="N570" s="12">
        <f>IF('Data Entry'!A570="","",IF($L570="","New item",IF($L570&gt;0,"UP",IF($L570&lt;0,"down","same"))))</f>
        <v/>
      </c>
    </row>
    <row r="571">
      <c r="A571" s="11">
        <f>IF('Data Entry'!A571="","",'Data Entry'!A571)</f>
        <v/>
      </c>
      <c r="B571" s="12">
        <f>IF('Data Entry'!A571="","",'Data Entry'!B571)</f>
        <v/>
      </c>
      <c r="C571" s="12">
        <f>IF('Data Entry'!A571="","",'Data Entry'!C571)</f>
        <v/>
      </c>
      <c r="D571" s="12">
        <f>IF('Data Entry'!A571="","",'Data Entry'!D571)</f>
        <v/>
      </c>
      <c r="E571" s="12">
        <f>IF('Data Entry'!A571="","",'Data Entry'!E571)</f>
        <v/>
      </c>
      <c r="F571" s="12">
        <f>IF('Data Entry'!A571="","",'Data Entry'!F571)</f>
        <v/>
      </c>
      <c r="G571" s="13">
        <f>IF('Data Entry'!A571="","",'Data Entry'!G571)</f>
        <v/>
      </c>
      <c r="H571" s="10">
        <f>IF('Data Entry'!A571="","",'Data Entry'!H571)</f>
        <v/>
      </c>
      <c r="I571" s="10">
        <f>IF('Data Entry'!A571="","",'Data Entry'!I571)</f>
        <v/>
      </c>
      <c r="J571" s="12">
        <f>IF('Data Entry'!A571="","",IF('Data Entry'!D571&lt;&gt;"",'Data Entry'!D571,'Data Entry'!E571))</f>
        <v/>
      </c>
      <c r="K571" s="10">
        <f>IF('Data Entry'!A571="","",IFERROR(SUMIFS($H$5:$H$2001,$J$5:$J$2001,$J571,$B$5:$B$2001,$B571,$A$5:$A$2001,(MAXIFS($A$5:$A$2001,$J$5:$J$2001,$J571,$B$5:$B$2001,$B571,$A$5:$A$2001,"&lt;"&amp;$A571))),""))</f>
        <v/>
      </c>
      <c r="L571" s="14">
        <f>IF(OR('Data Entry'!A571="",$K571=""),"",$H571-$K571)</f>
        <v/>
      </c>
      <c r="M571" s="15">
        <f>IF(OR('Data Entry'!A571="",$K571="",$K571=0),"",$L571/$K571)</f>
        <v/>
      </c>
      <c r="N571" s="12">
        <f>IF('Data Entry'!A571="","",IF($L571="","New item",IF($L571&gt;0,"UP",IF($L571&lt;0,"down","same"))))</f>
        <v/>
      </c>
    </row>
    <row r="572">
      <c r="A572" s="11">
        <f>IF('Data Entry'!A572="","",'Data Entry'!A572)</f>
        <v/>
      </c>
      <c r="B572" s="12">
        <f>IF('Data Entry'!A572="","",'Data Entry'!B572)</f>
        <v/>
      </c>
      <c r="C572" s="12">
        <f>IF('Data Entry'!A572="","",'Data Entry'!C572)</f>
        <v/>
      </c>
      <c r="D572" s="12">
        <f>IF('Data Entry'!A572="","",'Data Entry'!D572)</f>
        <v/>
      </c>
      <c r="E572" s="12">
        <f>IF('Data Entry'!A572="","",'Data Entry'!E572)</f>
        <v/>
      </c>
      <c r="F572" s="12">
        <f>IF('Data Entry'!A572="","",'Data Entry'!F572)</f>
        <v/>
      </c>
      <c r="G572" s="13">
        <f>IF('Data Entry'!A572="","",'Data Entry'!G572)</f>
        <v/>
      </c>
      <c r="H572" s="10">
        <f>IF('Data Entry'!A572="","",'Data Entry'!H572)</f>
        <v/>
      </c>
      <c r="I572" s="10">
        <f>IF('Data Entry'!A572="","",'Data Entry'!I572)</f>
        <v/>
      </c>
      <c r="J572" s="12">
        <f>IF('Data Entry'!A572="","",IF('Data Entry'!D572&lt;&gt;"",'Data Entry'!D572,'Data Entry'!E572))</f>
        <v/>
      </c>
      <c r="K572" s="10">
        <f>IF('Data Entry'!A572="","",IFERROR(SUMIFS($H$5:$H$2001,$J$5:$J$2001,$J572,$B$5:$B$2001,$B572,$A$5:$A$2001,(MAXIFS($A$5:$A$2001,$J$5:$J$2001,$J572,$B$5:$B$2001,$B572,$A$5:$A$2001,"&lt;"&amp;$A572))),""))</f>
        <v/>
      </c>
      <c r="L572" s="14">
        <f>IF(OR('Data Entry'!A572="",$K572=""),"",$H572-$K572)</f>
        <v/>
      </c>
      <c r="M572" s="15">
        <f>IF(OR('Data Entry'!A572="",$K572="",$K572=0),"",$L572/$K572)</f>
        <v/>
      </c>
      <c r="N572" s="12">
        <f>IF('Data Entry'!A572="","",IF($L572="","New item",IF($L572&gt;0,"UP",IF($L572&lt;0,"down","same"))))</f>
        <v/>
      </c>
    </row>
    <row r="573">
      <c r="A573" s="11">
        <f>IF('Data Entry'!A573="","",'Data Entry'!A573)</f>
        <v/>
      </c>
      <c r="B573" s="12">
        <f>IF('Data Entry'!A573="","",'Data Entry'!B573)</f>
        <v/>
      </c>
      <c r="C573" s="12">
        <f>IF('Data Entry'!A573="","",'Data Entry'!C573)</f>
        <v/>
      </c>
      <c r="D573" s="12">
        <f>IF('Data Entry'!A573="","",'Data Entry'!D573)</f>
        <v/>
      </c>
      <c r="E573" s="12">
        <f>IF('Data Entry'!A573="","",'Data Entry'!E573)</f>
        <v/>
      </c>
      <c r="F573" s="12">
        <f>IF('Data Entry'!A573="","",'Data Entry'!F573)</f>
        <v/>
      </c>
      <c r="G573" s="13">
        <f>IF('Data Entry'!A573="","",'Data Entry'!G573)</f>
        <v/>
      </c>
      <c r="H573" s="10">
        <f>IF('Data Entry'!A573="","",'Data Entry'!H573)</f>
        <v/>
      </c>
      <c r="I573" s="10">
        <f>IF('Data Entry'!A573="","",'Data Entry'!I573)</f>
        <v/>
      </c>
      <c r="J573" s="12">
        <f>IF('Data Entry'!A573="","",IF('Data Entry'!D573&lt;&gt;"",'Data Entry'!D573,'Data Entry'!E573))</f>
        <v/>
      </c>
      <c r="K573" s="10">
        <f>IF('Data Entry'!A573="","",IFERROR(SUMIFS($H$5:$H$2001,$J$5:$J$2001,$J573,$B$5:$B$2001,$B573,$A$5:$A$2001,(MAXIFS($A$5:$A$2001,$J$5:$J$2001,$J573,$B$5:$B$2001,$B573,$A$5:$A$2001,"&lt;"&amp;$A573))),""))</f>
        <v/>
      </c>
      <c r="L573" s="14">
        <f>IF(OR('Data Entry'!A573="",$K573=""),"",$H573-$K573)</f>
        <v/>
      </c>
      <c r="M573" s="15">
        <f>IF(OR('Data Entry'!A573="",$K573="",$K573=0),"",$L573/$K573)</f>
        <v/>
      </c>
      <c r="N573" s="12">
        <f>IF('Data Entry'!A573="","",IF($L573="","New item",IF($L573&gt;0,"UP",IF($L573&lt;0,"down","same"))))</f>
        <v/>
      </c>
    </row>
    <row r="574">
      <c r="A574" s="11">
        <f>IF('Data Entry'!A574="","",'Data Entry'!A574)</f>
        <v/>
      </c>
      <c r="B574" s="12">
        <f>IF('Data Entry'!A574="","",'Data Entry'!B574)</f>
        <v/>
      </c>
      <c r="C574" s="12">
        <f>IF('Data Entry'!A574="","",'Data Entry'!C574)</f>
        <v/>
      </c>
      <c r="D574" s="12">
        <f>IF('Data Entry'!A574="","",'Data Entry'!D574)</f>
        <v/>
      </c>
      <c r="E574" s="12">
        <f>IF('Data Entry'!A574="","",'Data Entry'!E574)</f>
        <v/>
      </c>
      <c r="F574" s="12">
        <f>IF('Data Entry'!A574="","",'Data Entry'!F574)</f>
        <v/>
      </c>
      <c r="G574" s="13">
        <f>IF('Data Entry'!A574="","",'Data Entry'!G574)</f>
        <v/>
      </c>
      <c r="H574" s="10">
        <f>IF('Data Entry'!A574="","",'Data Entry'!H574)</f>
        <v/>
      </c>
      <c r="I574" s="10">
        <f>IF('Data Entry'!A574="","",'Data Entry'!I574)</f>
        <v/>
      </c>
      <c r="J574" s="12">
        <f>IF('Data Entry'!A574="","",IF('Data Entry'!D574&lt;&gt;"",'Data Entry'!D574,'Data Entry'!E574))</f>
        <v/>
      </c>
      <c r="K574" s="10">
        <f>IF('Data Entry'!A574="","",IFERROR(SUMIFS($H$5:$H$2001,$J$5:$J$2001,$J574,$B$5:$B$2001,$B574,$A$5:$A$2001,(MAXIFS($A$5:$A$2001,$J$5:$J$2001,$J574,$B$5:$B$2001,$B574,$A$5:$A$2001,"&lt;"&amp;$A574))),""))</f>
        <v/>
      </c>
      <c r="L574" s="14">
        <f>IF(OR('Data Entry'!A574="",$K574=""),"",$H574-$K574)</f>
        <v/>
      </c>
      <c r="M574" s="15">
        <f>IF(OR('Data Entry'!A574="",$K574="",$K574=0),"",$L574/$K574)</f>
        <v/>
      </c>
      <c r="N574" s="12">
        <f>IF('Data Entry'!A574="","",IF($L574="","New item",IF($L574&gt;0,"UP",IF($L574&lt;0,"down","same"))))</f>
        <v/>
      </c>
    </row>
    <row r="575">
      <c r="A575" s="11">
        <f>IF('Data Entry'!A575="","",'Data Entry'!A575)</f>
        <v/>
      </c>
      <c r="B575" s="12">
        <f>IF('Data Entry'!A575="","",'Data Entry'!B575)</f>
        <v/>
      </c>
      <c r="C575" s="12">
        <f>IF('Data Entry'!A575="","",'Data Entry'!C575)</f>
        <v/>
      </c>
      <c r="D575" s="12">
        <f>IF('Data Entry'!A575="","",'Data Entry'!D575)</f>
        <v/>
      </c>
      <c r="E575" s="12">
        <f>IF('Data Entry'!A575="","",'Data Entry'!E575)</f>
        <v/>
      </c>
      <c r="F575" s="12">
        <f>IF('Data Entry'!A575="","",'Data Entry'!F575)</f>
        <v/>
      </c>
      <c r="G575" s="13">
        <f>IF('Data Entry'!A575="","",'Data Entry'!G575)</f>
        <v/>
      </c>
      <c r="H575" s="10">
        <f>IF('Data Entry'!A575="","",'Data Entry'!H575)</f>
        <v/>
      </c>
      <c r="I575" s="10">
        <f>IF('Data Entry'!A575="","",'Data Entry'!I575)</f>
        <v/>
      </c>
      <c r="J575" s="12">
        <f>IF('Data Entry'!A575="","",IF('Data Entry'!D575&lt;&gt;"",'Data Entry'!D575,'Data Entry'!E575))</f>
        <v/>
      </c>
      <c r="K575" s="10">
        <f>IF('Data Entry'!A575="","",IFERROR(SUMIFS($H$5:$H$2001,$J$5:$J$2001,$J575,$B$5:$B$2001,$B575,$A$5:$A$2001,(MAXIFS($A$5:$A$2001,$J$5:$J$2001,$J575,$B$5:$B$2001,$B575,$A$5:$A$2001,"&lt;"&amp;$A575))),""))</f>
        <v/>
      </c>
      <c r="L575" s="14">
        <f>IF(OR('Data Entry'!A575="",$K575=""),"",$H575-$K575)</f>
        <v/>
      </c>
      <c r="M575" s="15">
        <f>IF(OR('Data Entry'!A575="",$K575="",$K575=0),"",$L575/$K575)</f>
        <v/>
      </c>
      <c r="N575" s="12">
        <f>IF('Data Entry'!A575="","",IF($L575="","New item",IF($L575&gt;0,"UP",IF($L575&lt;0,"down","same"))))</f>
        <v/>
      </c>
    </row>
    <row r="576">
      <c r="A576" s="11">
        <f>IF('Data Entry'!A576="","",'Data Entry'!A576)</f>
        <v/>
      </c>
      <c r="B576" s="12">
        <f>IF('Data Entry'!A576="","",'Data Entry'!B576)</f>
        <v/>
      </c>
      <c r="C576" s="12">
        <f>IF('Data Entry'!A576="","",'Data Entry'!C576)</f>
        <v/>
      </c>
      <c r="D576" s="12">
        <f>IF('Data Entry'!A576="","",'Data Entry'!D576)</f>
        <v/>
      </c>
      <c r="E576" s="12">
        <f>IF('Data Entry'!A576="","",'Data Entry'!E576)</f>
        <v/>
      </c>
      <c r="F576" s="12">
        <f>IF('Data Entry'!A576="","",'Data Entry'!F576)</f>
        <v/>
      </c>
      <c r="G576" s="13">
        <f>IF('Data Entry'!A576="","",'Data Entry'!G576)</f>
        <v/>
      </c>
      <c r="H576" s="10">
        <f>IF('Data Entry'!A576="","",'Data Entry'!H576)</f>
        <v/>
      </c>
      <c r="I576" s="10">
        <f>IF('Data Entry'!A576="","",'Data Entry'!I576)</f>
        <v/>
      </c>
      <c r="J576" s="12">
        <f>IF('Data Entry'!A576="","",IF('Data Entry'!D576&lt;&gt;"",'Data Entry'!D576,'Data Entry'!E576))</f>
        <v/>
      </c>
      <c r="K576" s="10">
        <f>IF('Data Entry'!A576="","",IFERROR(SUMIFS($H$5:$H$2001,$J$5:$J$2001,$J576,$B$5:$B$2001,$B576,$A$5:$A$2001,(MAXIFS($A$5:$A$2001,$J$5:$J$2001,$J576,$B$5:$B$2001,$B576,$A$5:$A$2001,"&lt;"&amp;$A576))),""))</f>
        <v/>
      </c>
      <c r="L576" s="14">
        <f>IF(OR('Data Entry'!A576="",$K576=""),"",$H576-$K576)</f>
        <v/>
      </c>
      <c r="M576" s="15">
        <f>IF(OR('Data Entry'!A576="",$K576="",$K576=0),"",$L576/$K576)</f>
        <v/>
      </c>
      <c r="N576" s="12">
        <f>IF('Data Entry'!A576="","",IF($L576="","New item",IF($L576&gt;0,"UP",IF($L576&lt;0,"down","same"))))</f>
        <v/>
      </c>
    </row>
    <row r="577">
      <c r="A577" s="11">
        <f>IF('Data Entry'!A577="","",'Data Entry'!A577)</f>
        <v/>
      </c>
      <c r="B577" s="12">
        <f>IF('Data Entry'!A577="","",'Data Entry'!B577)</f>
        <v/>
      </c>
      <c r="C577" s="12">
        <f>IF('Data Entry'!A577="","",'Data Entry'!C577)</f>
        <v/>
      </c>
      <c r="D577" s="12">
        <f>IF('Data Entry'!A577="","",'Data Entry'!D577)</f>
        <v/>
      </c>
      <c r="E577" s="12">
        <f>IF('Data Entry'!A577="","",'Data Entry'!E577)</f>
        <v/>
      </c>
      <c r="F577" s="12">
        <f>IF('Data Entry'!A577="","",'Data Entry'!F577)</f>
        <v/>
      </c>
      <c r="G577" s="13">
        <f>IF('Data Entry'!A577="","",'Data Entry'!G577)</f>
        <v/>
      </c>
      <c r="H577" s="10">
        <f>IF('Data Entry'!A577="","",'Data Entry'!H577)</f>
        <v/>
      </c>
      <c r="I577" s="10">
        <f>IF('Data Entry'!A577="","",'Data Entry'!I577)</f>
        <v/>
      </c>
      <c r="J577" s="12">
        <f>IF('Data Entry'!A577="","",IF('Data Entry'!D577&lt;&gt;"",'Data Entry'!D577,'Data Entry'!E577))</f>
        <v/>
      </c>
      <c r="K577" s="10">
        <f>IF('Data Entry'!A577="","",IFERROR(SUMIFS($H$5:$H$2001,$J$5:$J$2001,$J577,$B$5:$B$2001,$B577,$A$5:$A$2001,(MAXIFS($A$5:$A$2001,$J$5:$J$2001,$J577,$B$5:$B$2001,$B577,$A$5:$A$2001,"&lt;"&amp;$A577))),""))</f>
        <v/>
      </c>
      <c r="L577" s="14">
        <f>IF(OR('Data Entry'!A577="",$K577=""),"",$H577-$K577)</f>
        <v/>
      </c>
      <c r="M577" s="15">
        <f>IF(OR('Data Entry'!A577="",$K577="",$K577=0),"",$L577/$K577)</f>
        <v/>
      </c>
      <c r="N577" s="12">
        <f>IF('Data Entry'!A577="","",IF($L577="","New item",IF($L577&gt;0,"UP",IF($L577&lt;0,"down","same"))))</f>
        <v/>
      </c>
    </row>
    <row r="578">
      <c r="A578" s="11">
        <f>IF('Data Entry'!A578="","",'Data Entry'!A578)</f>
        <v/>
      </c>
      <c r="B578" s="12">
        <f>IF('Data Entry'!A578="","",'Data Entry'!B578)</f>
        <v/>
      </c>
      <c r="C578" s="12">
        <f>IF('Data Entry'!A578="","",'Data Entry'!C578)</f>
        <v/>
      </c>
      <c r="D578" s="12">
        <f>IF('Data Entry'!A578="","",'Data Entry'!D578)</f>
        <v/>
      </c>
      <c r="E578" s="12">
        <f>IF('Data Entry'!A578="","",'Data Entry'!E578)</f>
        <v/>
      </c>
      <c r="F578" s="12">
        <f>IF('Data Entry'!A578="","",'Data Entry'!F578)</f>
        <v/>
      </c>
      <c r="G578" s="13">
        <f>IF('Data Entry'!A578="","",'Data Entry'!G578)</f>
        <v/>
      </c>
      <c r="H578" s="10">
        <f>IF('Data Entry'!A578="","",'Data Entry'!H578)</f>
        <v/>
      </c>
      <c r="I578" s="10">
        <f>IF('Data Entry'!A578="","",'Data Entry'!I578)</f>
        <v/>
      </c>
      <c r="J578" s="12">
        <f>IF('Data Entry'!A578="","",IF('Data Entry'!D578&lt;&gt;"",'Data Entry'!D578,'Data Entry'!E578))</f>
        <v/>
      </c>
      <c r="K578" s="10">
        <f>IF('Data Entry'!A578="","",IFERROR(SUMIFS($H$5:$H$2001,$J$5:$J$2001,$J578,$B$5:$B$2001,$B578,$A$5:$A$2001,(MAXIFS($A$5:$A$2001,$J$5:$J$2001,$J578,$B$5:$B$2001,$B578,$A$5:$A$2001,"&lt;"&amp;$A578))),""))</f>
        <v/>
      </c>
      <c r="L578" s="14">
        <f>IF(OR('Data Entry'!A578="",$K578=""),"",$H578-$K578)</f>
        <v/>
      </c>
      <c r="M578" s="15">
        <f>IF(OR('Data Entry'!A578="",$K578="",$K578=0),"",$L578/$K578)</f>
        <v/>
      </c>
      <c r="N578" s="12">
        <f>IF('Data Entry'!A578="","",IF($L578="","New item",IF($L578&gt;0,"UP",IF($L578&lt;0,"down","same"))))</f>
        <v/>
      </c>
    </row>
    <row r="579">
      <c r="A579" s="11">
        <f>IF('Data Entry'!A579="","",'Data Entry'!A579)</f>
        <v/>
      </c>
      <c r="B579" s="12">
        <f>IF('Data Entry'!A579="","",'Data Entry'!B579)</f>
        <v/>
      </c>
      <c r="C579" s="12">
        <f>IF('Data Entry'!A579="","",'Data Entry'!C579)</f>
        <v/>
      </c>
      <c r="D579" s="12">
        <f>IF('Data Entry'!A579="","",'Data Entry'!D579)</f>
        <v/>
      </c>
      <c r="E579" s="12">
        <f>IF('Data Entry'!A579="","",'Data Entry'!E579)</f>
        <v/>
      </c>
      <c r="F579" s="12">
        <f>IF('Data Entry'!A579="","",'Data Entry'!F579)</f>
        <v/>
      </c>
      <c r="G579" s="13">
        <f>IF('Data Entry'!A579="","",'Data Entry'!G579)</f>
        <v/>
      </c>
      <c r="H579" s="10">
        <f>IF('Data Entry'!A579="","",'Data Entry'!H579)</f>
        <v/>
      </c>
      <c r="I579" s="10">
        <f>IF('Data Entry'!A579="","",'Data Entry'!I579)</f>
        <v/>
      </c>
      <c r="J579" s="12">
        <f>IF('Data Entry'!A579="","",IF('Data Entry'!D579&lt;&gt;"",'Data Entry'!D579,'Data Entry'!E579))</f>
        <v/>
      </c>
      <c r="K579" s="10">
        <f>IF('Data Entry'!A579="","",IFERROR(SUMIFS($H$5:$H$2001,$J$5:$J$2001,$J579,$B$5:$B$2001,$B579,$A$5:$A$2001,(MAXIFS($A$5:$A$2001,$J$5:$J$2001,$J579,$B$5:$B$2001,$B579,$A$5:$A$2001,"&lt;"&amp;$A579))),""))</f>
        <v/>
      </c>
      <c r="L579" s="14">
        <f>IF(OR('Data Entry'!A579="",$K579=""),"",$H579-$K579)</f>
        <v/>
      </c>
      <c r="M579" s="15">
        <f>IF(OR('Data Entry'!A579="",$K579="",$K579=0),"",$L579/$K579)</f>
        <v/>
      </c>
      <c r="N579" s="12">
        <f>IF('Data Entry'!A579="","",IF($L579="","New item",IF($L579&gt;0,"UP",IF($L579&lt;0,"down","same"))))</f>
        <v/>
      </c>
    </row>
    <row r="580">
      <c r="A580" s="11">
        <f>IF('Data Entry'!A580="","",'Data Entry'!A580)</f>
        <v/>
      </c>
      <c r="B580" s="12">
        <f>IF('Data Entry'!A580="","",'Data Entry'!B580)</f>
        <v/>
      </c>
      <c r="C580" s="12">
        <f>IF('Data Entry'!A580="","",'Data Entry'!C580)</f>
        <v/>
      </c>
      <c r="D580" s="12">
        <f>IF('Data Entry'!A580="","",'Data Entry'!D580)</f>
        <v/>
      </c>
      <c r="E580" s="12">
        <f>IF('Data Entry'!A580="","",'Data Entry'!E580)</f>
        <v/>
      </c>
      <c r="F580" s="12">
        <f>IF('Data Entry'!A580="","",'Data Entry'!F580)</f>
        <v/>
      </c>
      <c r="G580" s="13">
        <f>IF('Data Entry'!A580="","",'Data Entry'!G580)</f>
        <v/>
      </c>
      <c r="H580" s="10">
        <f>IF('Data Entry'!A580="","",'Data Entry'!H580)</f>
        <v/>
      </c>
      <c r="I580" s="10">
        <f>IF('Data Entry'!A580="","",'Data Entry'!I580)</f>
        <v/>
      </c>
      <c r="J580" s="12">
        <f>IF('Data Entry'!A580="","",IF('Data Entry'!D580&lt;&gt;"",'Data Entry'!D580,'Data Entry'!E580))</f>
        <v/>
      </c>
      <c r="K580" s="10">
        <f>IF('Data Entry'!A580="","",IFERROR(SUMIFS($H$5:$H$2001,$J$5:$J$2001,$J580,$B$5:$B$2001,$B580,$A$5:$A$2001,(MAXIFS($A$5:$A$2001,$J$5:$J$2001,$J580,$B$5:$B$2001,$B580,$A$5:$A$2001,"&lt;"&amp;$A580))),""))</f>
        <v/>
      </c>
      <c r="L580" s="14">
        <f>IF(OR('Data Entry'!A580="",$K580=""),"",$H580-$K580)</f>
        <v/>
      </c>
      <c r="M580" s="15">
        <f>IF(OR('Data Entry'!A580="",$K580="",$K580=0),"",$L580/$K580)</f>
        <v/>
      </c>
      <c r="N580" s="12">
        <f>IF('Data Entry'!A580="","",IF($L580="","New item",IF($L580&gt;0,"UP",IF($L580&lt;0,"down","same"))))</f>
        <v/>
      </c>
    </row>
    <row r="581">
      <c r="A581" s="11">
        <f>IF('Data Entry'!A581="","",'Data Entry'!A581)</f>
        <v/>
      </c>
      <c r="B581" s="12">
        <f>IF('Data Entry'!A581="","",'Data Entry'!B581)</f>
        <v/>
      </c>
      <c r="C581" s="12">
        <f>IF('Data Entry'!A581="","",'Data Entry'!C581)</f>
        <v/>
      </c>
      <c r="D581" s="12">
        <f>IF('Data Entry'!A581="","",'Data Entry'!D581)</f>
        <v/>
      </c>
      <c r="E581" s="12">
        <f>IF('Data Entry'!A581="","",'Data Entry'!E581)</f>
        <v/>
      </c>
      <c r="F581" s="12">
        <f>IF('Data Entry'!A581="","",'Data Entry'!F581)</f>
        <v/>
      </c>
      <c r="G581" s="13">
        <f>IF('Data Entry'!A581="","",'Data Entry'!G581)</f>
        <v/>
      </c>
      <c r="H581" s="10">
        <f>IF('Data Entry'!A581="","",'Data Entry'!H581)</f>
        <v/>
      </c>
      <c r="I581" s="10">
        <f>IF('Data Entry'!A581="","",'Data Entry'!I581)</f>
        <v/>
      </c>
      <c r="J581" s="12">
        <f>IF('Data Entry'!A581="","",IF('Data Entry'!D581&lt;&gt;"",'Data Entry'!D581,'Data Entry'!E581))</f>
        <v/>
      </c>
      <c r="K581" s="10">
        <f>IF('Data Entry'!A581="","",IFERROR(SUMIFS($H$5:$H$2001,$J$5:$J$2001,$J581,$B$5:$B$2001,$B581,$A$5:$A$2001,(MAXIFS($A$5:$A$2001,$J$5:$J$2001,$J581,$B$5:$B$2001,$B581,$A$5:$A$2001,"&lt;"&amp;$A581))),""))</f>
        <v/>
      </c>
      <c r="L581" s="14">
        <f>IF(OR('Data Entry'!A581="",$K581=""),"",$H581-$K581)</f>
        <v/>
      </c>
      <c r="M581" s="15">
        <f>IF(OR('Data Entry'!A581="",$K581="",$K581=0),"",$L581/$K581)</f>
        <v/>
      </c>
      <c r="N581" s="12">
        <f>IF('Data Entry'!A581="","",IF($L581="","New item",IF($L581&gt;0,"UP",IF($L581&lt;0,"down","same"))))</f>
        <v/>
      </c>
    </row>
    <row r="582">
      <c r="A582" s="11">
        <f>IF('Data Entry'!A582="","",'Data Entry'!A582)</f>
        <v/>
      </c>
      <c r="B582" s="12">
        <f>IF('Data Entry'!A582="","",'Data Entry'!B582)</f>
        <v/>
      </c>
      <c r="C582" s="12">
        <f>IF('Data Entry'!A582="","",'Data Entry'!C582)</f>
        <v/>
      </c>
      <c r="D582" s="12">
        <f>IF('Data Entry'!A582="","",'Data Entry'!D582)</f>
        <v/>
      </c>
      <c r="E582" s="12">
        <f>IF('Data Entry'!A582="","",'Data Entry'!E582)</f>
        <v/>
      </c>
      <c r="F582" s="12">
        <f>IF('Data Entry'!A582="","",'Data Entry'!F582)</f>
        <v/>
      </c>
      <c r="G582" s="13">
        <f>IF('Data Entry'!A582="","",'Data Entry'!G582)</f>
        <v/>
      </c>
      <c r="H582" s="10">
        <f>IF('Data Entry'!A582="","",'Data Entry'!H582)</f>
        <v/>
      </c>
      <c r="I582" s="10">
        <f>IF('Data Entry'!A582="","",'Data Entry'!I582)</f>
        <v/>
      </c>
      <c r="J582" s="12">
        <f>IF('Data Entry'!A582="","",IF('Data Entry'!D582&lt;&gt;"",'Data Entry'!D582,'Data Entry'!E582))</f>
        <v/>
      </c>
      <c r="K582" s="10">
        <f>IF('Data Entry'!A582="","",IFERROR(SUMIFS($H$5:$H$2001,$J$5:$J$2001,$J582,$B$5:$B$2001,$B582,$A$5:$A$2001,(MAXIFS($A$5:$A$2001,$J$5:$J$2001,$J582,$B$5:$B$2001,$B582,$A$5:$A$2001,"&lt;"&amp;$A582))),""))</f>
        <v/>
      </c>
      <c r="L582" s="14">
        <f>IF(OR('Data Entry'!A582="",$K582=""),"",$H582-$K582)</f>
        <v/>
      </c>
      <c r="M582" s="15">
        <f>IF(OR('Data Entry'!A582="",$K582="",$K582=0),"",$L582/$K582)</f>
        <v/>
      </c>
      <c r="N582" s="12">
        <f>IF('Data Entry'!A582="","",IF($L582="","New item",IF($L582&gt;0,"UP",IF($L582&lt;0,"down","same"))))</f>
        <v/>
      </c>
    </row>
    <row r="583">
      <c r="A583" s="11">
        <f>IF('Data Entry'!A583="","",'Data Entry'!A583)</f>
        <v/>
      </c>
      <c r="B583" s="12">
        <f>IF('Data Entry'!A583="","",'Data Entry'!B583)</f>
        <v/>
      </c>
      <c r="C583" s="12">
        <f>IF('Data Entry'!A583="","",'Data Entry'!C583)</f>
        <v/>
      </c>
      <c r="D583" s="12">
        <f>IF('Data Entry'!A583="","",'Data Entry'!D583)</f>
        <v/>
      </c>
      <c r="E583" s="12">
        <f>IF('Data Entry'!A583="","",'Data Entry'!E583)</f>
        <v/>
      </c>
      <c r="F583" s="12">
        <f>IF('Data Entry'!A583="","",'Data Entry'!F583)</f>
        <v/>
      </c>
      <c r="G583" s="13">
        <f>IF('Data Entry'!A583="","",'Data Entry'!G583)</f>
        <v/>
      </c>
      <c r="H583" s="10">
        <f>IF('Data Entry'!A583="","",'Data Entry'!H583)</f>
        <v/>
      </c>
      <c r="I583" s="10">
        <f>IF('Data Entry'!A583="","",'Data Entry'!I583)</f>
        <v/>
      </c>
      <c r="J583" s="12">
        <f>IF('Data Entry'!A583="","",IF('Data Entry'!D583&lt;&gt;"",'Data Entry'!D583,'Data Entry'!E583))</f>
        <v/>
      </c>
      <c r="K583" s="10">
        <f>IF('Data Entry'!A583="","",IFERROR(SUMIFS($H$5:$H$2001,$J$5:$J$2001,$J583,$B$5:$B$2001,$B583,$A$5:$A$2001,(MAXIFS($A$5:$A$2001,$J$5:$J$2001,$J583,$B$5:$B$2001,$B583,$A$5:$A$2001,"&lt;"&amp;$A583))),""))</f>
        <v/>
      </c>
      <c r="L583" s="14">
        <f>IF(OR('Data Entry'!A583="",$K583=""),"",$H583-$K583)</f>
        <v/>
      </c>
      <c r="M583" s="15">
        <f>IF(OR('Data Entry'!A583="",$K583="",$K583=0),"",$L583/$K583)</f>
        <v/>
      </c>
      <c r="N583" s="12">
        <f>IF('Data Entry'!A583="","",IF($L583="","New item",IF($L583&gt;0,"UP",IF($L583&lt;0,"down","same"))))</f>
        <v/>
      </c>
    </row>
    <row r="584">
      <c r="A584" s="11">
        <f>IF('Data Entry'!A584="","",'Data Entry'!A584)</f>
        <v/>
      </c>
      <c r="B584" s="12">
        <f>IF('Data Entry'!A584="","",'Data Entry'!B584)</f>
        <v/>
      </c>
      <c r="C584" s="12">
        <f>IF('Data Entry'!A584="","",'Data Entry'!C584)</f>
        <v/>
      </c>
      <c r="D584" s="12">
        <f>IF('Data Entry'!A584="","",'Data Entry'!D584)</f>
        <v/>
      </c>
      <c r="E584" s="12">
        <f>IF('Data Entry'!A584="","",'Data Entry'!E584)</f>
        <v/>
      </c>
      <c r="F584" s="12">
        <f>IF('Data Entry'!A584="","",'Data Entry'!F584)</f>
        <v/>
      </c>
      <c r="G584" s="13">
        <f>IF('Data Entry'!A584="","",'Data Entry'!G584)</f>
        <v/>
      </c>
      <c r="H584" s="10">
        <f>IF('Data Entry'!A584="","",'Data Entry'!H584)</f>
        <v/>
      </c>
      <c r="I584" s="10">
        <f>IF('Data Entry'!A584="","",'Data Entry'!I584)</f>
        <v/>
      </c>
      <c r="J584" s="12">
        <f>IF('Data Entry'!A584="","",IF('Data Entry'!D584&lt;&gt;"",'Data Entry'!D584,'Data Entry'!E584))</f>
        <v/>
      </c>
      <c r="K584" s="10">
        <f>IF('Data Entry'!A584="","",IFERROR(SUMIFS($H$5:$H$2001,$J$5:$J$2001,$J584,$B$5:$B$2001,$B584,$A$5:$A$2001,(MAXIFS($A$5:$A$2001,$J$5:$J$2001,$J584,$B$5:$B$2001,$B584,$A$5:$A$2001,"&lt;"&amp;$A584))),""))</f>
        <v/>
      </c>
      <c r="L584" s="14">
        <f>IF(OR('Data Entry'!A584="",$K584=""),"",$H584-$K584)</f>
        <v/>
      </c>
      <c r="M584" s="15">
        <f>IF(OR('Data Entry'!A584="",$K584="",$K584=0),"",$L584/$K584)</f>
        <v/>
      </c>
      <c r="N584" s="12">
        <f>IF('Data Entry'!A584="","",IF($L584="","New item",IF($L584&gt;0,"UP",IF($L584&lt;0,"down","same"))))</f>
        <v/>
      </c>
    </row>
    <row r="585">
      <c r="A585" s="11">
        <f>IF('Data Entry'!A585="","",'Data Entry'!A585)</f>
        <v/>
      </c>
      <c r="B585" s="12">
        <f>IF('Data Entry'!A585="","",'Data Entry'!B585)</f>
        <v/>
      </c>
      <c r="C585" s="12">
        <f>IF('Data Entry'!A585="","",'Data Entry'!C585)</f>
        <v/>
      </c>
      <c r="D585" s="12">
        <f>IF('Data Entry'!A585="","",'Data Entry'!D585)</f>
        <v/>
      </c>
      <c r="E585" s="12">
        <f>IF('Data Entry'!A585="","",'Data Entry'!E585)</f>
        <v/>
      </c>
      <c r="F585" s="12">
        <f>IF('Data Entry'!A585="","",'Data Entry'!F585)</f>
        <v/>
      </c>
      <c r="G585" s="13">
        <f>IF('Data Entry'!A585="","",'Data Entry'!G585)</f>
        <v/>
      </c>
      <c r="H585" s="10">
        <f>IF('Data Entry'!A585="","",'Data Entry'!H585)</f>
        <v/>
      </c>
      <c r="I585" s="10">
        <f>IF('Data Entry'!A585="","",'Data Entry'!I585)</f>
        <v/>
      </c>
      <c r="J585" s="12">
        <f>IF('Data Entry'!A585="","",IF('Data Entry'!D585&lt;&gt;"",'Data Entry'!D585,'Data Entry'!E585))</f>
        <v/>
      </c>
      <c r="K585" s="10">
        <f>IF('Data Entry'!A585="","",IFERROR(SUMIFS($H$5:$H$2001,$J$5:$J$2001,$J585,$B$5:$B$2001,$B585,$A$5:$A$2001,(MAXIFS($A$5:$A$2001,$J$5:$J$2001,$J585,$B$5:$B$2001,$B585,$A$5:$A$2001,"&lt;"&amp;$A585))),""))</f>
        <v/>
      </c>
      <c r="L585" s="14">
        <f>IF(OR('Data Entry'!A585="",$K585=""),"",$H585-$K585)</f>
        <v/>
      </c>
      <c r="M585" s="15">
        <f>IF(OR('Data Entry'!A585="",$K585="",$K585=0),"",$L585/$K585)</f>
        <v/>
      </c>
      <c r="N585" s="12">
        <f>IF('Data Entry'!A585="","",IF($L585="","New item",IF($L585&gt;0,"UP",IF($L585&lt;0,"down","same"))))</f>
        <v/>
      </c>
    </row>
    <row r="586">
      <c r="A586" s="11">
        <f>IF('Data Entry'!A586="","",'Data Entry'!A586)</f>
        <v/>
      </c>
      <c r="B586" s="12">
        <f>IF('Data Entry'!A586="","",'Data Entry'!B586)</f>
        <v/>
      </c>
      <c r="C586" s="12">
        <f>IF('Data Entry'!A586="","",'Data Entry'!C586)</f>
        <v/>
      </c>
      <c r="D586" s="12">
        <f>IF('Data Entry'!A586="","",'Data Entry'!D586)</f>
        <v/>
      </c>
      <c r="E586" s="12">
        <f>IF('Data Entry'!A586="","",'Data Entry'!E586)</f>
        <v/>
      </c>
      <c r="F586" s="12">
        <f>IF('Data Entry'!A586="","",'Data Entry'!F586)</f>
        <v/>
      </c>
      <c r="G586" s="13">
        <f>IF('Data Entry'!A586="","",'Data Entry'!G586)</f>
        <v/>
      </c>
      <c r="H586" s="10">
        <f>IF('Data Entry'!A586="","",'Data Entry'!H586)</f>
        <v/>
      </c>
      <c r="I586" s="10">
        <f>IF('Data Entry'!A586="","",'Data Entry'!I586)</f>
        <v/>
      </c>
      <c r="J586" s="12">
        <f>IF('Data Entry'!A586="","",IF('Data Entry'!D586&lt;&gt;"",'Data Entry'!D586,'Data Entry'!E586))</f>
        <v/>
      </c>
      <c r="K586" s="10">
        <f>IF('Data Entry'!A586="","",IFERROR(SUMIFS($H$5:$H$2001,$J$5:$J$2001,$J586,$B$5:$B$2001,$B586,$A$5:$A$2001,(MAXIFS($A$5:$A$2001,$J$5:$J$2001,$J586,$B$5:$B$2001,$B586,$A$5:$A$2001,"&lt;"&amp;$A586))),""))</f>
        <v/>
      </c>
      <c r="L586" s="14">
        <f>IF(OR('Data Entry'!A586="",$K586=""),"",$H586-$K586)</f>
        <v/>
      </c>
      <c r="M586" s="15">
        <f>IF(OR('Data Entry'!A586="",$K586="",$K586=0),"",$L586/$K586)</f>
        <v/>
      </c>
      <c r="N586" s="12">
        <f>IF('Data Entry'!A586="","",IF($L586="","New item",IF($L586&gt;0,"UP",IF($L586&lt;0,"down","same"))))</f>
        <v/>
      </c>
    </row>
    <row r="587">
      <c r="A587" s="11">
        <f>IF('Data Entry'!A587="","",'Data Entry'!A587)</f>
        <v/>
      </c>
      <c r="B587" s="12">
        <f>IF('Data Entry'!A587="","",'Data Entry'!B587)</f>
        <v/>
      </c>
      <c r="C587" s="12">
        <f>IF('Data Entry'!A587="","",'Data Entry'!C587)</f>
        <v/>
      </c>
      <c r="D587" s="12">
        <f>IF('Data Entry'!A587="","",'Data Entry'!D587)</f>
        <v/>
      </c>
      <c r="E587" s="12">
        <f>IF('Data Entry'!A587="","",'Data Entry'!E587)</f>
        <v/>
      </c>
      <c r="F587" s="12">
        <f>IF('Data Entry'!A587="","",'Data Entry'!F587)</f>
        <v/>
      </c>
      <c r="G587" s="13">
        <f>IF('Data Entry'!A587="","",'Data Entry'!G587)</f>
        <v/>
      </c>
      <c r="H587" s="10">
        <f>IF('Data Entry'!A587="","",'Data Entry'!H587)</f>
        <v/>
      </c>
      <c r="I587" s="10">
        <f>IF('Data Entry'!A587="","",'Data Entry'!I587)</f>
        <v/>
      </c>
      <c r="J587" s="12">
        <f>IF('Data Entry'!A587="","",IF('Data Entry'!D587&lt;&gt;"",'Data Entry'!D587,'Data Entry'!E587))</f>
        <v/>
      </c>
      <c r="K587" s="10">
        <f>IF('Data Entry'!A587="","",IFERROR(SUMIFS($H$5:$H$2001,$J$5:$J$2001,$J587,$B$5:$B$2001,$B587,$A$5:$A$2001,(MAXIFS($A$5:$A$2001,$J$5:$J$2001,$J587,$B$5:$B$2001,$B587,$A$5:$A$2001,"&lt;"&amp;$A587))),""))</f>
        <v/>
      </c>
      <c r="L587" s="14">
        <f>IF(OR('Data Entry'!A587="",$K587=""),"",$H587-$K587)</f>
        <v/>
      </c>
      <c r="M587" s="15">
        <f>IF(OR('Data Entry'!A587="",$K587="",$K587=0),"",$L587/$K587)</f>
        <v/>
      </c>
      <c r="N587" s="12">
        <f>IF('Data Entry'!A587="","",IF($L587="","New item",IF($L587&gt;0,"UP",IF($L587&lt;0,"down","same"))))</f>
        <v/>
      </c>
    </row>
    <row r="588">
      <c r="A588" s="11">
        <f>IF('Data Entry'!A588="","",'Data Entry'!A588)</f>
        <v/>
      </c>
      <c r="B588" s="12">
        <f>IF('Data Entry'!A588="","",'Data Entry'!B588)</f>
        <v/>
      </c>
      <c r="C588" s="12">
        <f>IF('Data Entry'!A588="","",'Data Entry'!C588)</f>
        <v/>
      </c>
      <c r="D588" s="12">
        <f>IF('Data Entry'!A588="","",'Data Entry'!D588)</f>
        <v/>
      </c>
      <c r="E588" s="12">
        <f>IF('Data Entry'!A588="","",'Data Entry'!E588)</f>
        <v/>
      </c>
      <c r="F588" s="12">
        <f>IF('Data Entry'!A588="","",'Data Entry'!F588)</f>
        <v/>
      </c>
      <c r="G588" s="13">
        <f>IF('Data Entry'!A588="","",'Data Entry'!G588)</f>
        <v/>
      </c>
      <c r="H588" s="10">
        <f>IF('Data Entry'!A588="","",'Data Entry'!H588)</f>
        <v/>
      </c>
      <c r="I588" s="10">
        <f>IF('Data Entry'!A588="","",'Data Entry'!I588)</f>
        <v/>
      </c>
      <c r="J588" s="12">
        <f>IF('Data Entry'!A588="","",IF('Data Entry'!D588&lt;&gt;"",'Data Entry'!D588,'Data Entry'!E588))</f>
        <v/>
      </c>
      <c r="K588" s="10">
        <f>IF('Data Entry'!A588="","",IFERROR(SUMIFS($H$5:$H$2001,$J$5:$J$2001,$J588,$B$5:$B$2001,$B588,$A$5:$A$2001,(MAXIFS($A$5:$A$2001,$J$5:$J$2001,$J588,$B$5:$B$2001,$B588,$A$5:$A$2001,"&lt;"&amp;$A588))),""))</f>
        <v/>
      </c>
      <c r="L588" s="14">
        <f>IF(OR('Data Entry'!A588="",$K588=""),"",$H588-$K588)</f>
        <v/>
      </c>
      <c r="M588" s="15">
        <f>IF(OR('Data Entry'!A588="",$K588="",$K588=0),"",$L588/$K588)</f>
        <v/>
      </c>
      <c r="N588" s="12">
        <f>IF('Data Entry'!A588="","",IF($L588="","New item",IF($L588&gt;0,"UP",IF($L588&lt;0,"down","same"))))</f>
        <v/>
      </c>
    </row>
    <row r="589">
      <c r="A589" s="11">
        <f>IF('Data Entry'!A589="","",'Data Entry'!A589)</f>
        <v/>
      </c>
      <c r="B589" s="12">
        <f>IF('Data Entry'!A589="","",'Data Entry'!B589)</f>
        <v/>
      </c>
      <c r="C589" s="12">
        <f>IF('Data Entry'!A589="","",'Data Entry'!C589)</f>
        <v/>
      </c>
      <c r="D589" s="12">
        <f>IF('Data Entry'!A589="","",'Data Entry'!D589)</f>
        <v/>
      </c>
      <c r="E589" s="12">
        <f>IF('Data Entry'!A589="","",'Data Entry'!E589)</f>
        <v/>
      </c>
      <c r="F589" s="12">
        <f>IF('Data Entry'!A589="","",'Data Entry'!F589)</f>
        <v/>
      </c>
      <c r="G589" s="13">
        <f>IF('Data Entry'!A589="","",'Data Entry'!G589)</f>
        <v/>
      </c>
      <c r="H589" s="10">
        <f>IF('Data Entry'!A589="","",'Data Entry'!H589)</f>
        <v/>
      </c>
      <c r="I589" s="10">
        <f>IF('Data Entry'!A589="","",'Data Entry'!I589)</f>
        <v/>
      </c>
      <c r="J589" s="12">
        <f>IF('Data Entry'!A589="","",IF('Data Entry'!D589&lt;&gt;"",'Data Entry'!D589,'Data Entry'!E589))</f>
        <v/>
      </c>
      <c r="K589" s="10">
        <f>IF('Data Entry'!A589="","",IFERROR(SUMIFS($H$5:$H$2001,$J$5:$J$2001,$J589,$B$5:$B$2001,$B589,$A$5:$A$2001,(MAXIFS($A$5:$A$2001,$J$5:$J$2001,$J589,$B$5:$B$2001,$B589,$A$5:$A$2001,"&lt;"&amp;$A589))),""))</f>
        <v/>
      </c>
      <c r="L589" s="14">
        <f>IF(OR('Data Entry'!A589="",$K589=""),"",$H589-$K589)</f>
        <v/>
      </c>
      <c r="M589" s="15">
        <f>IF(OR('Data Entry'!A589="",$K589="",$K589=0),"",$L589/$K589)</f>
        <v/>
      </c>
      <c r="N589" s="12">
        <f>IF('Data Entry'!A589="","",IF($L589="","New item",IF($L589&gt;0,"UP",IF($L589&lt;0,"down","same"))))</f>
        <v/>
      </c>
    </row>
    <row r="590">
      <c r="A590" s="11">
        <f>IF('Data Entry'!A590="","",'Data Entry'!A590)</f>
        <v/>
      </c>
      <c r="B590" s="12">
        <f>IF('Data Entry'!A590="","",'Data Entry'!B590)</f>
        <v/>
      </c>
      <c r="C590" s="12">
        <f>IF('Data Entry'!A590="","",'Data Entry'!C590)</f>
        <v/>
      </c>
      <c r="D590" s="12">
        <f>IF('Data Entry'!A590="","",'Data Entry'!D590)</f>
        <v/>
      </c>
      <c r="E590" s="12">
        <f>IF('Data Entry'!A590="","",'Data Entry'!E590)</f>
        <v/>
      </c>
      <c r="F590" s="12">
        <f>IF('Data Entry'!A590="","",'Data Entry'!F590)</f>
        <v/>
      </c>
      <c r="G590" s="13">
        <f>IF('Data Entry'!A590="","",'Data Entry'!G590)</f>
        <v/>
      </c>
      <c r="H590" s="10">
        <f>IF('Data Entry'!A590="","",'Data Entry'!H590)</f>
        <v/>
      </c>
      <c r="I590" s="10">
        <f>IF('Data Entry'!A590="","",'Data Entry'!I590)</f>
        <v/>
      </c>
      <c r="J590" s="12">
        <f>IF('Data Entry'!A590="","",IF('Data Entry'!D590&lt;&gt;"",'Data Entry'!D590,'Data Entry'!E590))</f>
        <v/>
      </c>
      <c r="K590" s="10">
        <f>IF('Data Entry'!A590="","",IFERROR(SUMIFS($H$5:$H$2001,$J$5:$J$2001,$J590,$B$5:$B$2001,$B590,$A$5:$A$2001,(MAXIFS($A$5:$A$2001,$J$5:$J$2001,$J590,$B$5:$B$2001,$B590,$A$5:$A$2001,"&lt;"&amp;$A590))),""))</f>
        <v/>
      </c>
      <c r="L590" s="14">
        <f>IF(OR('Data Entry'!A590="",$K590=""),"",$H590-$K590)</f>
        <v/>
      </c>
      <c r="M590" s="15">
        <f>IF(OR('Data Entry'!A590="",$K590="",$K590=0),"",$L590/$K590)</f>
        <v/>
      </c>
      <c r="N590" s="12">
        <f>IF('Data Entry'!A590="","",IF($L590="","New item",IF($L590&gt;0,"UP",IF($L590&lt;0,"down","same"))))</f>
        <v/>
      </c>
    </row>
    <row r="591">
      <c r="A591" s="11">
        <f>IF('Data Entry'!A591="","",'Data Entry'!A591)</f>
        <v/>
      </c>
      <c r="B591" s="12">
        <f>IF('Data Entry'!A591="","",'Data Entry'!B591)</f>
        <v/>
      </c>
      <c r="C591" s="12">
        <f>IF('Data Entry'!A591="","",'Data Entry'!C591)</f>
        <v/>
      </c>
      <c r="D591" s="12">
        <f>IF('Data Entry'!A591="","",'Data Entry'!D591)</f>
        <v/>
      </c>
      <c r="E591" s="12">
        <f>IF('Data Entry'!A591="","",'Data Entry'!E591)</f>
        <v/>
      </c>
      <c r="F591" s="12">
        <f>IF('Data Entry'!A591="","",'Data Entry'!F591)</f>
        <v/>
      </c>
      <c r="G591" s="13">
        <f>IF('Data Entry'!A591="","",'Data Entry'!G591)</f>
        <v/>
      </c>
      <c r="H591" s="10">
        <f>IF('Data Entry'!A591="","",'Data Entry'!H591)</f>
        <v/>
      </c>
      <c r="I591" s="10">
        <f>IF('Data Entry'!A591="","",'Data Entry'!I591)</f>
        <v/>
      </c>
      <c r="J591" s="12">
        <f>IF('Data Entry'!A591="","",IF('Data Entry'!D591&lt;&gt;"",'Data Entry'!D591,'Data Entry'!E591))</f>
        <v/>
      </c>
      <c r="K591" s="10">
        <f>IF('Data Entry'!A591="","",IFERROR(SUMIFS($H$5:$H$2001,$J$5:$J$2001,$J591,$B$5:$B$2001,$B591,$A$5:$A$2001,(MAXIFS($A$5:$A$2001,$J$5:$J$2001,$J591,$B$5:$B$2001,$B591,$A$5:$A$2001,"&lt;"&amp;$A591))),""))</f>
        <v/>
      </c>
      <c r="L591" s="14">
        <f>IF(OR('Data Entry'!A591="",$K591=""),"",$H591-$K591)</f>
        <v/>
      </c>
      <c r="M591" s="15">
        <f>IF(OR('Data Entry'!A591="",$K591="",$K591=0),"",$L591/$K591)</f>
        <v/>
      </c>
      <c r="N591" s="12">
        <f>IF('Data Entry'!A591="","",IF($L591="","New item",IF($L591&gt;0,"UP",IF($L591&lt;0,"down","same"))))</f>
        <v/>
      </c>
    </row>
    <row r="592">
      <c r="A592" s="11">
        <f>IF('Data Entry'!A592="","",'Data Entry'!A592)</f>
        <v/>
      </c>
      <c r="B592" s="12">
        <f>IF('Data Entry'!A592="","",'Data Entry'!B592)</f>
        <v/>
      </c>
      <c r="C592" s="12">
        <f>IF('Data Entry'!A592="","",'Data Entry'!C592)</f>
        <v/>
      </c>
      <c r="D592" s="12">
        <f>IF('Data Entry'!A592="","",'Data Entry'!D592)</f>
        <v/>
      </c>
      <c r="E592" s="12">
        <f>IF('Data Entry'!A592="","",'Data Entry'!E592)</f>
        <v/>
      </c>
      <c r="F592" s="12">
        <f>IF('Data Entry'!A592="","",'Data Entry'!F592)</f>
        <v/>
      </c>
      <c r="G592" s="13">
        <f>IF('Data Entry'!A592="","",'Data Entry'!G592)</f>
        <v/>
      </c>
      <c r="H592" s="10">
        <f>IF('Data Entry'!A592="","",'Data Entry'!H592)</f>
        <v/>
      </c>
      <c r="I592" s="10">
        <f>IF('Data Entry'!A592="","",'Data Entry'!I592)</f>
        <v/>
      </c>
      <c r="J592" s="12">
        <f>IF('Data Entry'!A592="","",IF('Data Entry'!D592&lt;&gt;"",'Data Entry'!D592,'Data Entry'!E592))</f>
        <v/>
      </c>
      <c r="K592" s="10">
        <f>IF('Data Entry'!A592="","",IFERROR(SUMIFS($H$5:$H$2001,$J$5:$J$2001,$J592,$B$5:$B$2001,$B592,$A$5:$A$2001,(MAXIFS($A$5:$A$2001,$J$5:$J$2001,$J592,$B$5:$B$2001,$B592,$A$5:$A$2001,"&lt;"&amp;$A592))),""))</f>
        <v/>
      </c>
      <c r="L592" s="14">
        <f>IF(OR('Data Entry'!A592="",$K592=""),"",$H592-$K592)</f>
        <v/>
      </c>
      <c r="M592" s="15">
        <f>IF(OR('Data Entry'!A592="",$K592="",$K592=0),"",$L592/$K592)</f>
        <v/>
      </c>
      <c r="N592" s="12">
        <f>IF('Data Entry'!A592="","",IF($L592="","New item",IF($L592&gt;0,"UP",IF($L592&lt;0,"down","same"))))</f>
        <v/>
      </c>
    </row>
    <row r="593">
      <c r="A593" s="11">
        <f>IF('Data Entry'!A593="","",'Data Entry'!A593)</f>
        <v/>
      </c>
      <c r="B593" s="12">
        <f>IF('Data Entry'!A593="","",'Data Entry'!B593)</f>
        <v/>
      </c>
      <c r="C593" s="12">
        <f>IF('Data Entry'!A593="","",'Data Entry'!C593)</f>
        <v/>
      </c>
      <c r="D593" s="12">
        <f>IF('Data Entry'!A593="","",'Data Entry'!D593)</f>
        <v/>
      </c>
      <c r="E593" s="12">
        <f>IF('Data Entry'!A593="","",'Data Entry'!E593)</f>
        <v/>
      </c>
      <c r="F593" s="12">
        <f>IF('Data Entry'!A593="","",'Data Entry'!F593)</f>
        <v/>
      </c>
      <c r="G593" s="13">
        <f>IF('Data Entry'!A593="","",'Data Entry'!G593)</f>
        <v/>
      </c>
      <c r="H593" s="10">
        <f>IF('Data Entry'!A593="","",'Data Entry'!H593)</f>
        <v/>
      </c>
      <c r="I593" s="10">
        <f>IF('Data Entry'!A593="","",'Data Entry'!I593)</f>
        <v/>
      </c>
      <c r="J593" s="12">
        <f>IF('Data Entry'!A593="","",IF('Data Entry'!D593&lt;&gt;"",'Data Entry'!D593,'Data Entry'!E593))</f>
        <v/>
      </c>
      <c r="K593" s="10">
        <f>IF('Data Entry'!A593="","",IFERROR(SUMIFS($H$5:$H$2001,$J$5:$J$2001,$J593,$B$5:$B$2001,$B593,$A$5:$A$2001,(MAXIFS($A$5:$A$2001,$J$5:$J$2001,$J593,$B$5:$B$2001,$B593,$A$5:$A$2001,"&lt;"&amp;$A593))),""))</f>
        <v/>
      </c>
      <c r="L593" s="14">
        <f>IF(OR('Data Entry'!A593="",$K593=""),"",$H593-$K593)</f>
        <v/>
      </c>
      <c r="M593" s="15">
        <f>IF(OR('Data Entry'!A593="",$K593="",$K593=0),"",$L593/$K593)</f>
        <v/>
      </c>
      <c r="N593" s="12">
        <f>IF('Data Entry'!A593="","",IF($L593="","New item",IF($L593&gt;0,"UP",IF($L593&lt;0,"down","same"))))</f>
        <v/>
      </c>
    </row>
    <row r="594">
      <c r="A594" s="11">
        <f>IF('Data Entry'!A594="","",'Data Entry'!A594)</f>
        <v/>
      </c>
      <c r="B594" s="12">
        <f>IF('Data Entry'!A594="","",'Data Entry'!B594)</f>
        <v/>
      </c>
      <c r="C594" s="12">
        <f>IF('Data Entry'!A594="","",'Data Entry'!C594)</f>
        <v/>
      </c>
      <c r="D594" s="12">
        <f>IF('Data Entry'!A594="","",'Data Entry'!D594)</f>
        <v/>
      </c>
      <c r="E594" s="12">
        <f>IF('Data Entry'!A594="","",'Data Entry'!E594)</f>
        <v/>
      </c>
      <c r="F594" s="12">
        <f>IF('Data Entry'!A594="","",'Data Entry'!F594)</f>
        <v/>
      </c>
      <c r="G594" s="13">
        <f>IF('Data Entry'!A594="","",'Data Entry'!G594)</f>
        <v/>
      </c>
      <c r="H594" s="10">
        <f>IF('Data Entry'!A594="","",'Data Entry'!H594)</f>
        <v/>
      </c>
      <c r="I594" s="10">
        <f>IF('Data Entry'!A594="","",'Data Entry'!I594)</f>
        <v/>
      </c>
      <c r="J594" s="12">
        <f>IF('Data Entry'!A594="","",IF('Data Entry'!D594&lt;&gt;"",'Data Entry'!D594,'Data Entry'!E594))</f>
        <v/>
      </c>
      <c r="K594" s="10">
        <f>IF('Data Entry'!A594="","",IFERROR(SUMIFS($H$5:$H$2001,$J$5:$J$2001,$J594,$B$5:$B$2001,$B594,$A$5:$A$2001,(MAXIFS($A$5:$A$2001,$J$5:$J$2001,$J594,$B$5:$B$2001,$B594,$A$5:$A$2001,"&lt;"&amp;$A594))),""))</f>
        <v/>
      </c>
      <c r="L594" s="14">
        <f>IF(OR('Data Entry'!A594="",$K594=""),"",$H594-$K594)</f>
        <v/>
      </c>
      <c r="M594" s="15">
        <f>IF(OR('Data Entry'!A594="",$K594="",$K594=0),"",$L594/$K594)</f>
        <v/>
      </c>
      <c r="N594" s="12">
        <f>IF('Data Entry'!A594="","",IF($L594="","New item",IF($L594&gt;0,"UP",IF($L594&lt;0,"down","same"))))</f>
        <v/>
      </c>
    </row>
    <row r="595">
      <c r="A595" s="11">
        <f>IF('Data Entry'!A595="","",'Data Entry'!A595)</f>
        <v/>
      </c>
      <c r="B595" s="12">
        <f>IF('Data Entry'!A595="","",'Data Entry'!B595)</f>
        <v/>
      </c>
      <c r="C595" s="12">
        <f>IF('Data Entry'!A595="","",'Data Entry'!C595)</f>
        <v/>
      </c>
      <c r="D595" s="12">
        <f>IF('Data Entry'!A595="","",'Data Entry'!D595)</f>
        <v/>
      </c>
      <c r="E595" s="12">
        <f>IF('Data Entry'!A595="","",'Data Entry'!E595)</f>
        <v/>
      </c>
      <c r="F595" s="12">
        <f>IF('Data Entry'!A595="","",'Data Entry'!F595)</f>
        <v/>
      </c>
      <c r="G595" s="13">
        <f>IF('Data Entry'!A595="","",'Data Entry'!G595)</f>
        <v/>
      </c>
      <c r="H595" s="10">
        <f>IF('Data Entry'!A595="","",'Data Entry'!H595)</f>
        <v/>
      </c>
      <c r="I595" s="10">
        <f>IF('Data Entry'!A595="","",'Data Entry'!I595)</f>
        <v/>
      </c>
      <c r="J595" s="12">
        <f>IF('Data Entry'!A595="","",IF('Data Entry'!D595&lt;&gt;"",'Data Entry'!D595,'Data Entry'!E595))</f>
        <v/>
      </c>
      <c r="K595" s="10">
        <f>IF('Data Entry'!A595="","",IFERROR(SUMIFS($H$5:$H$2001,$J$5:$J$2001,$J595,$B$5:$B$2001,$B595,$A$5:$A$2001,(MAXIFS($A$5:$A$2001,$J$5:$J$2001,$J595,$B$5:$B$2001,$B595,$A$5:$A$2001,"&lt;"&amp;$A595))),""))</f>
        <v/>
      </c>
      <c r="L595" s="14">
        <f>IF(OR('Data Entry'!A595="",$K595=""),"",$H595-$K595)</f>
        <v/>
      </c>
      <c r="M595" s="15">
        <f>IF(OR('Data Entry'!A595="",$K595="",$K595=0),"",$L595/$K595)</f>
        <v/>
      </c>
      <c r="N595" s="12">
        <f>IF('Data Entry'!A595="","",IF($L595="","New item",IF($L595&gt;0,"UP",IF($L595&lt;0,"down","same"))))</f>
        <v/>
      </c>
    </row>
    <row r="596">
      <c r="A596" s="11">
        <f>IF('Data Entry'!A596="","",'Data Entry'!A596)</f>
        <v/>
      </c>
      <c r="B596" s="12">
        <f>IF('Data Entry'!A596="","",'Data Entry'!B596)</f>
        <v/>
      </c>
      <c r="C596" s="12">
        <f>IF('Data Entry'!A596="","",'Data Entry'!C596)</f>
        <v/>
      </c>
      <c r="D596" s="12">
        <f>IF('Data Entry'!A596="","",'Data Entry'!D596)</f>
        <v/>
      </c>
      <c r="E596" s="12">
        <f>IF('Data Entry'!A596="","",'Data Entry'!E596)</f>
        <v/>
      </c>
      <c r="F596" s="12">
        <f>IF('Data Entry'!A596="","",'Data Entry'!F596)</f>
        <v/>
      </c>
      <c r="G596" s="13">
        <f>IF('Data Entry'!A596="","",'Data Entry'!G596)</f>
        <v/>
      </c>
      <c r="H596" s="10">
        <f>IF('Data Entry'!A596="","",'Data Entry'!H596)</f>
        <v/>
      </c>
      <c r="I596" s="10">
        <f>IF('Data Entry'!A596="","",'Data Entry'!I596)</f>
        <v/>
      </c>
      <c r="J596" s="12">
        <f>IF('Data Entry'!A596="","",IF('Data Entry'!D596&lt;&gt;"",'Data Entry'!D596,'Data Entry'!E596))</f>
        <v/>
      </c>
      <c r="K596" s="10">
        <f>IF('Data Entry'!A596="","",IFERROR(SUMIFS($H$5:$H$2001,$J$5:$J$2001,$J596,$B$5:$B$2001,$B596,$A$5:$A$2001,(MAXIFS($A$5:$A$2001,$J$5:$J$2001,$J596,$B$5:$B$2001,$B596,$A$5:$A$2001,"&lt;"&amp;$A596))),""))</f>
        <v/>
      </c>
      <c r="L596" s="14">
        <f>IF(OR('Data Entry'!A596="",$K596=""),"",$H596-$K596)</f>
        <v/>
      </c>
      <c r="M596" s="15">
        <f>IF(OR('Data Entry'!A596="",$K596="",$K596=0),"",$L596/$K596)</f>
        <v/>
      </c>
      <c r="N596" s="12">
        <f>IF('Data Entry'!A596="","",IF($L596="","New item",IF($L596&gt;0,"UP",IF($L596&lt;0,"down","same"))))</f>
        <v/>
      </c>
    </row>
    <row r="597">
      <c r="A597" s="11">
        <f>IF('Data Entry'!A597="","",'Data Entry'!A597)</f>
        <v/>
      </c>
      <c r="B597" s="12">
        <f>IF('Data Entry'!A597="","",'Data Entry'!B597)</f>
        <v/>
      </c>
      <c r="C597" s="12">
        <f>IF('Data Entry'!A597="","",'Data Entry'!C597)</f>
        <v/>
      </c>
      <c r="D597" s="12">
        <f>IF('Data Entry'!A597="","",'Data Entry'!D597)</f>
        <v/>
      </c>
      <c r="E597" s="12">
        <f>IF('Data Entry'!A597="","",'Data Entry'!E597)</f>
        <v/>
      </c>
      <c r="F597" s="12">
        <f>IF('Data Entry'!A597="","",'Data Entry'!F597)</f>
        <v/>
      </c>
      <c r="G597" s="13">
        <f>IF('Data Entry'!A597="","",'Data Entry'!G597)</f>
        <v/>
      </c>
      <c r="H597" s="10">
        <f>IF('Data Entry'!A597="","",'Data Entry'!H597)</f>
        <v/>
      </c>
      <c r="I597" s="10">
        <f>IF('Data Entry'!A597="","",'Data Entry'!I597)</f>
        <v/>
      </c>
      <c r="J597" s="12">
        <f>IF('Data Entry'!A597="","",IF('Data Entry'!D597&lt;&gt;"",'Data Entry'!D597,'Data Entry'!E597))</f>
        <v/>
      </c>
      <c r="K597" s="10">
        <f>IF('Data Entry'!A597="","",IFERROR(SUMIFS($H$5:$H$2001,$J$5:$J$2001,$J597,$B$5:$B$2001,$B597,$A$5:$A$2001,(MAXIFS($A$5:$A$2001,$J$5:$J$2001,$J597,$B$5:$B$2001,$B597,$A$5:$A$2001,"&lt;"&amp;$A597))),""))</f>
        <v/>
      </c>
      <c r="L597" s="14">
        <f>IF(OR('Data Entry'!A597="",$K597=""),"",$H597-$K597)</f>
        <v/>
      </c>
      <c r="M597" s="15">
        <f>IF(OR('Data Entry'!A597="",$K597="",$K597=0),"",$L597/$K597)</f>
        <v/>
      </c>
      <c r="N597" s="12">
        <f>IF('Data Entry'!A597="","",IF($L597="","New item",IF($L597&gt;0,"UP",IF($L597&lt;0,"down","same"))))</f>
        <v/>
      </c>
    </row>
    <row r="598">
      <c r="A598" s="11">
        <f>IF('Data Entry'!A598="","",'Data Entry'!A598)</f>
        <v/>
      </c>
      <c r="B598" s="12">
        <f>IF('Data Entry'!A598="","",'Data Entry'!B598)</f>
        <v/>
      </c>
      <c r="C598" s="12">
        <f>IF('Data Entry'!A598="","",'Data Entry'!C598)</f>
        <v/>
      </c>
      <c r="D598" s="12">
        <f>IF('Data Entry'!A598="","",'Data Entry'!D598)</f>
        <v/>
      </c>
      <c r="E598" s="12">
        <f>IF('Data Entry'!A598="","",'Data Entry'!E598)</f>
        <v/>
      </c>
      <c r="F598" s="12">
        <f>IF('Data Entry'!A598="","",'Data Entry'!F598)</f>
        <v/>
      </c>
      <c r="G598" s="13">
        <f>IF('Data Entry'!A598="","",'Data Entry'!G598)</f>
        <v/>
      </c>
      <c r="H598" s="10">
        <f>IF('Data Entry'!A598="","",'Data Entry'!H598)</f>
        <v/>
      </c>
      <c r="I598" s="10">
        <f>IF('Data Entry'!A598="","",'Data Entry'!I598)</f>
        <v/>
      </c>
      <c r="J598" s="12">
        <f>IF('Data Entry'!A598="","",IF('Data Entry'!D598&lt;&gt;"",'Data Entry'!D598,'Data Entry'!E598))</f>
        <v/>
      </c>
      <c r="K598" s="10">
        <f>IF('Data Entry'!A598="","",IFERROR(SUMIFS($H$5:$H$2001,$J$5:$J$2001,$J598,$B$5:$B$2001,$B598,$A$5:$A$2001,(MAXIFS($A$5:$A$2001,$J$5:$J$2001,$J598,$B$5:$B$2001,$B598,$A$5:$A$2001,"&lt;"&amp;$A598))),""))</f>
        <v/>
      </c>
      <c r="L598" s="14">
        <f>IF(OR('Data Entry'!A598="",$K598=""),"",$H598-$K598)</f>
        <v/>
      </c>
      <c r="M598" s="15">
        <f>IF(OR('Data Entry'!A598="",$K598="",$K598=0),"",$L598/$K598)</f>
        <v/>
      </c>
      <c r="N598" s="12">
        <f>IF('Data Entry'!A598="","",IF($L598="","New item",IF($L598&gt;0,"UP",IF($L598&lt;0,"down","same"))))</f>
        <v/>
      </c>
    </row>
    <row r="599">
      <c r="A599" s="11">
        <f>IF('Data Entry'!A599="","",'Data Entry'!A599)</f>
        <v/>
      </c>
      <c r="B599" s="12">
        <f>IF('Data Entry'!A599="","",'Data Entry'!B599)</f>
        <v/>
      </c>
      <c r="C599" s="12">
        <f>IF('Data Entry'!A599="","",'Data Entry'!C599)</f>
        <v/>
      </c>
      <c r="D599" s="12">
        <f>IF('Data Entry'!A599="","",'Data Entry'!D599)</f>
        <v/>
      </c>
      <c r="E599" s="12">
        <f>IF('Data Entry'!A599="","",'Data Entry'!E599)</f>
        <v/>
      </c>
      <c r="F599" s="12">
        <f>IF('Data Entry'!A599="","",'Data Entry'!F599)</f>
        <v/>
      </c>
      <c r="G599" s="13">
        <f>IF('Data Entry'!A599="","",'Data Entry'!G599)</f>
        <v/>
      </c>
      <c r="H599" s="10">
        <f>IF('Data Entry'!A599="","",'Data Entry'!H599)</f>
        <v/>
      </c>
      <c r="I599" s="10">
        <f>IF('Data Entry'!A599="","",'Data Entry'!I599)</f>
        <v/>
      </c>
      <c r="J599" s="12">
        <f>IF('Data Entry'!A599="","",IF('Data Entry'!D599&lt;&gt;"",'Data Entry'!D599,'Data Entry'!E599))</f>
        <v/>
      </c>
      <c r="K599" s="10">
        <f>IF('Data Entry'!A599="","",IFERROR(SUMIFS($H$5:$H$2001,$J$5:$J$2001,$J599,$B$5:$B$2001,$B599,$A$5:$A$2001,(MAXIFS($A$5:$A$2001,$J$5:$J$2001,$J599,$B$5:$B$2001,$B599,$A$5:$A$2001,"&lt;"&amp;$A599))),""))</f>
        <v/>
      </c>
      <c r="L599" s="14">
        <f>IF(OR('Data Entry'!A599="",$K599=""),"",$H599-$K599)</f>
        <v/>
      </c>
      <c r="M599" s="15">
        <f>IF(OR('Data Entry'!A599="",$K599="",$K599=0),"",$L599/$K599)</f>
        <v/>
      </c>
      <c r="N599" s="12">
        <f>IF('Data Entry'!A599="","",IF($L599="","New item",IF($L599&gt;0,"UP",IF($L599&lt;0,"down","same"))))</f>
        <v/>
      </c>
    </row>
    <row r="600">
      <c r="A600" s="11">
        <f>IF('Data Entry'!A600="","",'Data Entry'!A600)</f>
        <v/>
      </c>
      <c r="B600" s="12">
        <f>IF('Data Entry'!A600="","",'Data Entry'!B600)</f>
        <v/>
      </c>
      <c r="C600" s="12">
        <f>IF('Data Entry'!A600="","",'Data Entry'!C600)</f>
        <v/>
      </c>
      <c r="D600" s="12">
        <f>IF('Data Entry'!A600="","",'Data Entry'!D600)</f>
        <v/>
      </c>
      <c r="E600" s="12">
        <f>IF('Data Entry'!A600="","",'Data Entry'!E600)</f>
        <v/>
      </c>
      <c r="F600" s="12">
        <f>IF('Data Entry'!A600="","",'Data Entry'!F600)</f>
        <v/>
      </c>
      <c r="G600" s="13">
        <f>IF('Data Entry'!A600="","",'Data Entry'!G600)</f>
        <v/>
      </c>
      <c r="H600" s="10">
        <f>IF('Data Entry'!A600="","",'Data Entry'!H600)</f>
        <v/>
      </c>
      <c r="I600" s="10">
        <f>IF('Data Entry'!A600="","",'Data Entry'!I600)</f>
        <v/>
      </c>
      <c r="J600" s="12">
        <f>IF('Data Entry'!A600="","",IF('Data Entry'!D600&lt;&gt;"",'Data Entry'!D600,'Data Entry'!E600))</f>
        <v/>
      </c>
      <c r="K600" s="10">
        <f>IF('Data Entry'!A600="","",IFERROR(SUMIFS($H$5:$H$2001,$J$5:$J$2001,$J600,$B$5:$B$2001,$B600,$A$5:$A$2001,(MAXIFS($A$5:$A$2001,$J$5:$J$2001,$J600,$B$5:$B$2001,$B600,$A$5:$A$2001,"&lt;"&amp;$A600))),""))</f>
        <v/>
      </c>
      <c r="L600" s="14">
        <f>IF(OR('Data Entry'!A600="",$K600=""),"",$H600-$K600)</f>
        <v/>
      </c>
      <c r="M600" s="15">
        <f>IF(OR('Data Entry'!A600="",$K600="",$K600=0),"",$L600/$K600)</f>
        <v/>
      </c>
      <c r="N600" s="12">
        <f>IF('Data Entry'!A600="","",IF($L600="","New item",IF($L600&gt;0,"UP",IF($L600&lt;0,"down","same"))))</f>
        <v/>
      </c>
    </row>
    <row r="601">
      <c r="A601" s="11">
        <f>IF('Data Entry'!A601="","",'Data Entry'!A601)</f>
        <v/>
      </c>
      <c r="B601" s="12">
        <f>IF('Data Entry'!A601="","",'Data Entry'!B601)</f>
        <v/>
      </c>
      <c r="C601" s="12">
        <f>IF('Data Entry'!A601="","",'Data Entry'!C601)</f>
        <v/>
      </c>
      <c r="D601" s="12">
        <f>IF('Data Entry'!A601="","",'Data Entry'!D601)</f>
        <v/>
      </c>
      <c r="E601" s="12">
        <f>IF('Data Entry'!A601="","",'Data Entry'!E601)</f>
        <v/>
      </c>
      <c r="F601" s="12">
        <f>IF('Data Entry'!A601="","",'Data Entry'!F601)</f>
        <v/>
      </c>
      <c r="G601" s="13">
        <f>IF('Data Entry'!A601="","",'Data Entry'!G601)</f>
        <v/>
      </c>
      <c r="H601" s="10">
        <f>IF('Data Entry'!A601="","",'Data Entry'!H601)</f>
        <v/>
      </c>
      <c r="I601" s="10">
        <f>IF('Data Entry'!A601="","",'Data Entry'!I601)</f>
        <v/>
      </c>
      <c r="J601" s="12">
        <f>IF('Data Entry'!A601="","",IF('Data Entry'!D601&lt;&gt;"",'Data Entry'!D601,'Data Entry'!E601))</f>
        <v/>
      </c>
      <c r="K601" s="10">
        <f>IF('Data Entry'!A601="","",IFERROR(SUMIFS($H$5:$H$2001,$J$5:$J$2001,$J601,$B$5:$B$2001,$B601,$A$5:$A$2001,(MAXIFS($A$5:$A$2001,$J$5:$J$2001,$J601,$B$5:$B$2001,$B601,$A$5:$A$2001,"&lt;"&amp;$A601))),""))</f>
        <v/>
      </c>
      <c r="L601" s="14">
        <f>IF(OR('Data Entry'!A601="",$K601=""),"",$H601-$K601)</f>
        <v/>
      </c>
      <c r="M601" s="15">
        <f>IF(OR('Data Entry'!A601="",$K601="",$K601=0),"",$L601/$K601)</f>
        <v/>
      </c>
      <c r="N601" s="12">
        <f>IF('Data Entry'!A601="","",IF($L601="","New item",IF($L601&gt;0,"UP",IF($L601&lt;0,"down","same"))))</f>
        <v/>
      </c>
    </row>
    <row r="602">
      <c r="A602" s="11">
        <f>IF('Data Entry'!A602="","",'Data Entry'!A602)</f>
        <v/>
      </c>
      <c r="B602" s="12">
        <f>IF('Data Entry'!A602="","",'Data Entry'!B602)</f>
        <v/>
      </c>
      <c r="C602" s="12">
        <f>IF('Data Entry'!A602="","",'Data Entry'!C602)</f>
        <v/>
      </c>
      <c r="D602" s="12">
        <f>IF('Data Entry'!A602="","",'Data Entry'!D602)</f>
        <v/>
      </c>
      <c r="E602" s="12">
        <f>IF('Data Entry'!A602="","",'Data Entry'!E602)</f>
        <v/>
      </c>
      <c r="F602" s="12">
        <f>IF('Data Entry'!A602="","",'Data Entry'!F602)</f>
        <v/>
      </c>
      <c r="G602" s="13">
        <f>IF('Data Entry'!A602="","",'Data Entry'!G602)</f>
        <v/>
      </c>
      <c r="H602" s="10">
        <f>IF('Data Entry'!A602="","",'Data Entry'!H602)</f>
        <v/>
      </c>
      <c r="I602" s="10">
        <f>IF('Data Entry'!A602="","",'Data Entry'!I602)</f>
        <v/>
      </c>
      <c r="J602" s="12">
        <f>IF('Data Entry'!A602="","",IF('Data Entry'!D602&lt;&gt;"",'Data Entry'!D602,'Data Entry'!E602))</f>
        <v/>
      </c>
      <c r="K602" s="10">
        <f>IF('Data Entry'!A602="","",IFERROR(SUMIFS($H$5:$H$2001,$J$5:$J$2001,$J602,$B$5:$B$2001,$B602,$A$5:$A$2001,(MAXIFS($A$5:$A$2001,$J$5:$J$2001,$J602,$B$5:$B$2001,$B602,$A$5:$A$2001,"&lt;"&amp;$A602))),""))</f>
        <v/>
      </c>
      <c r="L602" s="14">
        <f>IF(OR('Data Entry'!A602="",$K602=""),"",$H602-$K602)</f>
        <v/>
      </c>
      <c r="M602" s="15">
        <f>IF(OR('Data Entry'!A602="",$K602="",$K602=0),"",$L602/$K602)</f>
        <v/>
      </c>
      <c r="N602" s="12">
        <f>IF('Data Entry'!A602="","",IF($L602="","New item",IF($L602&gt;0,"UP",IF($L602&lt;0,"down","same"))))</f>
        <v/>
      </c>
    </row>
    <row r="603">
      <c r="A603" s="11">
        <f>IF('Data Entry'!A603="","",'Data Entry'!A603)</f>
        <v/>
      </c>
      <c r="B603" s="12">
        <f>IF('Data Entry'!A603="","",'Data Entry'!B603)</f>
        <v/>
      </c>
      <c r="C603" s="12">
        <f>IF('Data Entry'!A603="","",'Data Entry'!C603)</f>
        <v/>
      </c>
      <c r="D603" s="12">
        <f>IF('Data Entry'!A603="","",'Data Entry'!D603)</f>
        <v/>
      </c>
      <c r="E603" s="12">
        <f>IF('Data Entry'!A603="","",'Data Entry'!E603)</f>
        <v/>
      </c>
      <c r="F603" s="12">
        <f>IF('Data Entry'!A603="","",'Data Entry'!F603)</f>
        <v/>
      </c>
      <c r="G603" s="13">
        <f>IF('Data Entry'!A603="","",'Data Entry'!G603)</f>
        <v/>
      </c>
      <c r="H603" s="10">
        <f>IF('Data Entry'!A603="","",'Data Entry'!H603)</f>
        <v/>
      </c>
      <c r="I603" s="10">
        <f>IF('Data Entry'!A603="","",'Data Entry'!I603)</f>
        <v/>
      </c>
      <c r="J603" s="12">
        <f>IF('Data Entry'!A603="","",IF('Data Entry'!D603&lt;&gt;"",'Data Entry'!D603,'Data Entry'!E603))</f>
        <v/>
      </c>
      <c r="K603" s="10">
        <f>IF('Data Entry'!A603="","",IFERROR(SUMIFS($H$5:$H$2001,$J$5:$J$2001,$J603,$B$5:$B$2001,$B603,$A$5:$A$2001,(MAXIFS($A$5:$A$2001,$J$5:$J$2001,$J603,$B$5:$B$2001,$B603,$A$5:$A$2001,"&lt;"&amp;$A603))),""))</f>
        <v/>
      </c>
      <c r="L603" s="14">
        <f>IF(OR('Data Entry'!A603="",$K603=""),"",$H603-$K603)</f>
        <v/>
      </c>
      <c r="M603" s="15">
        <f>IF(OR('Data Entry'!A603="",$K603="",$K603=0),"",$L603/$K603)</f>
        <v/>
      </c>
      <c r="N603" s="12">
        <f>IF('Data Entry'!A603="","",IF($L603="","New item",IF($L603&gt;0,"UP",IF($L603&lt;0,"down","same"))))</f>
        <v/>
      </c>
    </row>
    <row r="604">
      <c r="A604" s="11">
        <f>IF('Data Entry'!A604="","",'Data Entry'!A604)</f>
        <v/>
      </c>
      <c r="B604" s="12">
        <f>IF('Data Entry'!A604="","",'Data Entry'!B604)</f>
        <v/>
      </c>
      <c r="C604" s="12">
        <f>IF('Data Entry'!A604="","",'Data Entry'!C604)</f>
        <v/>
      </c>
      <c r="D604" s="12">
        <f>IF('Data Entry'!A604="","",'Data Entry'!D604)</f>
        <v/>
      </c>
      <c r="E604" s="12">
        <f>IF('Data Entry'!A604="","",'Data Entry'!E604)</f>
        <v/>
      </c>
      <c r="F604" s="12">
        <f>IF('Data Entry'!A604="","",'Data Entry'!F604)</f>
        <v/>
      </c>
      <c r="G604" s="13">
        <f>IF('Data Entry'!A604="","",'Data Entry'!G604)</f>
        <v/>
      </c>
      <c r="H604" s="10">
        <f>IF('Data Entry'!A604="","",'Data Entry'!H604)</f>
        <v/>
      </c>
      <c r="I604" s="10">
        <f>IF('Data Entry'!A604="","",'Data Entry'!I604)</f>
        <v/>
      </c>
      <c r="J604" s="12">
        <f>IF('Data Entry'!A604="","",IF('Data Entry'!D604&lt;&gt;"",'Data Entry'!D604,'Data Entry'!E604))</f>
        <v/>
      </c>
      <c r="K604" s="10">
        <f>IF('Data Entry'!A604="","",IFERROR(SUMIFS($H$5:$H$2001,$J$5:$J$2001,$J604,$B$5:$B$2001,$B604,$A$5:$A$2001,(MAXIFS($A$5:$A$2001,$J$5:$J$2001,$J604,$B$5:$B$2001,$B604,$A$5:$A$2001,"&lt;"&amp;$A604))),""))</f>
        <v/>
      </c>
      <c r="L604" s="14">
        <f>IF(OR('Data Entry'!A604="",$K604=""),"",$H604-$K604)</f>
        <v/>
      </c>
      <c r="M604" s="15">
        <f>IF(OR('Data Entry'!A604="",$K604="",$K604=0),"",$L604/$K604)</f>
        <v/>
      </c>
      <c r="N604" s="12">
        <f>IF('Data Entry'!A604="","",IF($L604="","New item",IF($L604&gt;0,"UP",IF($L604&lt;0,"down","same"))))</f>
        <v/>
      </c>
    </row>
    <row r="605">
      <c r="A605" s="11">
        <f>IF('Data Entry'!A605="","",'Data Entry'!A605)</f>
        <v/>
      </c>
      <c r="B605" s="12">
        <f>IF('Data Entry'!A605="","",'Data Entry'!B605)</f>
        <v/>
      </c>
      <c r="C605" s="12">
        <f>IF('Data Entry'!A605="","",'Data Entry'!C605)</f>
        <v/>
      </c>
      <c r="D605" s="12">
        <f>IF('Data Entry'!A605="","",'Data Entry'!D605)</f>
        <v/>
      </c>
      <c r="E605" s="12">
        <f>IF('Data Entry'!A605="","",'Data Entry'!E605)</f>
        <v/>
      </c>
      <c r="F605" s="12">
        <f>IF('Data Entry'!A605="","",'Data Entry'!F605)</f>
        <v/>
      </c>
      <c r="G605" s="13">
        <f>IF('Data Entry'!A605="","",'Data Entry'!G605)</f>
        <v/>
      </c>
      <c r="H605" s="10">
        <f>IF('Data Entry'!A605="","",'Data Entry'!H605)</f>
        <v/>
      </c>
      <c r="I605" s="10">
        <f>IF('Data Entry'!A605="","",'Data Entry'!I605)</f>
        <v/>
      </c>
      <c r="J605" s="12">
        <f>IF('Data Entry'!A605="","",IF('Data Entry'!D605&lt;&gt;"",'Data Entry'!D605,'Data Entry'!E605))</f>
        <v/>
      </c>
      <c r="K605" s="10">
        <f>IF('Data Entry'!A605="","",IFERROR(SUMIFS($H$5:$H$2001,$J$5:$J$2001,$J605,$B$5:$B$2001,$B605,$A$5:$A$2001,(MAXIFS($A$5:$A$2001,$J$5:$J$2001,$J605,$B$5:$B$2001,$B605,$A$5:$A$2001,"&lt;"&amp;$A605))),""))</f>
        <v/>
      </c>
      <c r="L605" s="14">
        <f>IF(OR('Data Entry'!A605="",$K605=""),"",$H605-$K605)</f>
        <v/>
      </c>
      <c r="M605" s="15">
        <f>IF(OR('Data Entry'!A605="",$K605="",$K605=0),"",$L605/$K605)</f>
        <v/>
      </c>
      <c r="N605" s="12">
        <f>IF('Data Entry'!A605="","",IF($L605="","New item",IF($L605&gt;0,"UP",IF($L605&lt;0,"down","same"))))</f>
        <v/>
      </c>
    </row>
    <row r="606">
      <c r="A606" s="11">
        <f>IF('Data Entry'!A606="","",'Data Entry'!A606)</f>
        <v/>
      </c>
      <c r="B606" s="12">
        <f>IF('Data Entry'!A606="","",'Data Entry'!B606)</f>
        <v/>
      </c>
      <c r="C606" s="12">
        <f>IF('Data Entry'!A606="","",'Data Entry'!C606)</f>
        <v/>
      </c>
      <c r="D606" s="12">
        <f>IF('Data Entry'!A606="","",'Data Entry'!D606)</f>
        <v/>
      </c>
      <c r="E606" s="12">
        <f>IF('Data Entry'!A606="","",'Data Entry'!E606)</f>
        <v/>
      </c>
      <c r="F606" s="12">
        <f>IF('Data Entry'!A606="","",'Data Entry'!F606)</f>
        <v/>
      </c>
      <c r="G606" s="13">
        <f>IF('Data Entry'!A606="","",'Data Entry'!G606)</f>
        <v/>
      </c>
      <c r="H606" s="10">
        <f>IF('Data Entry'!A606="","",'Data Entry'!H606)</f>
        <v/>
      </c>
      <c r="I606" s="10">
        <f>IF('Data Entry'!A606="","",'Data Entry'!I606)</f>
        <v/>
      </c>
      <c r="J606" s="12">
        <f>IF('Data Entry'!A606="","",IF('Data Entry'!D606&lt;&gt;"",'Data Entry'!D606,'Data Entry'!E606))</f>
        <v/>
      </c>
      <c r="K606" s="10">
        <f>IF('Data Entry'!A606="","",IFERROR(SUMIFS($H$5:$H$2001,$J$5:$J$2001,$J606,$B$5:$B$2001,$B606,$A$5:$A$2001,(MAXIFS($A$5:$A$2001,$J$5:$J$2001,$J606,$B$5:$B$2001,$B606,$A$5:$A$2001,"&lt;"&amp;$A606))),""))</f>
        <v/>
      </c>
      <c r="L606" s="14">
        <f>IF(OR('Data Entry'!A606="",$K606=""),"",$H606-$K606)</f>
        <v/>
      </c>
      <c r="M606" s="15">
        <f>IF(OR('Data Entry'!A606="",$K606="",$K606=0),"",$L606/$K606)</f>
        <v/>
      </c>
      <c r="N606" s="12">
        <f>IF('Data Entry'!A606="","",IF($L606="","New item",IF($L606&gt;0,"UP",IF($L606&lt;0,"down","same"))))</f>
        <v/>
      </c>
    </row>
    <row r="607">
      <c r="A607" s="11">
        <f>IF('Data Entry'!A607="","",'Data Entry'!A607)</f>
        <v/>
      </c>
      <c r="B607" s="12">
        <f>IF('Data Entry'!A607="","",'Data Entry'!B607)</f>
        <v/>
      </c>
      <c r="C607" s="12">
        <f>IF('Data Entry'!A607="","",'Data Entry'!C607)</f>
        <v/>
      </c>
      <c r="D607" s="12">
        <f>IF('Data Entry'!A607="","",'Data Entry'!D607)</f>
        <v/>
      </c>
      <c r="E607" s="12">
        <f>IF('Data Entry'!A607="","",'Data Entry'!E607)</f>
        <v/>
      </c>
      <c r="F607" s="12">
        <f>IF('Data Entry'!A607="","",'Data Entry'!F607)</f>
        <v/>
      </c>
      <c r="G607" s="13">
        <f>IF('Data Entry'!A607="","",'Data Entry'!G607)</f>
        <v/>
      </c>
      <c r="H607" s="10">
        <f>IF('Data Entry'!A607="","",'Data Entry'!H607)</f>
        <v/>
      </c>
      <c r="I607" s="10">
        <f>IF('Data Entry'!A607="","",'Data Entry'!I607)</f>
        <v/>
      </c>
      <c r="J607" s="12">
        <f>IF('Data Entry'!A607="","",IF('Data Entry'!D607&lt;&gt;"",'Data Entry'!D607,'Data Entry'!E607))</f>
        <v/>
      </c>
      <c r="K607" s="10">
        <f>IF('Data Entry'!A607="","",IFERROR(SUMIFS($H$5:$H$2001,$J$5:$J$2001,$J607,$B$5:$B$2001,$B607,$A$5:$A$2001,(MAXIFS($A$5:$A$2001,$J$5:$J$2001,$J607,$B$5:$B$2001,$B607,$A$5:$A$2001,"&lt;"&amp;$A607))),""))</f>
        <v/>
      </c>
      <c r="L607" s="14">
        <f>IF(OR('Data Entry'!A607="",$K607=""),"",$H607-$K607)</f>
        <v/>
      </c>
      <c r="M607" s="15">
        <f>IF(OR('Data Entry'!A607="",$K607="",$K607=0),"",$L607/$K607)</f>
        <v/>
      </c>
      <c r="N607" s="12">
        <f>IF('Data Entry'!A607="","",IF($L607="","New item",IF($L607&gt;0,"UP",IF($L607&lt;0,"down","same"))))</f>
        <v/>
      </c>
    </row>
    <row r="608">
      <c r="A608" s="11">
        <f>IF('Data Entry'!A608="","",'Data Entry'!A608)</f>
        <v/>
      </c>
      <c r="B608" s="12">
        <f>IF('Data Entry'!A608="","",'Data Entry'!B608)</f>
        <v/>
      </c>
      <c r="C608" s="12">
        <f>IF('Data Entry'!A608="","",'Data Entry'!C608)</f>
        <v/>
      </c>
      <c r="D608" s="12">
        <f>IF('Data Entry'!A608="","",'Data Entry'!D608)</f>
        <v/>
      </c>
      <c r="E608" s="12">
        <f>IF('Data Entry'!A608="","",'Data Entry'!E608)</f>
        <v/>
      </c>
      <c r="F608" s="12">
        <f>IF('Data Entry'!A608="","",'Data Entry'!F608)</f>
        <v/>
      </c>
      <c r="G608" s="13">
        <f>IF('Data Entry'!A608="","",'Data Entry'!G608)</f>
        <v/>
      </c>
      <c r="H608" s="10">
        <f>IF('Data Entry'!A608="","",'Data Entry'!H608)</f>
        <v/>
      </c>
      <c r="I608" s="10">
        <f>IF('Data Entry'!A608="","",'Data Entry'!I608)</f>
        <v/>
      </c>
      <c r="J608" s="12">
        <f>IF('Data Entry'!A608="","",IF('Data Entry'!D608&lt;&gt;"",'Data Entry'!D608,'Data Entry'!E608))</f>
        <v/>
      </c>
      <c r="K608" s="10">
        <f>IF('Data Entry'!A608="","",IFERROR(SUMIFS($H$5:$H$2001,$J$5:$J$2001,$J608,$B$5:$B$2001,$B608,$A$5:$A$2001,(MAXIFS($A$5:$A$2001,$J$5:$J$2001,$J608,$B$5:$B$2001,$B608,$A$5:$A$2001,"&lt;"&amp;$A608))),""))</f>
        <v/>
      </c>
      <c r="L608" s="14">
        <f>IF(OR('Data Entry'!A608="",$K608=""),"",$H608-$K608)</f>
        <v/>
      </c>
      <c r="M608" s="15">
        <f>IF(OR('Data Entry'!A608="",$K608="",$K608=0),"",$L608/$K608)</f>
        <v/>
      </c>
      <c r="N608" s="12">
        <f>IF('Data Entry'!A608="","",IF($L608="","New item",IF($L608&gt;0,"UP",IF($L608&lt;0,"down","same"))))</f>
        <v/>
      </c>
    </row>
    <row r="609">
      <c r="A609" s="11">
        <f>IF('Data Entry'!A609="","",'Data Entry'!A609)</f>
        <v/>
      </c>
      <c r="B609" s="12">
        <f>IF('Data Entry'!A609="","",'Data Entry'!B609)</f>
        <v/>
      </c>
      <c r="C609" s="12">
        <f>IF('Data Entry'!A609="","",'Data Entry'!C609)</f>
        <v/>
      </c>
      <c r="D609" s="12">
        <f>IF('Data Entry'!A609="","",'Data Entry'!D609)</f>
        <v/>
      </c>
      <c r="E609" s="12">
        <f>IF('Data Entry'!A609="","",'Data Entry'!E609)</f>
        <v/>
      </c>
      <c r="F609" s="12">
        <f>IF('Data Entry'!A609="","",'Data Entry'!F609)</f>
        <v/>
      </c>
      <c r="G609" s="13">
        <f>IF('Data Entry'!A609="","",'Data Entry'!G609)</f>
        <v/>
      </c>
      <c r="H609" s="10">
        <f>IF('Data Entry'!A609="","",'Data Entry'!H609)</f>
        <v/>
      </c>
      <c r="I609" s="10">
        <f>IF('Data Entry'!A609="","",'Data Entry'!I609)</f>
        <v/>
      </c>
      <c r="J609" s="12">
        <f>IF('Data Entry'!A609="","",IF('Data Entry'!D609&lt;&gt;"",'Data Entry'!D609,'Data Entry'!E609))</f>
        <v/>
      </c>
      <c r="K609" s="10">
        <f>IF('Data Entry'!A609="","",IFERROR(SUMIFS($H$5:$H$2001,$J$5:$J$2001,$J609,$B$5:$B$2001,$B609,$A$5:$A$2001,(MAXIFS($A$5:$A$2001,$J$5:$J$2001,$J609,$B$5:$B$2001,$B609,$A$5:$A$2001,"&lt;"&amp;$A609))),""))</f>
        <v/>
      </c>
      <c r="L609" s="14">
        <f>IF(OR('Data Entry'!A609="",$K609=""),"",$H609-$K609)</f>
        <v/>
      </c>
      <c r="M609" s="15">
        <f>IF(OR('Data Entry'!A609="",$K609="",$K609=0),"",$L609/$K609)</f>
        <v/>
      </c>
      <c r="N609" s="12">
        <f>IF('Data Entry'!A609="","",IF($L609="","New item",IF($L609&gt;0,"UP",IF($L609&lt;0,"down","same"))))</f>
        <v/>
      </c>
    </row>
    <row r="610">
      <c r="A610" s="11">
        <f>IF('Data Entry'!A610="","",'Data Entry'!A610)</f>
        <v/>
      </c>
      <c r="B610" s="12">
        <f>IF('Data Entry'!A610="","",'Data Entry'!B610)</f>
        <v/>
      </c>
      <c r="C610" s="12">
        <f>IF('Data Entry'!A610="","",'Data Entry'!C610)</f>
        <v/>
      </c>
      <c r="D610" s="12">
        <f>IF('Data Entry'!A610="","",'Data Entry'!D610)</f>
        <v/>
      </c>
      <c r="E610" s="12">
        <f>IF('Data Entry'!A610="","",'Data Entry'!E610)</f>
        <v/>
      </c>
      <c r="F610" s="12">
        <f>IF('Data Entry'!A610="","",'Data Entry'!F610)</f>
        <v/>
      </c>
      <c r="G610" s="13">
        <f>IF('Data Entry'!A610="","",'Data Entry'!G610)</f>
        <v/>
      </c>
      <c r="H610" s="10">
        <f>IF('Data Entry'!A610="","",'Data Entry'!H610)</f>
        <v/>
      </c>
      <c r="I610" s="10">
        <f>IF('Data Entry'!A610="","",'Data Entry'!I610)</f>
        <v/>
      </c>
      <c r="J610" s="12">
        <f>IF('Data Entry'!A610="","",IF('Data Entry'!D610&lt;&gt;"",'Data Entry'!D610,'Data Entry'!E610))</f>
        <v/>
      </c>
      <c r="K610" s="10">
        <f>IF('Data Entry'!A610="","",IFERROR(SUMIFS($H$5:$H$2001,$J$5:$J$2001,$J610,$B$5:$B$2001,$B610,$A$5:$A$2001,(MAXIFS($A$5:$A$2001,$J$5:$J$2001,$J610,$B$5:$B$2001,$B610,$A$5:$A$2001,"&lt;"&amp;$A610))),""))</f>
        <v/>
      </c>
      <c r="L610" s="14">
        <f>IF(OR('Data Entry'!A610="",$K610=""),"",$H610-$K610)</f>
        <v/>
      </c>
      <c r="M610" s="15">
        <f>IF(OR('Data Entry'!A610="",$K610="",$K610=0),"",$L610/$K610)</f>
        <v/>
      </c>
      <c r="N610" s="12">
        <f>IF('Data Entry'!A610="","",IF($L610="","New item",IF($L610&gt;0,"UP",IF($L610&lt;0,"down","same"))))</f>
        <v/>
      </c>
    </row>
    <row r="611">
      <c r="A611" s="11">
        <f>IF('Data Entry'!A611="","",'Data Entry'!A611)</f>
        <v/>
      </c>
      <c r="B611" s="12">
        <f>IF('Data Entry'!A611="","",'Data Entry'!B611)</f>
        <v/>
      </c>
      <c r="C611" s="12">
        <f>IF('Data Entry'!A611="","",'Data Entry'!C611)</f>
        <v/>
      </c>
      <c r="D611" s="12">
        <f>IF('Data Entry'!A611="","",'Data Entry'!D611)</f>
        <v/>
      </c>
      <c r="E611" s="12">
        <f>IF('Data Entry'!A611="","",'Data Entry'!E611)</f>
        <v/>
      </c>
      <c r="F611" s="12">
        <f>IF('Data Entry'!A611="","",'Data Entry'!F611)</f>
        <v/>
      </c>
      <c r="G611" s="13">
        <f>IF('Data Entry'!A611="","",'Data Entry'!G611)</f>
        <v/>
      </c>
      <c r="H611" s="10">
        <f>IF('Data Entry'!A611="","",'Data Entry'!H611)</f>
        <v/>
      </c>
      <c r="I611" s="10">
        <f>IF('Data Entry'!A611="","",'Data Entry'!I611)</f>
        <v/>
      </c>
      <c r="J611" s="12">
        <f>IF('Data Entry'!A611="","",IF('Data Entry'!D611&lt;&gt;"",'Data Entry'!D611,'Data Entry'!E611))</f>
        <v/>
      </c>
      <c r="K611" s="10">
        <f>IF('Data Entry'!A611="","",IFERROR(SUMIFS($H$5:$H$2001,$J$5:$J$2001,$J611,$B$5:$B$2001,$B611,$A$5:$A$2001,(MAXIFS($A$5:$A$2001,$J$5:$J$2001,$J611,$B$5:$B$2001,$B611,$A$5:$A$2001,"&lt;"&amp;$A611))),""))</f>
        <v/>
      </c>
      <c r="L611" s="14">
        <f>IF(OR('Data Entry'!A611="",$K611=""),"",$H611-$K611)</f>
        <v/>
      </c>
      <c r="M611" s="15">
        <f>IF(OR('Data Entry'!A611="",$K611="",$K611=0),"",$L611/$K611)</f>
        <v/>
      </c>
      <c r="N611" s="12">
        <f>IF('Data Entry'!A611="","",IF($L611="","New item",IF($L611&gt;0,"UP",IF($L611&lt;0,"down","same"))))</f>
        <v/>
      </c>
    </row>
    <row r="612">
      <c r="A612" s="11">
        <f>IF('Data Entry'!A612="","",'Data Entry'!A612)</f>
        <v/>
      </c>
      <c r="B612" s="12">
        <f>IF('Data Entry'!A612="","",'Data Entry'!B612)</f>
        <v/>
      </c>
      <c r="C612" s="12">
        <f>IF('Data Entry'!A612="","",'Data Entry'!C612)</f>
        <v/>
      </c>
      <c r="D612" s="12">
        <f>IF('Data Entry'!A612="","",'Data Entry'!D612)</f>
        <v/>
      </c>
      <c r="E612" s="12">
        <f>IF('Data Entry'!A612="","",'Data Entry'!E612)</f>
        <v/>
      </c>
      <c r="F612" s="12">
        <f>IF('Data Entry'!A612="","",'Data Entry'!F612)</f>
        <v/>
      </c>
      <c r="G612" s="13">
        <f>IF('Data Entry'!A612="","",'Data Entry'!G612)</f>
        <v/>
      </c>
      <c r="H612" s="10">
        <f>IF('Data Entry'!A612="","",'Data Entry'!H612)</f>
        <v/>
      </c>
      <c r="I612" s="10">
        <f>IF('Data Entry'!A612="","",'Data Entry'!I612)</f>
        <v/>
      </c>
      <c r="J612" s="12">
        <f>IF('Data Entry'!A612="","",IF('Data Entry'!D612&lt;&gt;"",'Data Entry'!D612,'Data Entry'!E612))</f>
        <v/>
      </c>
      <c r="K612" s="10">
        <f>IF('Data Entry'!A612="","",IFERROR(SUMIFS($H$5:$H$2001,$J$5:$J$2001,$J612,$B$5:$B$2001,$B612,$A$5:$A$2001,(MAXIFS($A$5:$A$2001,$J$5:$J$2001,$J612,$B$5:$B$2001,$B612,$A$5:$A$2001,"&lt;"&amp;$A612))),""))</f>
        <v/>
      </c>
      <c r="L612" s="14">
        <f>IF(OR('Data Entry'!A612="",$K612=""),"",$H612-$K612)</f>
        <v/>
      </c>
      <c r="M612" s="15">
        <f>IF(OR('Data Entry'!A612="",$K612="",$K612=0),"",$L612/$K612)</f>
        <v/>
      </c>
      <c r="N612" s="12">
        <f>IF('Data Entry'!A612="","",IF($L612="","New item",IF($L612&gt;0,"UP",IF($L612&lt;0,"down","same"))))</f>
        <v/>
      </c>
    </row>
    <row r="613">
      <c r="A613" s="11">
        <f>IF('Data Entry'!A613="","",'Data Entry'!A613)</f>
        <v/>
      </c>
      <c r="B613" s="12">
        <f>IF('Data Entry'!A613="","",'Data Entry'!B613)</f>
        <v/>
      </c>
      <c r="C613" s="12">
        <f>IF('Data Entry'!A613="","",'Data Entry'!C613)</f>
        <v/>
      </c>
      <c r="D613" s="12">
        <f>IF('Data Entry'!A613="","",'Data Entry'!D613)</f>
        <v/>
      </c>
      <c r="E613" s="12">
        <f>IF('Data Entry'!A613="","",'Data Entry'!E613)</f>
        <v/>
      </c>
      <c r="F613" s="12">
        <f>IF('Data Entry'!A613="","",'Data Entry'!F613)</f>
        <v/>
      </c>
      <c r="G613" s="13">
        <f>IF('Data Entry'!A613="","",'Data Entry'!G613)</f>
        <v/>
      </c>
      <c r="H613" s="10">
        <f>IF('Data Entry'!A613="","",'Data Entry'!H613)</f>
        <v/>
      </c>
      <c r="I613" s="10">
        <f>IF('Data Entry'!A613="","",'Data Entry'!I613)</f>
        <v/>
      </c>
      <c r="J613" s="12">
        <f>IF('Data Entry'!A613="","",IF('Data Entry'!D613&lt;&gt;"",'Data Entry'!D613,'Data Entry'!E613))</f>
        <v/>
      </c>
      <c r="K613" s="10">
        <f>IF('Data Entry'!A613="","",IFERROR(SUMIFS($H$5:$H$2001,$J$5:$J$2001,$J613,$B$5:$B$2001,$B613,$A$5:$A$2001,(MAXIFS($A$5:$A$2001,$J$5:$J$2001,$J613,$B$5:$B$2001,$B613,$A$5:$A$2001,"&lt;"&amp;$A613))),""))</f>
        <v/>
      </c>
      <c r="L613" s="14">
        <f>IF(OR('Data Entry'!A613="",$K613=""),"",$H613-$K613)</f>
        <v/>
      </c>
      <c r="M613" s="15">
        <f>IF(OR('Data Entry'!A613="",$K613="",$K613=0),"",$L613/$K613)</f>
        <v/>
      </c>
      <c r="N613" s="12">
        <f>IF('Data Entry'!A613="","",IF($L613="","New item",IF($L613&gt;0,"UP",IF($L613&lt;0,"down","same"))))</f>
        <v/>
      </c>
    </row>
    <row r="614">
      <c r="A614" s="11">
        <f>IF('Data Entry'!A614="","",'Data Entry'!A614)</f>
        <v/>
      </c>
      <c r="B614" s="12">
        <f>IF('Data Entry'!A614="","",'Data Entry'!B614)</f>
        <v/>
      </c>
      <c r="C614" s="12">
        <f>IF('Data Entry'!A614="","",'Data Entry'!C614)</f>
        <v/>
      </c>
      <c r="D614" s="12">
        <f>IF('Data Entry'!A614="","",'Data Entry'!D614)</f>
        <v/>
      </c>
      <c r="E614" s="12">
        <f>IF('Data Entry'!A614="","",'Data Entry'!E614)</f>
        <v/>
      </c>
      <c r="F614" s="12">
        <f>IF('Data Entry'!A614="","",'Data Entry'!F614)</f>
        <v/>
      </c>
      <c r="G614" s="13">
        <f>IF('Data Entry'!A614="","",'Data Entry'!G614)</f>
        <v/>
      </c>
      <c r="H614" s="10">
        <f>IF('Data Entry'!A614="","",'Data Entry'!H614)</f>
        <v/>
      </c>
      <c r="I614" s="10">
        <f>IF('Data Entry'!A614="","",'Data Entry'!I614)</f>
        <v/>
      </c>
      <c r="J614" s="12">
        <f>IF('Data Entry'!A614="","",IF('Data Entry'!D614&lt;&gt;"",'Data Entry'!D614,'Data Entry'!E614))</f>
        <v/>
      </c>
      <c r="K614" s="10">
        <f>IF('Data Entry'!A614="","",IFERROR(SUMIFS($H$5:$H$2001,$J$5:$J$2001,$J614,$B$5:$B$2001,$B614,$A$5:$A$2001,(MAXIFS($A$5:$A$2001,$J$5:$J$2001,$J614,$B$5:$B$2001,$B614,$A$5:$A$2001,"&lt;"&amp;$A614))),""))</f>
        <v/>
      </c>
      <c r="L614" s="14">
        <f>IF(OR('Data Entry'!A614="",$K614=""),"",$H614-$K614)</f>
        <v/>
      </c>
      <c r="M614" s="15">
        <f>IF(OR('Data Entry'!A614="",$K614="",$K614=0),"",$L614/$K614)</f>
        <v/>
      </c>
      <c r="N614" s="12">
        <f>IF('Data Entry'!A614="","",IF($L614="","New item",IF($L614&gt;0,"UP",IF($L614&lt;0,"down","same"))))</f>
        <v/>
      </c>
    </row>
    <row r="615">
      <c r="A615" s="11">
        <f>IF('Data Entry'!A615="","",'Data Entry'!A615)</f>
        <v/>
      </c>
      <c r="B615" s="12">
        <f>IF('Data Entry'!A615="","",'Data Entry'!B615)</f>
        <v/>
      </c>
      <c r="C615" s="12">
        <f>IF('Data Entry'!A615="","",'Data Entry'!C615)</f>
        <v/>
      </c>
      <c r="D615" s="12">
        <f>IF('Data Entry'!A615="","",'Data Entry'!D615)</f>
        <v/>
      </c>
      <c r="E615" s="12">
        <f>IF('Data Entry'!A615="","",'Data Entry'!E615)</f>
        <v/>
      </c>
      <c r="F615" s="12">
        <f>IF('Data Entry'!A615="","",'Data Entry'!F615)</f>
        <v/>
      </c>
      <c r="G615" s="13">
        <f>IF('Data Entry'!A615="","",'Data Entry'!G615)</f>
        <v/>
      </c>
      <c r="H615" s="10">
        <f>IF('Data Entry'!A615="","",'Data Entry'!H615)</f>
        <v/>
      </c>
      <c r="I615" s="10">
        <f>IF('Data Entry'!A615="","",'Data Entry'!I615)</f>
        <v/>
      </c>
      <c r="J615" s="12">
        <f>IF('Data Entry'!A615="","",IF('Data Entry'!D615&lt;&gt;"",'Data Entry'!D615,'Data Entry'!E615))</f>
        <v/>
      </c>
      <c r="K615" s="10">
        <f>IF('Data Entry'!A615="","",IFERROR(SUMIFS($H$5:$H$2001,$J$5:$J$2001,$J615,$B$5:$B$2001,$B615,$A$5:$A$2001,(MAXIFS($A$5:$A$2001,$J$5:$J$2001,$J615,$B$5:$B$2001,$B615,$A$5:$A$2001,"&lt;"&amp;$A615))),""))</f>
        <v/>
      </c>
      <c r="L615" s="14">
        <f>IF(OR('Data Entry'!A615="",$K615=""),"",$H615-$K615)</f>
        <v/>
      </c>
      <c r="M615" s="15">
        <f>IF(OR('Data Entry'!A615="",$K615="",$K615=0),"",$L615/$K615)</f>
        <v/>
      </c>
      <c r="N615" s="12">
        <f>IF('Data Entry'!A615="","",IF($L615="","New item",IF($L615&gt;0,"UP",IF($L615&lt;0,"down","same"))))</f>
        <v/>
      </c>
    </row>
    <row r="616">
      <c r="A616" s="11">
        <f>IF('Data Entry'!A616="","",'Data Entry'!A616)</f>
        <v/>
      </c>
      <c r="B616" s="12">
        <f>IF('Data Entry'!A616="","",'Data Entry'!B616)</f>
        <v/>
      </c>
      <c r="C616" s="12">
        <f>IF('Data Entry'!A616="","",'Data Entry'!C616)</f>
        <v/>
      </c>
      <c r="D616" s="12">
        <f>IF('Data Entry'!A616="","",'Data Entry'!D616)</f>
        <v/>
      </c>
      <c r="E616" s="12">
        <f>IF('Data Entry'!A616="","",'Data Entry'!E616)</f>
        <v/>
      </c>
      <c r="F616" s="12">
        <f>IF('Data Entry'!A616="","",'Data Entry'!F616)</f>
        <v/>
      </c>
      <c r="G616" s="13">
        <f>IF('Data Entry'!A616="","",'Data Entry'!G616)</f>
        <v/>
      </c>
      <c r="H616" s="10">
        <f>IF('Data Entry'!A616="","",'Data Entry'!H616)</f>
        <v/>
      </c>
      <c r="I616" s="10">
        <f>IF('Data Entry'!A616="","",'Data Entry'!I616)</f>
        <v/>
      </c>
      <c r="J616" s="12">
        <f>IF('Data Entry'!A616="","",IF('Data Entry'!D616&lt;&gt;"",'Data Entry'!D616,'Data Entry'!E616))</f>
        <v/>
      </c>
      <c r="K616" s="10">
        <f>IF('Data Entry'!A616="","",IFERROR(SUMIFS($H$5:$H$2001,$J$5:$J$2001,$J616,$B$5:$B$2001,$B616,$A$5:$A$2001,(MAXIFS($A$5:$A$2001,$J$5:$J$2001,$J616,$B$5:$B$2001,$B616,$A$5:$A$2001,"&lt;"&amp;$A616))),""))</f>
        <v/>
      </c>
      <c r="L616" s="14">
        <f>IF(OR('Data Entry'!A616="",$K616=""),"",$H616-$K616)</f>
        <v/>
      </c>
      <c r="M616" s="15">
        <f>IF(OR('Data Entry'!A616="",$K616="",$K616=0),"",$L616/$K616)</f>
        <v/>
      </c>
      <c r="N616" s="12">
        <f>IF('Data Entry'!A616="","",IF($L616="","New item",IF($L616&gt;0,"UP",IF($L616&lt;0,"down","same"))))</f>
        <v/>
      </c>
    </row>
    <row r="617">
      <c r="A617" s="11">
        <f>IF('Data Entry'!A617="","",'Data Entry'!A617)</f>
        <v/>
      </c>
      <c r="B617" s="12">
        <f>IF('Data Entry'!A617="","",'Data Entry'!B617)</f>
        <v/>
      </c>
      <c r="C617" s="12">
        <f>IF('Data Entry'!A617="","",'Data Entry'!C617)</f>
        <v/>
      </c>
      <c r="D617" s="12">
        <f>IF('Data Entry'!A617="","",'Data Entry'!D617)</f>
        <v/>
      </c>
      <c r="E617" s="12">
        <f>IF('Data Entry'!A617="","",'Data Entry'!E617)</f>
        <v/>
      </c>
      <c r="F617" s="12">
        <f>IF('Data Entry'!A617="","",'Data Entry'!F617)</f>
        <v/>
      </c>
      <c r="G617" s="13">
        <f>IF('Data Entry'!A617="","",'Data Entry'!G617)</f>
        <v/>
      </c>
      <c r="H617" s="10">
        <f>IF('Data Entry'!A617="","",'Data Entry'!H617)</f>
        <v/>
      </c>
      <c r="I617" s="10">
        <f>IF('Data Entry'!A617="","",'Data Entry'!I617)</f>
        <v/>
      </c>
      <c r="J617" s="12">
        <f>IF('Data Entry'!A617="","",IF('Data Entry'!D617&lt;&gt;"",'Data Entry'!D617,'Data Entry'!E617))</f>
        <v/>
      </c>
      <c r="K617" s="10">
        <f>IF('Data Entry'!A617="","",IFERROR(SUMIFS($H$5:$H$2001,$J$5:$J$2001,$J617,$B$5:$B$2001,$B617,$A$5:$A$2001,(MAXIFS($A$5:$A$2001,$J$5:$J$2001,$J617,$B$5:$B$2001,$B617,$A$5:$A$2001,"&lt;"&amp;$A617))),""))</f>
        <v/>
      </c>
      <c r="L617" s="14">
        <f>IF(OR('Data Entry'!A617="",$K617=""),"",$H617-$K617)</f>
        <v/>
      </c>
      <c r="M617" s="15">
        <f>IF(OR('Data Entry'!A617="",$K617="",$K617=0),"",$L617/$K617)</f>
        <v/>
      </c>
      <c r="N617" s="12">
        <f>IF('Data Entry'!A617="","",IF($L617="","New item",IF($L617&gt;0,"UP",IF($L617&lt;0,"down","same"))))</f>
        <v/>
      </c>
    </row>
    <row r="618">
      <c r="A618" s="11">
        <f>IF('Data Entry'!A618="","",'Data Entry'!A618)</f>
        <v/>
      </c>
      <c r="B618" s="12">
        <f>IF('Data Entry'!A618="","",'Data Entry'!B618)</f>
        <v/>
      </c>
      <c r="C618" s="12">
        <f>IF('Data Entry'!A618="","",'Data Entry'!C618)</f>
        <v/>
      </c>
      <c r="D618" s="12">
        <f>IF('Data Entry'!A618="","",'Data Entry'!D618)</f>
        <v/>
      </c>
      <c r="E618" s="12">
        <f>IF('Data Entry'!A618="","",'Data Entry'!E618)</f>
        <v/>
      </c>
      <c r="F618" s="12">
        <f>IF('Data Entry'!A618="","",'Data Entry'!F618)</f>
        <v/>
      </c>
      <c r="G618" s="13">
        <f>IF('Data Entry'!A618="","",'Data Entry'!G618)</f>
        <v/>
      </c>
      <c r="H618" s="10">
        <f>IF('Data Entry'!A618="","",'Data Entry'!H618)</f>
        <v/>
      </c>
      <c r="I618" s="10">
        <f>IF('Data Entry'!A618="","",'Data Entry'!I618)</f>
        <v/>
      </c>
      <c r="J618" s="12">
        <f>IF('Data Entry'!A618="","",IF('Data Entry'!D618&lt;&gt;"",'Data Entry'!D618,'Data Entry'!E618))</f>
        <v/>
      </c>
      <c r="K618" s="10">
        <f>IF('Data Entry'!A618="","",IFERROR(SUMIFS($H$5:$H$2001,$J$5:$J$2001,$J618,$B$5:$B$2001,$B618,$A$5:$A$2001,(MAXIFS($A$5:$A$2001,$J$5:$J$2001,$J618,$B$5:$B$2001,$B618,$A$5:$A$2001,"&lt;"&amp;$A618))),""))</f>
        <v/>
      </c>
      <c r="L618" s="14">
        <f>IF(OR('Data Entry'!A618="",$K618=""),"",$H618-$K618)</f>
        <v/>
      </c>
      <c r="M618" s="15">
        <f>IF(OR('Data Entry'!A618="",$K618="",$K618=0),"",$L618/$K618)</f>
        <v/>
      </c>
      <c r="N618" s="12">
        <f>IF('Data Entry'!A618="","",IF($L618="","New item",IF($L618&gt;0,"UP",IF($L618&lt;0,"down","same"))))</f>
        <v/>
      </c>
    </row>
    <row r="619">
      <c r="A619" s="11">
        <f>IF('Data Entry'!A619="","",'Data Entry'!A619)</f>
        <v/>
      </c>
      <c r="B619" s="12">
        <f>IF('Data Entry'!A619="","",'Data Entry'!B619)</f>
        <v/>
      </c>
      <c r="C619" s="12">
        <f>IF('Data Entry'!A619="","",'Data Entry'!C619)</f>
        <v/>
      </c>
      <c r="D619" s="12">
        <f>IF('Data Entry'!A619="","",'Data Entry'!D619)</f>
        <v/>
      </c>
      <c r="E619" s="12">
        <f>IF('Data Entry'!A619="","",'Data Entry'!E619)</f>
        <v/>
      </c>
      <c r="F619" s="12">
        <f>IF('Data Entry'!A619="","",'Data Entry'!F619)</f>
        <v/>
      </c>
      <c r="G619" s="13">
        <f>IF('Data Entry'!A619="","",'Data Entry'!G619)</f>
        <v/>
      </c>
      <c r="H619" s="10">
        <f>IF('Data Entry'!A619="","",'Data Entry'!H619)</f>
        <v/>
      </c>
      <c r="I619" s="10">
        <f>IF('Data Entry'!A619="","",'Data Entry'!I619)</f>
        <v/>
      </c>
      <c r="J619" s="12">
        <f>IF('Data Entry'!A619="","",IF('Data Entry'!D619&lt;&gt;"",'Data Entry'!D619,'Data Entry'!E619))</f>
        <v/>
      </c>
      <c r="K619" s="10">
        <f>IF('Data Entry'!A619="","",IFERROR(SUMIFS($H$5:$H$2001,$J$5:$J$2001,$J619,$B$5:$B$2001,$B619,$A$5:$A$2001,(MAXIFS($A$5:$A$2001,$J$5:$J$2001,$J619,$B$5:$B$2001,$B619,$A$5:$A$2001,"&lt;"&amp;$A619))),""))</f>
        <v/>
      </c>
      <c r="L619" s="14">
        <f>IF(OR('Data Entry'!A619="",$K619=""),"",$H619-$K619)</f>
        <v/>
      </c>
      <c r="M619" s="15">
        <f>IF(OR('Data Entry'!A619="",$K619="",$K619=0),"",$L619/$K619)</f>
        <v/>
      </c>
      <c r="N619" s="12">
        <f>IF('Data Entry'!A619="","",IF($L619="","New item",IF($L619&gt;0,"UP",IF($L619&lt;0,"down","same"))))</f>
        <v/>
      </c>
    </row>
    <row r="620">
      <c r="A620" s="11">
        <f>IF('Data Entry'!A620="","",'Data Entry'!A620)</f>
        <v/>
      </c>
      <c r="B620" s="12">
        <f>IF('Data Entry'!A620="","",'Data Entry'!B620)</f>
        <v/>
      </c>
      <c r="C620" s="12">
        <f>IF('Data Entry'!A620="","",'Data Entry'!C620)</f>
        <v/>
      </c>
      <c r="D620" s="12">
        <f>IF('Data Entry'!A620="","",'Data Entry'!D620)</f>
        <v/>
      </c>
      <c r="E620" s="12">
        <f>IF('Data Entry'!A620="","",'Data Entry'!E620)</f>
        <v/>
      </c>
      <c r="F620" s="12">
        <f>IF('Data Entry'!A620="","",'Data Entry'!F620)</f>
        <v/>
      </c>
      <c r="G620" s="13">
        <f>IF('Data Entry'!A620="","",'Data Entry'!G620)</f>
        <v/>
      </c>
      <c r="H620" s="10">
        <f>IF('Data Entry'!A620="","",'Data Entry'!H620)</f>
        <v/>
      </c>
      <c r="I620" s="10">
        <f>IF('Data Entry'!A620="","",'Data Entry'!I620)</f>
        <v/>
      </c>
      <c r="J620" s="12">
        <f>IF('Data Entry'!A620="","",IF('Data Entry'!D620&lt;&gt;"",'Data Entry'!D620,'Data Entry'!E620))</f>
        <v/>
      </c>
      <c r="K620" s="10">
        <f>IF('Data Entry'!A620="","",IFERROR(SUMIFS($H$5:$H$2001,$J$5:$J$2001,$J620,$B$5:$B$2001,$B620,$A$5:$A$2001,(MAXIFS($A$5:$A$2001,$J$5:$J$2001,$J620,$B$5:$B$2001,$B620,$A$5:$A$2001,"&lt;"&amp;$A620))),""))</f>
        <v/>
      </c>
      <c r="L620" s="14">
        <f>IF(OR('Data Entry'!A620="",$K620=""),"",$H620-$K620)</f>
        <v/>
      </c>
      <c r="M620" s="15">
        <f>IF(OR('Data Entry'!A620="",$K620="",$K620=0),"",$L620/$K620)</f>
        <v/>
      </c>
      <c r="N620" s="12">
        <f>IF('Data Entry'!A620="","",IF($L620="","New item",IF($L620&gt;0,"UP",IF($L620&lt;0,"down","same"))))</f>
        <v/>
      </c>
    </row>
    <row r="621">
      <c r="A621" s="11">
        <f>IF('Data Entry'!A621="","",'Data Entry'!A621)</f>
        <v/>
      </c>
      <c r="B621" s="12">
        <f>IF('Data Entry'!A621="","",'Data Entry'!B621)</f>
        <v/>
      </c>
      <c r="C621" s="12">
        <f>IF('Data Entry'!A621="","",'Data Entry'!C621)</f>
        <v/>
      </c>
      <c r="D621" s="12">
        <f>IF('Data Entry'!A621="","",'Data Entry'!D621)</f>
        <v/>
      </c>
      <c r="E621" s="12">
        <f>IF('Data Entry'!A621="","",'Data Entry'!E621)</f>
        <v/>
      </c>
      <c r="F621" s="12">
        <f>IF('Data Entry'!A621="","",'Data Entry'!F621)</f>
        <v/>
      </c>
      <c r="G621" s="13">
        <f>IF('Data Entry'!A621="","",'Data Entry'!G621)</f>
        <v/>
      </c>
      <c r="H621" s="10">
        <f>IF('Data Entry'!A621="","",'Data Entry'!H621)</f>
        <v/>
      </c>
      <c r="I621" s="10">
        <f>IF('Data Entry'!A621="","",'Data Entry'!I621)</f>
        <v/>
      </c>
      <c r="J621" s="12">
        <f>IF('Data Entry'!A621="","",IF('Data Entry'!D621&lt;&gt;"",'Data Entry'!D621,'Data Entry'!E621))</f>
        <v/>
      </c>
      <c r="K621" s="10">
        <f>IF('Data Entry'!A621="","",IFERROR(SUMIFS($H$5:$H$2001,$J$5:$J$2001,$J621,$B$5:$B$2001,$B621,$A$5:$A$2001,(MAXIFS($A$5:$A$2001,$J$5:$J$2001,$J621,$B$5:$B$2001,$B621,$A$5:$A$2001,"&lt;"&amp;$A621))),""))</f>
        <v/>
      </c>
      <c r="L621" s="14">
        <f>IF(OR('Data Entry'!A621="",$K621=""),"",$H621-$K621)</f>
        <v/>
      </c>
      <c r="M621" s="15">
        <f>IF(OR('Data Entry'!A621="",$K621="",$K621=0),"",$L621/$K621)</f>
        <v/>
      </c>
      <c r="N621" s="12">
        <f>IF('Data Entry'!A621="","",IF($L621="","New item",IF($L621&gt;0,"UP",IF($L621&lt;0,"down","same"))))</f>
        <v/>
      </c>
    </row>
    <row r="622">
      <c r="A622" s="11">
        <f>IF('Data Entry'!A622="","",'Data Entry'!A622)</f>
        <v/>
      </c>
      <c r="B622" s="12">
        <f>IF('Data Entry'!A622="","",'Data Entry'!B622)</f>
        <v/>
      </c>
      <c r="C622" s="12">
        <f>IF('Data Entry'!A622="","",'Data Entry'!C622)</f>
        <v/>
      </c>
      <c r="D622" s="12">
        <f>IF('Data Entry'!A622="","",'Data Entry'!D622)</f>
        <v/>
      </c>
      <c r="E622" s="12">
        <f>IF('Data Entry'!A622="","",'Data Entry'!E622)</f>
        <v/>
      </c>
      <c r="F622" s="12">
        <f>IF('Data Entry'!A622="","",'Data Entry'!F622)</f>
        <v/>
      </c>
      <c r="G622" s="13">
        <f>IF('Data Entry'!A622="","",'Data Entry'!G622)</f>
        <v/>
      </c>
      <c r="H622" s="10">
        <f>IF('Data Entry'!A622="","",'Data Entry'!H622)</f>
        <v/>
      </c>
      <c r="I622" s="10">
        <f>IF('Data Entry'!A622="","",'Data Entry'!I622)</f>
        <v/>
      </c>
      <c r="J622" s="12">
        <f>IF('Data Entry'!A622="","",IF('Data Entry'!D622&lt;&gt;"",'Data Entry'!D622,'Data Entry'!E622))</f>
        <v/>
      </c>
      <c r="K622" s="10">
        <f>IF('Data Entry'!A622="","",IFERROR(SUMIFS($H$5:$H$2001,$J$5:$J$2001,$J622,$B$5:$B$2001,$B622,$A$5:$A$2001,(MAXIFS($A$5:$A$2001,$J$5:$J$2001,$J622,$B$5:$B$2001,$B622,$A$5:$A$2001,"&lt;"&amp;$A622))),""))</f>
        <v/>
      </c>
      <c r="L622" s="14">
        <f>IF(OR('Data Entry'!A622="",$K622=""),"",$H622-$K622)</f>
        <v/>
      </c>
      <c r="M622" s="15">
        <f>IF(OR('Data Entry'!A622="",$K622="",$K622=0),"",$L622/$K622)</f>
        <v/>
      </c>
      <c r="N622" s="12">
        <f>IF('Data Entry'!A622="","",IF($L622="","New item",IF($L622&gt;0,"UP",IF($L622&lt;0,"down","same"))))</f>
        <v/>
      </c>
    </row>
    <row r="623">
      <c r="A623" s="11">
        <f>IF('Data Entry'!A623="","",'Data Entry'!A623)</f>
        <v/>
      </c>
      <c r="B623" s="12">
        <f>IF('Data Entry'!A623="","",'Data Entry'!B623)</f>
        <v/>
      </c>
      <c r="C623" s="12">
        <f>IF('Data Entry'!A623="","",'Data Entry'!C623)</f>
        <v/>
      </c>
      <c r="D623" s="12">
        <f>IF('Data Entry'!A623="","",'Data Entry'!D623)</f>
        <v/>
      </c>
      <c r="E623" s="12">
        <f>IF('Data Entry'!A623="","",'Data Entry'!E623)</f>
        <v/>
      </c>
      <c r="F623" s="12">
        <f>IF('Data Entry'!A623="","",'Data Entry'!F623)</f>
        <v/>
      </c>
      <c r="G623" s="13">
        <f>IF('Data Entry'!A623="","",'Data Entry'!G623)</f>
        <v/>
      </c>
      <c r="H623" s="10">
        <f>IF('Data Entry'!A623="","",'Data Entry'!H623)</f>
        <v/>
      </c>
      <c r="I623" s="10">
        <f>IF('Data Entry'!A623="","",'Data Entry'!I623)</f>
        <v/>
      </c>
      <c r="J623" s="12">
        <f>IF('Data Entry'!A623="","",IF('Data Entry'!D623&lt;&gt;"",'Data Entry'!D623,'Data Entry'!E623))</f>
        <v/>
      </c>
      <c r="K623" s="10">
        <f>IF('Data Entry'!A623="","",IFERROR(SUMIFS($H$5:$H$2001,$J$5:$J$2001,$J623,$B$5:$B$2001,$B623,$A$5:$A$2001,(MAXIFS($A$5:$A$2001,$J$5:$J$2001,$J623,$B$5:$B$2001,$B623,$A$5:$A$2001,"&lt;"&amp;$A623))),""))</f>
        <v/>
      </c>
      <c r="L623" s="14">
        <f>IF(OR('Data Entry'!A623="",$K623=""),"",$H623-$K623)</f>
        <v/>
      </c>
      <c r="M623" s="15">
        <f>IF(OR('Data Entry'!A623="",$K623="",$K623=0),"",$L623/$K623)</f>
        <v/>
      </c>
      <c r="N623" s="12">
        <f>IF('Data Entry'!A623="","",IF($L623="","New item",IF($L623&gt;0,"UP",IF($L623&lt;0,"down","same"))))</f>
        <v/>
      </c>
    </row>
    <row r="624">
      <c r="A624" s="11">
        <f>IF('Data Entry'!A624="","",'Data Entry'!A624)</f>
        <v/>
      </c>
      <c r="B624" s="12">
        <f>IF('Data Entry'!A624="","",'Data Entry'!B624)</f>
        <v/>
      </c>
      <c r="C624" s="12">
        <f>IF('Data Entry'!A624="","",'Data Entry'!C624)</f>
        <v/>
      </c>
      <c r="D624" s="12">
        <f>IF('Data Entry'!A624="","",'Data Entry'!D624)</f>
        <v/>
      </c>
      <c r="E624" s="12">
        <f>IF('Data Entry'!A624="","",'Data Entry'!E624)</f>
        <v/>
      </c>
      <c r="F624" s="12">
        <f>IF('Data Entry'!A624="","",'Data Entry'!F624)</f>
        <v/>
      </c>
      <c r="G624" s="13">
        <f>IF('Data Entry'!A624="","",'Data Entry'!G624)</f>
        <v/>
      </c>
      <c r="H624" s="10">
        <f>IF('Data Entry'!A624="","",'Data Entry'!H624)</f>
        <v/>
      </c>
      <c r="I624" s="10">
        <f>IF('Data Entry'!A624="","",'Data Entry'!I624)</f>
        <v/>
      </c>
      <c r="J624" s="12">
        <f>IF('Data Entry'!A624="","",IF('Data Entry'!D624&lt;&gt;"",'Data Entry'!D624,'Data Entry'!E624))</f>
        <v/>
      </c>
      <c r="K624" s="10">
        <f>IF('Data Entry'!A624="","",IFERROR(SUMIFS($H$5:$H$2001,$J$5:$J$2001,$J624,$B$5:$B$2001,$B624,$A$5:$A$2001,(MAXIFS($A$5:$A$2001,$J$5:$J$2001,$J624,$B$5:$B$2001,$B624,$A$5:$A$2001,"&lt;"&amp;$A624))),""))</f>
        <v/>
      </c>
      <c r="L624" s="14">
        <f>IF(OR('Data Entry'!A624="",$K624=""),"",$H624-$K624)</f>
        <v/>
      </c>
      <c r="M624" s="15">
        <f>IF(OR('Data Entry'!A624="",$K624="",$K624=0),"",$L624/$K624)</f>
        <v/>
      </c>
      <c r="N624" s="12">
        <f>IF('Data Entry'!A624="","",IF($L624="","New item",IF($L624&gt;0,"UP",IF($L624&lt;0,"down","same"))))</f>
        <v/>
      </c>
    </row>
    <row r="625">
      <c r="A625" s="11">
        <f>IF('Data Entry'!A625="","",'Data Entry'!A625)</f>
        <v/>
      </c>
      <c r="B625" s="12">
        <f>IF('Data Entry'!A625="","",'Data Entry'!B625)</f>
        <v/>
      </c>
      <c r="C625" s="12">
        <f>IF('Data Entry'!A625="","",'Data Entry'!C625)</f>
        <v/>
      </c>
      <c r="D625" s="12">
        <f>IF('Data Entry'!A625="","",'Data Entry'!D625)</f>
        <v/>
      </c>
      <c r="E625" s="12">
        <f>IF('Data Entry'!A625="","",'Data Entry'!E625)</f>
        <v/>
      </c>
      <c r="F625" s="12">
        <f>IF('Data Entry'!A625="","",'Data Entry'!F625)</f>
        <v/>
      </c>
      <c r="G625" s="13">
        <f>IF('Data Entry'!A625="","",'Data Entry'!G625)</f>
        <v/>
      </c>
      <c r="H625" s="10">
        <f>IF('Data Entry'!A625="","",'Data Entry'!H625)</f>
        <v/>
      </c>
      <c r="I625" s="10">
        <f>IF('Data Entry'!A625="","",'Data Entry'!I625)</f>
        <v/>
      </c>
      <c r="J625" s="12">
        <f>IF('Data Entry'!A625="","",IF('Data Entry'!D625&lt;&gt;"",'Data Entry'!D625,'Data Entry'!E625))</f>
        <v/>
      </c>
      <c r="K625" s="10">
        <f>IF('Data Entry'!A625="","",IFERROR(SUMIFS($H$5:$H$2001,$J$5:$J$2001,$J625,$B$5:$B$2001,$B625,$A$5:$A$2001,(MAXIFS($A$5:$A$2001,$J$5:$J$2001,$J625,$B$5:$B$2001,$B625,$A$5:$A$2001,"&lt;"&amp;$A625))),""))</f>
        <v/>
      </c>
      <c r="L625" s="14">
        <f>IF(OR('Data Entry'!A625="",$K625=""),"",$H625-$K625)</f>
        <v/>
      </c>
      <c r="M625" s="15">
        <f>IF(OR('Data Entry'!A625="",$K625="",$K625=0),"",$L625/$K625)</f>
        <v/>
      </c>
      <c r="N625" s="12">
        <f>IF('Data Entry'!A625="","",IF($L625="","New item",IF($L625&gt;0,"UP",IF($L625&lt;0,"down","same"))))</f>
        <v/>
      </c>
    </row>
    <row r="626">
      <c r="A626" s="11">
        <f>IF('Data Entry'!A626="","",'Data Entry'!A626)</f>
        <v/>
      </c>
      <c r="B626" s="12">
        <f>IF('Data Entry'!A626="","",'Data Entry'!B626)</f>
        <v/>
      </c>
      <c r="C626" s="12">
        <f>IF('Data Entry'!A626="","",'Data Entry'!C626)</f>
        <v/>
      </c>
      <c r="D626" s="12">
        <f>IF('Data Entry'!A626="","",'Data Entry'!D626)</f>
        <v/>
      </c>
      <c r="E626" s="12">
        <f>IF('Data Entry'!A626="","",'Data Entry'!E626)</f>
        <v/>
      </c>
      <c r="F626" s="12">
        <f>IF('Data Entry'!A626="","",'Data Entry'!F626)</f>
        <v/>
      </c>
      <c r="G626" s="13">
        <f>IF('Data Entry'!A626="","",'Data Entry'!G626)</f>
        <v/>
      </c>
      <c r="H626" s="10">
        <f>IF('Data Entry'!A626="","",'Data Entry'!H626)</f>
        <v/>
      </c>
      <c r="I626" s="10">
        <f>IF('Data Entry'!A626="","",'Data Entry'!I626)</f>
        <v/>
      </c>
      <c r="J626" s="12">
        <f>IF('Data Entry'!A626="","",IF('Data Entry'!D626&lt;&gt;"",'Data Entry'!D626,'Data Entry'!E626))</f>
        <v/>
      </c>
      <c r="K626" s="10">
        <f>IF('Data Entry'!A626="","",IFERROR(SUMIFS($H$5:$H$2001,$J$5:$J$2001,$J626,$B$5:$B$2001,$B626,$A$5:$A$2001,(MAXIFS($A$5:$A$2001,$J$5:$J$2001,$J626,$B$5:$B$2001,$B626,$A$5:$A$2001,"&lt;"&amp;$A626))),""))</f>
        <v/>
      </c>
      <c r="L626" s="14">
        <f>IF(OR('Data Entry'!A626="",$K626=""),"",$H626-$K626)</f>
        <v/>
      </c>
      <c r="M626" s="15">
        <f>IF(OR('Data Entry'!A626="",$K626="",$K626=0),"",$L626/$K626)</f>
        <v/>
      </c>
      <c r="N626" s="12">
        <f>IF('Data Entry'!A626="","",IF($L626="","New item",IF($L626&gt;0,"UP",IF($L626&lt;0,"down","same"))))</f>
        <v/>
      </c>
    </row>
    <row r="627">
      <c r="A627" s="11">
        <f>IF('Data Entry'!A627="","",'Data Entry'!A627)</f>
        <v/>
      </c>
      <c r="B627" s="12">
        <f>IF('Data Entry'!A627="","",'Data Entry'!B627)</f>
        <v/>
      </c>
      <c r="C627" s="12">
        <f>IF('Data Entry'!A627="","",'Data Entry'!C627)</f>
        <v/>
      </c>
      <c r="D627" s="12">
        <f>IF('Data Entry'!A627="","",'Data Entry'!D627)</f>
        <v/>
      </c>
      <c r="E627" s="12">
        <f>IF('Data Entry'!A627="","",'Data Entry'!E627)</f>
        <v/>
      </c>
      <c r="F627" s="12">
        <f>IF('Data Entry'!A627="","",'Data Entry'!F627)</f>
        <v/>
      </c>
      <c r="G627" s="13">
        <f>IF('Data Entry'!A627="","",'Data Entry'!G627)</f>
        <v/>
      </c>
      <c r="H627" s="10">
        <f>IF('Data Entry'!A627="","",'Data Entry'!H627)</f>
        <v/>
      </c>
      <c r="I627" s="10">
        <f>IF('Data Entry'!A627="","",'Data Entry'!I627)</f>
        <v/>
      </c>
      <c r="J627" s="12">
        <f>IF('Data Entry'!A627="","",IF('Data Entry'!D627&lt;&gt;"",'Data Entry'!D627,'Data Entry'!E627))</f>
        <v/>
      </c>
      <c r="K627" s="10">
        <f>IF('Data Entry'!A627="","",IFERROR(SUMIFS($H$5:$H$2001,$J$5:$J$2001,$J627,$B$5:$B$2001,$B627,$A$5:$A$2001,(MAXIFS($A$5:$A$2001,$J$5:$J$2001,$J627,$B$5:$B$2001,$B627,$A$5:$A$2001,"&lt;"&amp;$A627))),""))</f>
        <v/>
      </c>
      <c r="L627" s="14">
        <f>IF(OR('Data Entry'!A627="",$K627=""),"",$H627-$K627)</f>
        <v/>
      </c>
      <c r="M627" s="15">
        <f>IF(OR('Data Entry'!A627="",$K627="",$K627=0),"",$L627/$K627)</f>
        <v/>
      </c>
      <c r="N627" s="12">
        <f>IF('Data Entry'!A627="","",IF($L627="","New item",IF($L627&gt;0,"UP",IF($L627&lt;0,"down","same"))))</f>
        <v/>
      </c>
    </row>
    <row r="628">
      <c r="A628" s="11">
        <f>IF('Data Entry'!A628="","",'Data Entry'!A628)</f>
        <v/>
      </c>
      <c r="B628" s="12">
        <f>IF('Data Entry'!A628="","",'Data Entry'!B628)</f>
        <v/>
      </c>
      <c r="C628" s="12">
        <f>IF('Data Entry'!A628="","",'Data Entry'!C628)</f>
        <v/>
      </c>
      <c r="D628" s="12">
        <f>IF('Data Entry'!A628="","",'Data Entry'!D628)</f>
        <v/>
      </c>
      <c r="E628" s="12">
        <f>IF('Data Entry'!A628="","",'Data Entry'!E628)</f>
        <v/>
      </c>
      <c r="F628" s="12">
        <f>IF('Data Entry'!A628="","",'Data Entry'!F628)</f>
        <v/>
      </c>
      <c r="G628" s="13">
        <f>IF('Data Entry'!A628="","",'Data Entry'!G628)</f>
        <v/>
      </c>
      <c r="H628" s="10">
        <f>IF('Data Entry'!A628="","",'Data Entry'!H628)</f>
        <v/>
      </c>
      <c r="I628" s="10">
        <f>IF('Data Entry'!A628="","",'Data Entry'!I628)</f>
        <v/>
      </c>
      <c r="J628" s="12">
        <f>IF('Data Entry'!A628="","",IF('Data Entry'!D628&lt;&gt;"",'Data Entry'!D628,'Data Entry'!E628))</f>
        <v/>
      </c>
      <c r="K628" s="10">
        <f>IF('Data Entry'!A628="","",IFERROR(SUMIFS($H$5:$H$2001,$J$5:$J$2001,$J628,$B$5:$B$2001,$B628,$A$5:$A$2001,(MAXIFS($A$5:$A$2001,$J$5:$J$2001,$J628,$B$5:$B$2001,$B628,$A$5:$A$2001,"&lt;"&amp;$A628))),""))</f>
        <v/>
      </c>
      <c r="L628" s="14">
        <f>IF(OR('Data Entry'!A628="",$K628=""),"",$H628-$K628)</f>
        <v/>
      </c>
      <c r="M628" s="15">
        <f>IF(OR('Data Entry'!A628="",$K628="",$K628=0),"",$L628/$K628)</f>
        <v/>
      </c>
      <c r="N628" s="12">
        <f>IF('Data Entry'!A628="","",IF($L628="","New item",IF($L628&gt;0,"UP",IF($L628&lt;0,"down","same"))))</f>
        <v/>
      </c>
    </row>
    <row r="629">
      <c r="A629" s="11">
        <f>IF('Data Entry'!A629="","",'Data Entry'!A629)</f>
        <v/>
      </c>
      <c r="B629" s="12">
        <f>IF('Data Entry'!A629="","",'Data Entry'!B629)</f>
        <v/>
      </c>
      <c r="C629" s="12">
        <f>IF('Data Entry'!A629="","",'Data Entry'!C629)</f>
        <v/>
      </c>
      <c r="D629" s="12">
        <f>IF('Data Entry'!A629="","",'Data Entry'!D629)</f>
        <v/>
      </c>
      <c r="E629" s="12">
        <f>IF('Data Entry'!A629="","",'Data Entry'!E629)</f>
        <v/>
      </c>
      <c r="F629" s="12">
        <f>IF('Data Entry'!A629="","",'Data Entry'!F629)</f>
        <v/>
      </c>
      <c r="G629" s="13">
        <f>IF('Data Entry'!A629="","",'Data Entry'!G629)</f>
        <v/>
      </c>
      <c r="H629" s="10">
        <f>IF('Data Entry'!A629="","",'Data Entry'!H629)</f>
        <v/>
      </c>
      <c r="I629" s="10">
        <f>IF('Data Entry'!A629="","",'Data Entry'!I629)</f>
        <v/>
      </c>
      <c r="J629" s="12">
        <f>IF('Data Entry'!A629="","",IF('Data Entry'!D629&lt;&gt;"",'Data Entry'!D629,'Data Entry'!E629))</f>
        <v/>
      </c>
      <c r="K629" s="10">
        <f>IF('Data Entry'!A629="","",IFERROR(SUMIFS($H$5:$H$2001,$J$5:$J$2001,$J629,$B$5:$B$2001,$B629,$A$5:$A$2001,(MAXIFS($A$5:$A$2001,$J$5:$J$2001,$J629,$B$5:$B$2001,$B629,$A$5:$A$2001,"&lt;"&amp;$A629))),""))</f>
        <v/>
      </c>
      <c r="L629" s="14">
        <f>IF(OR('Data Entry'!A629="",$K629=""),"",$H629-$K629)</f>
        <v/>
      </c>
      <c r="M629" s="15">
        <f>IF(OR('Data Entry'!A629="",$K629="",$K629=0),"",$L629/$K629)</f>
        <v/>
      </c>
      <c r="N629" s="12">
        <f>IF('Data Entry'!A629="","",IF($L629="","New item",IF($L629&gt;0,"UP",IF($L629&lt;0,"down","same"))))</f>
        <v/>
      </c>
    </row>
    <row r="630">
      <c r="A630" s="11">
        <f>IF('Data Entry'!A630="","",'Data Entry'!A630)</f>
        <v/>
      </c>
      <c r="B630" s="12">
        <f>IF('Data Entry'!A630="","",'Data Entry'!B630)</f>
        <v/>
      </c>
      <c r="C630" s="12">
        <f>IF('Data Entry'!A630="","",'Data Entry'!C630)</f>
        <v/>
      </c>
      <c r="D630" s="12">
        <f>IF('Data Entry'!A630="","",'Data Entry'!D630)</f>
        <v/>
      </c>
      <c r="E630" s="12">
        <f>IF('Data Entry'!A630="","",'Data Entry'!E630)</f>
        <v/>
      </c>
      <c r="F630" s="12">
        <f>IF('Data Entry'!A630="","",'Data Entry'!F630)</f>
        <v/>
      </c>
      <c r="G630" s="13">
        <f>IF('Data Entry'!A630="","",'Data Entry'!G630)</f>
        <v/>
      </c>
      <c r="H630" s="10">
        <f>IF('Data Entry'!A630="","",'Data Entry'!H630)</f>
        <v/>
      </c>
      <c r="I630" s="10">
        <f>IF('Data Entry'!A630="","",'Data Entry'!I630)</f>
        <v/>
      </c>
      <c r="J630" s="12">
        <f>IF('Data Entry'!A630="","",IF('Data Entry'!D630&lt;&gt;"",'Data Entry'!D630,'Data Entry'!E630))</f>
        <v/>
      </c>
      <c r="K630" s="10">
        <f>IF('Data Entry'!A630="","",IFERROR(SUMIFS($H$5:$H$2001,$J$5:$J$2001,$J630,$B$5:$B$2001,$B630,$A$5:$A$2001,(MAXIFS($A$5:$A$2001,$J$5:$J$2001,$J630,$B$5:$B$2001,$B630,$A$5:$A$2001,"&lt;"&amp;$A630))),""))</f>
        <v/>
      </c>
      <c r="L630" s="14">
        <f>IF(OR('Data Entry'!A630="",$K630=""),"",$H630-$K630)</f>
        <v/>
      </c>
      <c r="M630" s="15">
        <f>IF(OR('Data Entry'!A630="",$K630="",$K630=0),"",$L630/$K630)</f>
        <v/>
      </c>
      <c r="N630" s="12">
        <f>IF('Data Entry'!A630="","",IF($L630="","New item",IF($L630&gt;0,"UP",IF($L630&lt;0,"down","same"))))</f>
        <v/>
      </c>
    </row>
    <row r="631">
      <c r="A631" s="11">
        <f>IF('Data Entry'!A631="","",'Data Entry'!A631)</f>
        <v/>
      </c>
      <c r="B631" s="12">
        <f>IF('Data Entry'!A631="","",'Data Entry'!B631)</f>
        <v/>
      </c>
      <c r="C631" s="12">
        <f>IF('Data Entry'!A631="","",'Data Entry'!C631)</f>
        <v/>
      </c>
      <c r="D631" s="12">
        <f>IF('Data Entry'!A631="","",'Data Entry'!D631)</f>
        <v/>
      </c>
      <c r="E631" s="12">
        <f>IF('Data Entry'!A631="","",'Data Entry'!E631)</f>
        <v/>
      </c>
      <c r="F631" s="12">
        <f>IF('Data Entry'!A631="","",'Data Entry'!F631)</f>
        <v/>
      </c>
      <c r="G631" s="13">
        <f>IF('Data Entry'!A631="","",'Data Entry'!G631)</f>
        <v/>
      </c>
      <c r="H631" s="10">
        <f>IF('Data Entry'!A631="","",'Data Entry'!H631)</f>
        <v/>
      </c>
      <c r="I631" s="10">
        <f>IF('Data Entry'!A631="","",'Data Entry'!I631)</f>
        <v/>
      </c>
      <c r="J631" s="12">
        <f>IF('Data Entry'!A631="","",IF('Data Entry'!D631&lt;&gt;"",'Data Entry'!D631,'Data Entry'!E631))</f>
        <v/>
      </c>
      <c r="K631" s="10">
        <f>IF('Data Entry'!A631="","",IFERROR(SUMIFS($H$5:$H$2001,$J$5:$J$2001,$J631,$B$5:$B$2001,$B631,$A$5:$A$2001,(MAXIFS($A$5:$A$2001,$J$5:$J$2001,$J631,$B$5:$B$2001,$B631,$A$5:$A$2001,"&lt;"&amp;$A631))),""))</f>
        <v/>
      </c>
      <c r="L631" s="14">
        <f>IF(OR('Data Entry'!A631="",$K631=""),"",$H631-$K631)</f>
        <v/>
      </c>
      <c r="M631" s="15">
        <f>IF(OR('Data Entry'!A631="",$K631="",$K631=0),"",$L631/$K631)</f>
        <v/>
      </c>
      <c r="N631" s="12">
        <f>IF('Data Entry'!A631="","",IF($L631="","New item",IF($L631&gt;0,"UP",IF($L631&lt;0,"down","same"))))</f>
        <v/>
      </c>
    </row>
    <row r="632">
      <c r="A632" s="11">
        <f>IF('Data Entry'!A632="","",'Data Entry'!A632)</f>
        <v/>
      </c>
      <c r="B632" s="12">
        <f>IF('Data Entry'!A632="","",'Data Entry'!B632)</f>
        <v/>
      </c>
      <c r="C632" s="12">
        <f>IF('Data Entry'!A632="","",'Data Entry'!C632)</f>
        <v/>
      </c>
      <c r="D632" s="12">
        <f>IF('Data Entry'!A632="","",'Data Entry'!D632)</f>
        <v/>
      </c>
      <c r="E632" s="12">
        <f>IF('Data Entry'!A632="","",'Data Entry'!E632)</f>
        <v/>
      </c>
      <c r="F632" s="12">
        <f>IF('Data Entry'!A632="","",'Data Entry'!F632)</f>
        <v/>
      </c>
      <c r="G632" s="13">
        <f>IF('Data Entry'!A632="","",'Data Entry'!G632)</f>
        <v/>
      </c>
      <c r="H632" s="10">
        <f>IF('Data Entry'!A632="","",'Data Entry'!H632)</f>
        <v/>
      </c>
      <c r="I632" s="10">
        <f>IF('Data Entry'!A632="","",'Data Entry'!I632)</f>
        <v/>
      </c>
      <c r="J632" s="12">
        <f>IF('Data Entry'!A632="","",IF('Data Entry'!D632&lt;&gt;"",'Data Entry'!D632,'Data Entry'!E632))</f>
        <v/>
      </c>
      <c r="K632" s="10">
        <f>IF('Data Entry'!A632="","",IFERROR(SUMIFS($H$5:$H$2001,$J$5:$J$2001,$J632,$B$5:$B$2001,$B632,$A$5:$A$2001,(MAXIFS($A$5:$A$2001,$J$5:$J$2001,$J632,$B$5:$B$2001,$B632,$A$5:$A$2001,"&lt;"&amp;$A632))),""))</f>
        <v/>
      </c>
      <c r="L632" s="14">
        <f>IF(OR('Data Entry'!A632="",$K632=""),"",$H632-$K632)</f>
        <v/>
      </c>
      <c r="M632" s="15">
        <f>IF(OR('Data Entry'!A632="",$K632="",$K632=0),"",$L632/$K632)</f>
        <v/>
      </c>
      <c r="N632" s="12">
        <f>IF('Data Entry'!A632="","",IF($L632="","New item",IF($L632&gt;0,"UP",IF($L632&lt;0,"down","same"))))</f>
        <v/>
      </c>
    </row>
    <row r="633">
      <c r="A633" s="11">
        <f>IF('Data Entry'!A633="","",'Data Entry'!A633)</f>
        <v/>
      </c>
      <c r="B633" s="12">
        <f>IF('Data Entry'!A633="","",'Data Entry'!B633)</f>
        <v/>
      </c>
      <c r="C633" s="12">
        <f>IF('Data Entry'!A633="","",'Data Entry'!C633)</f>
        <v/>
      </c>
      <c r="D633" s="12">
        <f>IF('Data Entry'!A633="","",'Data Entry'!D633)</f>
        <v/>
      </c>
      <c r="E633" s="12">
        <f>IF('Data Entry'!A633="","",'Data Entry'!E633)</f>
        <v/>
      </c>
      <c r="F633" s="12">
        <f>IF('Data Entry'!A633="","",'Data Entry'!F633)</f>
        <v/>
      </c>
      <c r="G633" s="13">
        <f>IF('Data Entry'!A633="","",'Data Entry'!G633)</f>
        <v/>
      </c>
      <c r="H633" s="10">
        <f>IF('Data Entry'!A633="","",'Data Entry'!H633)</f>
        <v/>
      </c>
      <c r="I633" s="10">
        <f>IF('Data Entry'!A633="","",'Data Entry'!I633)</f>
        <v/>
      </c>
      <c r="J633" s="12">
        <f>IF('Data Entry'!A633="","",IF('Data Entry'!D633&lt;&gt;"",'Data Entry'!D633,'Data Entry'!E633))</f>
        <v/>
      </c>
      <c r="K633" s="10">
        <f>IF('Data Entry'!A633="","",IFERROR(SUMIFS($H$5:$H$2001,$J$5:$J$2001,$J633,$B$5:$B$2001,$B633,$A$5:$A$2001,(MAXIFS($A$5:$A$2001,$J$5:$J$2001,$J633,$B$5:$B$2001,$B633,$A$5:$A$2001,"&lt;"&amp;$A633))),""))</f>
        <v/>
      </c>
      <c r="L633" s="14">
        <f>IF(OR('Data Entry'!A633="",$K633=""),"",$H633-$K633)</f>
        <v/>
      </c>
      <c r="M633" s="15">
        <f>IF(OR('Data Entry'!A633="",$K633="",$K633=0),"",$L633/$K633)</f>
        <v/>
      </c>
      <c r="N633" s="12">
        <f>IF('Data Entry'!A633="","",IF($L633="","New item",IF($L633&gt;0,"UP",IF($L633&lt;0,"down","same"))))</f>
        <v/>
      </c>
    </row>
    <row r="634">
      <c r="A634" s="11">
        <f>IF('Data Entry'!A634="","",'Data Entry'!A634)</f>
        <v/>
      </c>
      <c r="B634" s="12">
        <f>IF('Data Entry'!A634="","",'Data Entry'!B634)</f>
        <v/>
      </c>
      <c r="C634" s="12">
        <f>IF('Data Entry'!A634="","",'Data Entry'!C634)</f>
        <v/>
      </c>
      <c r="D634" s="12">
        <f>IF('Data Entry'!A634="","",'Data Entry'!D634)</f>
        <v/>
      </c>
      <c r="E634" s="12">
        <f>IF('Data Entry'!A634="","",'Data Entry'!E634)</f>
        <v/>
      </c>
      <c r="F634" s="12">
        <f>IF('Data Entry'!A634="","",'Data Entry'!F634)</f>
        <v/>
      </c>
      <c r="G634" s="13">
        <f>IF('Data Entry'!A634="","",'Data Entry'!G634)</f>
        <v/>
      </c>
      <c r="H634" s="10">
        <f>IF('Data Entry'!A634="","",'Data Entry'!H634)</f>
        <v/>
      </c>
      <c r="I634" s="10">
        <f>IF('Data Entry'!A634="","",'Data Entry'!I634)</f>
        <v/>
      </c>
      <c r="J634" s="12">
        <f>IF('Data Entry'!A634="","",IF('Data Entry'!D634&lt;&gt;"",'Data Entry'!D634,'Data Entry'!E634))</f>
        <v/>
      </c>
      <c r="K634" s="10">
        <f>IF('Data Entry'!A634="","",IFERROR(SUMIFS($H$5:$H$2001,$J$5:$J$2001,$J634,$B$5:$B$2001,$B634,$A$5:$A$2001,(MAXIFS($A$5:$A$2001,$J$5:$J$2001,$J634,$B$5:$B$2001,$B634,$A$5:$A$2001,"&lt;"&amp;$A634))),""))</f>
        <v/>
      </c>
      <c r="L634" s="14">
        <f>IF(OR('Data Entry'!A634="",$K634=""),"",$H634-$K634)</f>
        <v/>
      </c>
      <c r="M634" s="15">
        <f>IF(OR('Data Entry'!A634="",$K634="",$K634=0),"",$L634/$K634)</f>
        <v/>
      </c>
      <c r="N634" s="12">
        <f>IF('Data Entry'!A634="","",IF($L634="","New item",IF($L634&gt;0,"UP",IF($L634&lt;0,"down","same"))))</f>
        <v/>
      </c>
    </row>
    <row r="635">
      <c r="A635" s="11">
        <f>IF('Data Entry'!A635="","",'Data Entry'!A635)</f>
        <v/>
      </c>
      <c r="B635" s="12">
        <f>IF('Data Entry'!A635="","",'Data Entry'!B635)</f>
        <v/>
      </c>
      <c r="C635" s="12">
        <f>IF('Data Entry'!A635="","",'Data Entry'!C635)</f>
        <v/>
      </c>
      <c r="D635" s="12">
        <f>IF('Data Entry'!A635="","",'Data Entry'!D635)</f>
        <v/>
      </c>
      <c r="E635" s="12">
        <f>IF('Data Entry'!A635="","",'Data Entry'!E635)</f>
        <v/>
      </c>
      <c r="F635" s="12">
        <f>IF('Data Entry'!A635="","",'Data Entry'!F635)</f>
        <v/>
      </c>
      <c r="G635" s="13">
        <f>IF('Data Entry'!A635="","",'Data Entry'!G635)</f>
        <v/>
      </c>
      <c r="H635" s="10">
        <f>IF('Data Entry'!A635="","",'Data Entry'!H635)</f>
        <v/>
      </c>
      <c r="I635" s="10">
        <f>IF('Data Entry'!A635="","",'Data Entry'!I635)</f>
        <v/>
      </c>
      <c r="J635" s="12">
        <f>IF('Data Entry'!A635="","",IF('Data Entry'!D635&lt;&gt;"",'Data Entry'!D635,'Data Entry'!E635))</f>
        <v/>
      </c>
      <c r="K635" s="10">
        <f>IF('Data Entry'!A635="","",IFERROR(SUMIFS($H$5:$H$2001,$J$5:$J$2001,$J635,$B$5:$B$2001,$B635,$A$5:$A$2001,(MAXIFS($A$5:$A$2001,$J$5:$J$2001,$J635,$B$5:$B$2001,$B635,$A$5:$A$2001,"&lt;"&amp;$A635))),""))</f>
        <v/>
      </c>
      <c r="L635" s="14">
        <f>IF(OR('Data Entry'!A635="",$K635=""),"",$H635-$K635)</f>
        <v/>
      </c>
      <c r="M635" s="15">
        <f>IF(OR('Data Entry'!A635="",$K635="",$K635=0),"",$L635/$K635)</f>
        <v/>
      </c>
      <c r="N635" s="12">
        <f>IF('Data Entry'!A635="","",IF($L635="","New item",IF($L635&gt;0,"UP",IF($L635&lt;0,"down","same"))))</f>
        <v/>
      </c>
    </row>
    <row r="636">
      <c r="A636" s="11">
        <f>IF('Data Entry'!A636="","",'Data Entry'!A636)</f>
        <v/>
      </c>
      <c r="B636" s="12">
        <f>IF('Data Entry'!A636="","",'Data Entry'!B636)</f>
        <v/>
      </c>
      <c r="C636" s="12">
        <f>IF('Data Entry'!A636="","",'Data Entry'!C636)</f>
        <v/>
      </c>
      <c r="D636" s="12">
        <f>IF('Data Entry'!A636="","",'Data Entry'!D636)</f>
        <v/>
      </c>
      <c r="E636" s="12">
        <f>IF('Data Entry'!A636="","",'Data Entry'!E636)</f>
        <v/>
      </c>
      <c r="F636" s="12">
        <f>IF('Data Entry'!A636="","",'Data Entry'!F636)</f>
        <v/>
      </c>
      <c r="G636" s="13">
        <f>IF('Data Entry'!A636="","",'Data Entry'!G636)</f>
        <v/>
      </c>
      <c r="H636" s="10">
        <f>IF('Data Entry'!A636="","",'Data Entry'!H636)</f>
        <v/>
      </c>
      <c r="I636" s="10">
        <f>IF('Data Entry'!A636="","",'Data Entry'!I636)</f>
        <v/>
      </c>
      <c r="J636" s="12">
        <f>IF('Data Entry'!A636="","",IF('Data Entry'!D636&lt;&gt;"",'Data Entry'!D636,'Data Entry'!E636))</f>
        <v/>
      </c>
      <c r="K636" s="10">
        <f>IF('Data Entry'!A636="","",IFERROR(SUMIFS($H$5:$H$2001,$J$5:$J$2001,$J636,$B$5:$B$2001,$B636,$A$5:$A$2001,(MAXIFS($A$5:$A$2001,$J$5:$J$2001,$J636,$B$5:$B$2001,$B636,$A$5:$A$2001,"&lt;"&amp;$A636))),""))</f>
        <v/>
      </c>
      <c r="L636" s="14">
        <f>IF(OR('Data Entry'!A636="",$K636=""),"",$H636-$K636)</f>
        <v/>
      </c>
      <c r="M636" s="15">
        <f>IF(OR('Data Entry'!A636="",$K636="",$K636=0),"",$L636/$K636)</f>
        <v/>
      </c>
      <c r="N636" s="12">
        <f>IF('Data Entry'!A636="","",IF($L636="","New item",IF($L636&gt;0,"UP",IF($L636&lt;0,"down","same"))))</f>
        <v/>
      </c>
    </row>
    <row r="637">
      <c r="A637" s="11">
        <f>IF('Data Entry'!A637="","",'Data Entry'!A637)</f>
        <v/>
      </c>
      <c r="B637" s="12">
        <f>IF('Data Entry'!A637="","",'Data Entry'!B637)</f>
        <v/>
      </c>
      <c r="C637" s="12">
        <f>IF('Data Entry'!A637="","",'Data Entry'!C637)</f>
        <v/>
      </c>
      <c r="D637" s="12">
        <f>IF('Data Entry'!A637="","",'Data Entry'!D637)</f>
        <v/>
      </c>
      <c r="E637" s="12">
        <f>IF('Data Entry'!A637="","",'Data Entry'!E637)</f>
        <v/>
      </c>
      <c r="F637" s="12">
        <f>IF('Data Entry'!A637="","",'Data Entry'!F637)</f>
        <v/>
      </c>
      <c r="G637" s="13">
        <f>IF('Data Entry'!A637="","",'Data Entry'!G637)</f>
        <v/>
      </c>
      <c r="H637" s="10">
        <f>IF('Data Entry'!A637="","",'Data Entry'!H637)</f>
        <v/>
      </c>
      <c r="I637" s="10">
        <f>IF('Data Entry'!A637="","",'Data Entry'!I637)</f>
        <v/>
      </c>
      <c r="J637" s="12">
        <f>IF('Data Entry'!A637="","",IF('Data Entry'!D637&lt;&gt;"",'Data Entry'!D637,'Data Entry'!E637))</f>
        <v/>
      </c>
      <c r="K637" s="10">
        <f>IF('Data Entry'!A637="","",IFERROR(SUMIFS($H$5:$H$2001,$J$5:$J$2001,$J637,$B$5:$B$2001,$B637,$A$5:$A$2001,(MAXIFS($A$5:$A$2001,$J$5:$J$2001,$J637,$B$5:$B$2001,$B637,$A$5:$A$2001,"&lt;"&amp;$A637))),""))</f>
        <v/>
      </c>
      <c r="L637" s="14">
        <f>IF(OR('Data Entry'!A637="",$K637=""),"",$H637-$K637)</f>
        <v/>
      </c>
      <c r="M637" s="15">
        <f>IF(OR('Data Entry'!A637="",$K637="",$K637=0),"",$L637/$K637)</f>
        <v/>
      </c>
      <c r="N637" s="12">
        <f>IF('Data Entry'!A637="","",IF($L637="","New item",IF($L637&gt;0,"UP",IF($L637&lt;0,"down","same"))))</f>
        <v/>
      </c>
    </row>
    <row r="638">
      <c r="A638" s="11">
        <f>IF('Data Entry'!A638="","",'Data Entry'!A638)</f>
        <v/>
      </c>
      <c r="B638" s="12">
        <f>IF('Data Entry'!A638="","",'Data Entry'!B638)</f>
        <v/>
      </c>
      <c r="C638" s="12">
        <f>IF('Data Entry'!A638="","",'Data Entry'!C638)</f>
        <v/>
      </c>
      <c r="D638" s="12">
        <f>IF('Data Entry'!A638="","",'Data Entry'!D638)</f>
        <v/>
      </c>
      <c r="E638" s="12">
        <f>IF('Data Entry'!A638="","",'Data Entry'!E638)</f>
        <v/>
      </c>
      <c r="F638" s="12">
        <f>IF('Data Entry'!A638="","",'Data Entry'!F638)</f>
        <v/>
      </c>
      <c r="G638" s="13">
        <f>IF('Data Entry'!A638="","",'Data Entry'!G638)</f>
        <v/>
      </c>
      <c r="H638" s="10">
        <f>IF('Data Entry'!A638="","",'Data Entry'!H638)</f>
        <v/>
      </c>
      <c r="I638" s="10">
        <f>IF('Data Entry'!A638="","",'Data Entry'!I638)</f>
        <v/>
      </c>
      <c r="J638" s="12">
        <f>IF('Data Entry'!A638="","",IF('Data Entry'!D638&lt;&gt;"",'Data Entry'!D638,'Data Entry'!E638))</f>
        <v/>
      </c>
      <c r="K638" s="10">
        <f>IF('Data Entry'!A638="","",IFERROR(SUMIFS($H$5:$H$2001,$J$5:$J$2001,$J638,$B$5:$B$2001,$B638,$A$5:$A$2001,(MAXIFS($A$5:$A$2001,$J$5:$J$2001,$J638,$B$5:$B$2001,$B638,$A$5:$A$2001,"&lt;"&amp;$A638))),""))</f>
        <v/>
      </c>
      <c r="L638" s="14">
        <f>IF(OR('Data Entry'!A638="",$K638=""),"",$H638-$K638)</f>
        <v/>
      </c>
      <c r="M638" s="15">
        <f>IF(OR('Data Entry'!A638="",$K638="",$K638=0),"",$L638/$K638)</f>
        <v/>
      </c>
      <c r="N638" s="12">
        <f>IF('Data Entry'!A638="","",IF($L638="","New item",IF($L638&gt;0,"UP",IF($L638&lt;0,"down","same"))))</f>
        <v/>
      </c>
    </row>
    <row r="639">
      <c r="A639" s="11">
        <f>IF('Data Entry'!A639="","",'Data Entry'!A639)</f>
        <v/>
      </c>
      <c r="B639" s="12">
        <f>IF('Data Entry'!A639="","",'Data Entry'!B639)</f>
        <v/>
      </c>
      <c r="C639" s="12">
        <f>IF('Data Entry'!A639="","",'Data Entry'!C639)</f>
        <v/>
      </c>
      <c r="D639" s="12">
        <f>IF('Data Entry'!A639="","",'Data Entry'!D639)</f>
        <v/>
      </c>
      <c r="E639" s="12">
        <f>IF('Data Entry'!A639="","",'Data Entry'!E639)</f>
        <v/>
      </c>
      <c r="F639" s="12">
        <f>IF('Data Entry'!A639="","",'Data Entry'!F639)</f>
        <v/>
      </c>
      <c r="G639" s="13">
        <f>IF('Data Entry'!A639="","",'Data Entry'!G639)</f>
        <v/>
      </c>
      <c r="H639" s="10">
        <f>IF('Data Entry'!A639="","",'Data Entry'!H639)</f>
        <v/>
      </c>
      <c r="I639" s="10">
        <f>IF('Data Entry'!A639="","",'Data Entry'!I639)</f>
        <v/>
      </c>
      <c r="J639" s="12">
        <f>IF('Data Entry'!A639="","",IF('Data Entry'!D639&lt;&gt;"",'Data Entry'!D639,'Data Entry'!E639))</f>
        <v/>
      </c>
      <c r="K639" s="10">
        <f>IF('Data Entry'!A639="","",IFERROR(SUMIFS($H$5:$H$2001,$J$5:$J$2001,$J639,$B$5:$B$2001,$B639,$A$5:$A$2001,(MAXIFS($A$5:$A$2001,$J$5:$J$2001,$J639,$B$5:$B$2001,$B639,$A$5:$A$2001,"&lt;"&amp;$A639))),""))</f>
        <v/>
      </c>
      <c r="L639" s="14">
        <f>IF(OR('Data Entry'!A639="",$K639=""),"",$H639-$K639)</f>
        <v/>
      </c>
      <c r="M639" s="15">
        <f>IF(OR('Data Entry'!A639="",$K639="",$K639=0),"",$L639/$K639)</f>
        <v/>
      </c>
      <c r="N639" s="12">
        <f>IF('Data Entry'!A639="","",IF($L639="","New item",IF($L639&gt;0,"UP",IF($L639&lt;0,"down","same"))))</f>
        <v/>
      </c>
    </row>
    <row r="640">
      <c r="A640" s="11">
        <f>IF('Data Entry'!A640="","",'Data Entry'!A640)</f>
        <v/>
      </c>
      <c r="B640" s="12">
        <f>IF('Data Entry'!A640="","",'Data Entry'!B640)</f>
        <v/>
      </c>
      <c r="C640" s="12">
        <f>IF('Data Entry'!A640="","",'Data Entry'!C640)</f>
        <v/>
      </c>
      <c r="D640" s="12">
        <f>IF('Data Entry'!A640="","",'Data Entry'!D640)</f>
        <v/>
      </c>
      <c r="E640" s="12">
        <f>IF('Data Entry'!A640="","",'Data Entry'!E640)</f>
        <v/>
      </c>
      <c r="F640" s="12">
        <f>IF('Data Entry'!A640="","",'Data Entry'!F640)</f>
        <v/>
      </c>
      <c r="G640" s="13">
        <f>IF('Data Entry'!A640="","",'Data Entry'!G640)</f>
        <v/>
      </c>
      <c r="H640" s="10">
        <f>IF('Data Entry'!A640="","",'Data Entry'!H640)</f>
        <v/>
      </c>
      <c r="I640" s="10">
        <f>IF('Data Entry'!A640="","",'Data Entry'!I640)</f>
        <v/>
      </c>
      <c r="J640" s="12">
        <f>IF('Data Entry'!A640="","",IF('Data Entry'!D640&lt;&gt;"",'Data Entry'!D640,'Data Entry'!E640))</f>
        <v/>
      </c>
      <c r="K640" s="10">
        <f>IF('Data Entry'!A640="","",IFERROR(SUMIFS($H$5:$H$2001,$J$5:$J$2001,$J640,$B$5:$B$2001,$B640,$A$5:$A$2001,(MAXIFS($A$5:$A$2001,$J$5:$J$2001,$J640,$B$5:$B$2001,$B640,$A$5:$A$2001,"&lt;"&amp;$A640))),""))</f>
        <v/>
      </c>
      <c r="L640" s="14">
        <f>IF(OR('Data Entry'!A640="",$K640=""),"",$H640-$K640)</f>
        <v/>
      </c>
      <c r="M640" s="15">
        <f>IF(OR('Data Entry'!A640="",$K640="",$K640=0),"",$L640/$K640)</f>
        <v/>
      </c>
      <c r="N640" s="12">
        <f>IF('Data Entry'!A640="","",IF($L640="","New item",IF($L640&gt;0,"UP",IF($L640&lt;0,"down","same"))))</f>
        <v/>
      </c>
    </row>
    <row r="641">
      <c r="A641" s="11">
        <f>IF('Data Entry'!A641="","",'Data Entry'!A641)</f>
        <v/>
      </c>
      <c r="B641" s="12">
        <f>IF('Data Entry'!A641="","",'Data Entry'!B641)</f>
        <v/>
      </c>
      <c r="C641" s="12">
        <f>IF('Data Entry'!A641="","",'Data Entry'!C641)</f>
        <v/>
      </c>
      <c r="D641" s="12">
        <f>IF('Data Entry'!A641="","",'Data Entry'!D641)</f>
        <v/>
      </c>
      <c r="E641" s="12">
        <f>IF('Data Entry'!A641="","",'Data Entry'!E641)</f>
        <v/>
      </c>
      <c r="F641" s="12">
        <f>IF('Data Entry'!A641="","",'Data Entry'!F641)</f>
        <v/>
      </c>
      <c r="G641" s="13">
        <f>IF('Data Entry'!A641="","",'Data Entry'!G641)</f>
        <v/>
      </c>
      <c r="H641" s="10">
        <f>IF('Data Entry'!A641="","",'Data Entry'!H641)</f>
        <v/>
      </c>
      <c r="I641" s="10">
        <f>IF('Data Entry'!A641="","",'Data Entry'!I641)</f>
        <v/>
      </c>
      <c r="J641" s="12">
        <f>IF('Data Entry'!A641="","",IF('Data Entry'!D641&lt;&gt;"",'Data Entry'!D641,'Data Entry'!E641))</f>
        <v/>
      </c>
      <c r="K641" s="10">
        <f>IF('Data Entry'!A641="","",IFERROR(SUMIFS($H$5:$H$2001,$J$5:$J$2001,$J641,$B$5:$B$2001,$B641,$A$5:$A$2001,(MAXIFS($A$5:$A$2001,$J$5:$J$2001,$J641,$B$5:$B$2001,$B641,$A$5:$A$2001,"&lt;"&amp;$A641))),""))</f>
        <v/>
      </c>
      <c r="L641" s="14">
        <f>IF(OR('Data Entry'!A641="",$K641=""),"",$H641-$K641)</f>
        <v/>
      </c>
      <c r="M641" s="15">
        <f>IF(OR('Data Entry'!A641="",$K641="",$K641=0),"",$L641/$K641)</f>
        <v/>
      </c>
      <c r="N641" s="12">
        <f>IF('Data Entry'!A641="","",IF($L641="","New item",IF($L641&gt;0,"UP",IF($L641&lt;0,"down","same"))))</f>
        <v/>
      </c>
    </row>
    <row r="642">
      <c r="A642" s="11">
        <f>IF('Data Entry'!A642="","",'Data Entry'!A642)</f>
        <v/>
      </c>
      <c r="B642" s="12">
        <f>IF('Data Entry'!A642="","",'Data Entry'!B642)</f>
        <v/>
      </c>
      <c r="C642" s="12">
        <f>IF('Data Entry'!A642="","",'Data Entry'!C642)</f>
        <v/>
      </c>
      <c r="D642" s="12">
        <f>IF('Data Entry'!A642="","",'Data Entry'!D642)</f>
        <v/>
      </c>
      <c r="E642" s="12">
        <f>IF('Data Entry'!A642="","",'Data Entry'!E642)</f>
        <v/>
      </c>
      <c r="F642" s="12">
        <f>IF('Data Entry'!A642="","",'Data Entry'!F642)</f>
        <v/>
      </c>
      <c r="G642" s="13">
        <f>IF('Data Entry'!A642="","",'Data Entry'!G642)</f>
        <v/>
      </c>
      <c r="H642" s="10">
        <f>IF('Data Entry'!A642="","",'Data Entry'!H642)</f>
        <v/>
      </c>
      <c r="I642" s="10">
        <f>IF('Data Entry'!A642="","",'Data Entry'!I642)</f>
        <v/>
      </c>
      <c r="J642" s="12">
        <f>IF('Data Entry'!A642="","",IF('Data Entry'!D642&lt;&gt;"",'Data Entry'!D642,'Data Entry'!E642))</f>
        <v/>
      </c>
      <c r="K642" s="10">
        <f>IF('Data Entry'!A642="","",IFERROR(SUMIFS($H$5:$H$2001,$J$5:$J$2001,$J642,$B$5:$B$2001,$B642,$A$5:$A$2001,(MAXIFS($A$5:$A$2001,$J$5:$J$2001,$J642,$B$5:$B$2001,$B642,$A$5:$A$2001,"&lt;"&amp;$A642))),""))</f>
        <v/>
      </c>
      <c r="L642" s="14">
        <f>IF(OR('Data Entry'!A642="",$K642=""),"",$H642-$K642)</f>
        <v/>
      </c>
      <c r="M642" s="15">
        <f>IF(OR('Data Entry'!A642="",$K642="",$K642=0),"",$L642/$K642)</f>
        <v/>
      </c>
      <c r="N642" s="12">
        <f>IF('Data Entry'!A642="","",IF($L642="","New item",IF($L642&gt;0,"UP",IF($L642&lt;0,"down","same"))))</f>
        <v/>
      </c>
    </row>
    <row r="643">
      <c r="A643" s="11">
        <f>IF('Data Entry'!A643="","",'Data Entry'!A643)</f>
        <v/>
      </c>
      <c r="B643" s="12">
        <f>IF('Data Entry'!A643="","",'Data Entry'!B643)</f>
        <v/>
      </c>
      <c r="C643" s="12">
        <f>IF('Data Entry'!A643="","",'Data Entry'!C643)</f>
        <v/>
      </c>
      <c r="D643" s="12">
        <f>IF('Data Entry'!A643="","",'Data Entry'!D643)</f>
        <v/>
      </c>
      <c r="E643" s="12">
        <f>IF('Data Entry'!A643="","",'Data Entry'!E643)</f>
        <v/>
      </c>
      <c r="F643" s="12">
        <f>IF('Data Entry'!A643="","",'Data Entry'!F643)</f>
        <v/>
      </c>
      <c r="G643" s="13">
        <f>IF('Data Entry'!A643="","",'Data Entry'!G643)</f>
        <v/>
      </c>
      <c r="H643" s="10">
        <f>IF('Data Entry'!A643="","",'Data Entry'!H643)</f>
        <v/>
      </c>
      <c r="I643" s="10">
        <f>IF('Data Entry'!A643="","",'Data Entry'!I643)</f>
        <v/>
      </c>
      <c r="J643" s="12">
        <f>IF('Data Entry'!A643="","",IF('Data Entry'!D643&lt;&gt;"",'Data Entry'!D643,'Data Entry'!E643))</f>
        <v/>
      </c>
      <c r="K643" s="10">
        <f>IF('Data Entry'!A643="","",IFERROR(SUMIFS($H$5:$H$2001,$J$5:$J$2001,$J643,$B$5:$B$2001,$B643,$A$5:$A$2001,(MAXIFS($A$5:$A$2001,$J$5:$J$2001,$J643,$B$5:$B$2001,$B643,$A$5:$A$2001,"&lt;"&amp;$A643))),""))</f>
        <v/>
      </c>
      <c r="L643" s="14">
        <f>IF(OR('Data Entry'!A643="",$K643=""),"",$H643-$K643)</f>
        <v/>
      </c>
      <c r="M643" s="15">
        <f>IF(OR('Data Entry'!A643="",$K643="",$K643=0),"",$L643/$K643)</f>
        <v/>
      </c>
      <c r="N643" s="12">
        <f>IF('Data Entry'!A643="","",IF($L643="","New item",IF($L643&gt;0,"UP",IF($L643&lt;0,"down","same"))))</f>
        <v/>
      </c>
    </row>
    <row r="644">
      <c r="A644" s="11">
        <f>IF('Data Entry'!A644="","",'Data Entry'!A644)</f>
        <v/>
      </c>
      <c r="B644" s="12">
        <f>IF('Data Entry'!A644="","",'Data Entry'!B644)</f>
        <v/>
      </c>
      <c r="C644" s="12">
        <f>IF('Data Entry'!A644="","",'Data Entry'!C644)</f>
        <v/>
      </c>
      <c r="D644" s="12">
        <f>IF('Data Entry'!A644="","",'Data Entry'!D644)</f>
        <v/>
      </c>
      <c r="E644" s="12">
        <f>IF('Data Entry'!A644="","",'Data Entry'!E644)</f>
        <v/>
      </c>
      <c r="F644" s="12">
        <f>IF('Data Entry'!A644="","",'Data Entry'!F644)</f>
        <v/>
      </c>
      <c r="G644" s="13">
        <f>IF('Data Entry'!A644="","",'Data Entry'!G644)</f>
        <v/>
      </c>
      <c r="H644" s="10">
        <f>IF('Data Entry'!A644="","",'Data Entry'!H644)</f>
        <v/>
      </c>
      <c r="I644" s="10">
        <f>IF('Data Entry'!A644="","",'Data Entry'!I644)</f>
        <v/>
      </c>
      <c r="J644" s="12">
        <f>IF('Data Entry'!A644="","",IF('Data Entry'!D644&lt;&gt;"",'Data Entry'!D644,'Data Entry'!E644))</f>
        <v/>
      </c>
      <c r="K644" s="10">
        <f>IF('Data Entry'!A644="","",IFERROR(SUMIFS($H$5:$H$2001,$J$5:$J$2001,$J644,$B$5:$B$2001,$B644,$A$5:$A$2001,(MAXIFS($A$5:$A$2001,$J$5:$J$2001,$J644,$B$5:$B$2001,$B644,$A$5:$A$2001,"&lt;"&amp;$A644))),""))</f>
        <v/>
      </c>
      <c r="L644" s="14">
        <f>IF(OR('Data Entry'!A644="",$K644=""),"",$H644-$K644)</f>
        <v/>
      </c>
      <c r="M644" s="15">
        <f>IF(OR('Data Entry'!A644="",$K644="",$K644=0),"",$L644/$K644)</f>
        <v/>
      </c>
      <c r="N644" s="12">
        <f>IF('Data Entry'!A644="","",IF($L644="","New item",IF($L644&gt;0,"UP",IF($L644&lt;0,"down","same"))))</f>
        <v/>
      </c>
    </row>
    <row r="645">
      <c r="A645" s="11">
        <f>IF('Data Entry'!A645="","",'Data Entry'!A645)</f>
        <v/>
      </c>
      <c r="B645" s="12">
        <f>IF('Data Entry'!A645="","",'Data Entry'!B645)</f>
        <v/>
      </c>
      <c r="C645" s="12">
        <f>IF('Data Entry'!A645="","",'Data Entry'!C645)</f>
        <v/>
      </c>
      <c r="D645" s="12">
        <f>IF('Data Entry'!A645="","",'Data Entry'!D645)</f>
        <v/>
      </c>
      <c r="E645" s="12">
        <f>IF('Data Entry'!A645="","",'Data Entry'!E645)</f>
        <v/>
      </c>
      <c r="F645" s="12">
        <f>IF('Data Entry'!A645="","",'Data Entry'!F645)</f>
        <v/>
      </c>
      <c r="G645" s="13">
        <f>IF('Data Entry'!A645="","",'Data Entry'!G645)</f>
        <v/>
      </c>
      <c r="H645" s="10">
        <f>IF('Data Entry'!A645="","",'Data Entry'!H645)</f>
        <v/>
      </c>
      <c r="I645" s="10">
        <f>IF('Data Entry'!A645="","",'Data Entry'!I645)</f>
        <v/>
      </c>
      <c r="J645" s="12">
        <f>IF('Data Entry'!A645="","",IF('Data Entry'!D645&lt;&gt;"",'Data Entry'!D645,'Data Entry'!E645))</f>
        <v/>
      </c>
      <c r="K645" s="10">
        <f>IF('Data Entry'!A645="","",IFERROR(SUMIFS($H$5:$H$2001,$J$5:$J$2001,$J645,$B$5:$B$2001,$B645,$A$5:$A$2001,(MAXIFS($A$5:$A$2001,$J$5:$J$2001,$J645,$B$5:$B$2001,$B645,$A$5:$A$2001,"&lt;"&amp;$A645))),""))</f>
        <v/>
      </c>
      <c r="L645" s="14">
        <f>IF(OR('Data Entry'!A645="",$K645=""),"",$H645-$K645)</f>
        <v/>
      </c>
      <c r="M645" s="15">
        <f>IF(OR('Data Entry'!A645="",$K645="",$K645=0),"",$L645/$K645)</f>
        <v/>
      </c>
      <c r="N645" s="12">
        <f>IF('Data Entry'!A645="","",IF($L645="","New item",IF($L645&gt;0,"UP",IF($L645&lt;0,"down","same"))))</f>
        <v/>
      </c>
    </row>
    <row r="646">
      <c r="A646" s="11">
        <f>IF('Data Entry'!A646="","",'Data Entry'!A646)</f>
        <v/>
      </c>
      <c r="B646" s="12">
        <f>IF('Data Entry'!A646="","",'Data Entry'!B646)</f>
        <v/>
      </c>
      <c r="C646" s="12">
        <f>IF('Data Entry'!A646="","",'Data Entry'!C646)</f>
        <v/>
      </c>
      <c r="D646" s="12">
        <f>IF('Data Entry'!A646="","",'Data Entry'!D646)</f>
        <v/>
      </c>
      <c r="E646" s="12">
        <f>IF('Data Entry'!A646="","",'Data Entry'!E646)</f>
        <v/>
      </c>
      <c r="F646" s="12">
        <f>IF('Data Entry'!A646="","",'Data Entry'!F646)</f>
        <v/>
      </c>
      <c r="G646" s="13">
        <f>IF('Data Entry'!A646="","",'Data Entry'!G646)</f>
        <v/>
      </c>
      <c r="H646" s="10">
        <f>IF('Data Entry'!A646="","",'Data Entry'!H646)</f>
        <v/>
      </c>
      <c r="I646" s="10">
        <f>IF('Data Entry'!A646="","",'Data Entry'!I646)</f>
        <v/>
      </c>
      <c r="J646" s="12">
        <f>IF('Data Entry'!A646="","",IF('Data Entry'!D646&lt;&gt;"",'Data Entry'!D646,'Data Entry'!E646))</f>
        <v/>
      </c>
      <c r="K646" s="10">
        <f>IF('Data Entry'!A646="","",IFERROR(SUMIFS($H$5:$H$2001,$J$5:$J$2001,$J646,$B$5:$B$2001,$B646,$A$5:$A$2001,(MAXIFS($A$5:$A$2001,$J$5:$J$2001,$J646,$B$5:$B$2001,$B646,$A$5:$A$2001,"&lt;"&amp;$A646))),""))</f>
        <v/>
      </c>
      <c r="L646" s="14">
        <f>IF(OR('Data Entry'!A646="",$K646=""),"",$H646-$K646)</f>
        <v/>
      </c>
      <c r="M646" s="15">
        <f>IF(OR('Data Entry'!A646="",$K646="",$K646=0),"",$L646/$K646)</f>
        <v/>
      </c>
      <c r="N646" s="12">
        <f>IF('Data Entry'!A646="","",IF($L646="","New item",IF($L646&gt;0,"UP",IF($L646&lt;0,"down","same"))))</f>
        <v/>
      </c>
    </row>
    <row r="647">
      <c r="A647" s="11">
        <f>IF('Data Entry'!A647="","",'Data Entry'!A647)</f>
        <v/>
      </c>
      <c r="B647" s="12">
        <f>IF('Data Entry'!A647="","",'Data Entry'!B647)</f>
        <v/>
      </c>
      <c r="C647" s="12">
        <f>IF('Data Entry'!A647="","",'Data Entry'!C647)</f>
        <v/>
      </c>
      <c r="D647" s="12">
        <f>IF('Data Entry'!A647="","",'Data Entry'!D647)</f>
        <v/>
      </c>
      <c r="E647" s="12">
        <f>IF('Data Entry'!A647="","",'Data Entry'!E647)</f>
        <v/>
      </c>
      <c r="F647" s="12">
        <f>IF('Data Entry'!A647="","",'Data Entry'!F647)</f>
        <v/>
      </c>
      <c r="G647" s="13">
        <f>IF('Data Entry'!A647="","",'Data Entry'!G647)</f>
        <v/>
      </c>
      <c r="H647" s="10">
        <f>IF('Data Entry'!A647="","",'Data Entry'!H647)</f>
        <v/>
      </c>
      <c r="I647" s="10">
        <f>IF('Data Entry'!A647="","",'Data Entry'!I647)</f>
        <v/>
      </c>
      <c r="J647" s="12">
        <f>IF('Data Entry'!A647="","",IF('Data Entry'!D647&lt;&gt;"",'Data Entry'!D647,'Data Entry'!E647))</f>
        <v/>
      </c>
      <c r="K647" s="10">
        <f>IF('Data Entry'!A647="","",IFERROR(SUMIFS($H$5:$H$2001,$J$5:$J$2001,$J647,$B$5:$B$2001,$B647,$A$5:$A$2001,(MAXIFS($A$5:$A$2001,$J$5:$J$2001,$J647,$B$5:$B$2001,$B647,$A$5:$A$2001,"&lt;"&amp;$A647))),""))</f>
        <v/>
      </c>
      <c r="L647" s="14">
        <f>IF(OR('Data Entry'!A647="",$K647=""),"",$H647-$K647)</f>
        <v/>
      </c>
      <c r="M647" s="15">
        <f>IF(OR('Data Entry'!A647="",$K647="",$K647=0),"",$L647/$K647)</f>
        <v/>
      </c>
      <c r="N647" s="12">
        <f>IF('Data Entry'!A647="","",IF($L647="","New item",IF($L647&gt;0,"UP",IF($L647&lt;0,"down","same"))))</f>
        <v/>
      </c>
    </row>
    <row r="648">
      <c r="A648" s="11">
        <f>IF('Data Entry'!A648="","",'Data Entry'!A648)</f>
        <v/>
      </c>
      <c r="B648" s="12">
        <f>IF('Data Entry'!A648="","",'Data Entry'!B648)</f>
        <v/>
      </c>
      <c r="C648" s="12">
        <f>IF('Data Entry'!A648="","",'Data Entry'!C648)</f>
        <v/>
      </c>
      <c r="D648" s="12">
        <f>IF('Data Entry'!A648="","",'Data Entry'!D648)</f>
        <v/>
      </c>
      <c r="E648" s="12">
        <f>IF('Data Entry'!A648="","",'Data Entry'!E648)</f>
        <v/>
      </c>
      <c r="F648" s="12">
        <f>IF('Data Entry'!A648="","",'Data Entry'!F648)</f>
        <v/>
      </c>
      <c r="G648" s="13">
        <f>IF('Data Entry'!A648="","",'Data Entry'!G648)</f>
        <v/>
      </c>
      <c r="H648" s="10">
        <f>IF('Data Entry'!A648="","",'Data Entry'!H648)</f>
        <v/>
      </c>
      <c r="I648" s="10">
        <f>IF('Data Entry'!A648="","",'Data Entry'!I648)</f>
        <v/>
      </c>
      <c r="J648" s="12">
        <f>IF('Data Entry'!A648="","",IF('Data Entry'!D648&lt;&gt;"",'Data Entry'!D648,'Data Entry'!E648))</f>
        <v/>
      </c>
      <c r="K648" s="10">
        <f>IF('Data Entry'!A648="","",IFERROR(SUMIFS($H$5:$H$2001,$J$5:$J$2001,$J648,$B$5:$B$2001,$B648,$A$5:$A$2001,(MAXIFS($A$5:$A$2001,$J$5:$J$2001,$J648,$B$5:$B$2001,$B648,$A$5:$A$2001,"&lt;"&amp;$A648))),""))</f>
        <v/>
      </c>
      <c r="L648" s="14">
        <f>IF(OR('Data Entry'!A648="",$K648=""),"",$H648-$K648)</f>
        <v/>
      </c>
      <c r="M648" s="15">
        <f>IF(OR('Data Entry'!A648="",$K648="",$K648=0),"",$L648/$K648)</f>
        <v/>
      </c>
      <c r="N648" s="12">
        <f>IF('Data Entry'!A648="","",IF($L648="","New item",IF($L648&gt;0,"UP",IF($L648&lt;0,"down","same"))))</f>
        <v/>
      </c>
    </row>
    <row r="649">
      <c r="A649" s="11">
        <f>IF('Data Entry'!A649="","",'Data Entry'!A649)</f>
        <v/>
      </c>
      <c r="B649" s="12">
        <f>IF('Data Entry'!A649="","",'Data Entry'!B649)</f>
        <v/>
      </c>
      <c r="C649" s="12">
        <f>IF('Data Entry'!A649="","",'Data Entry'!C649)</f>
        <v/>
      </c>
      <c r="D649" s="12">
        <f>IF('Data Entry'!A649="","",'Data Entry'!D649)</f>
        <v/>
      </c>
      <c r="E649" s="12">
        <f>IF('Data Entry'!A649="","",'Data Entry'!E649)</f>
        <v/>
      </c>
      <c r="F649" s="12">
        <f>IF('Data Entry'!A649="","",'Data Entry'!F649)</f>
        <v/>
      </c>
      <c r="G649" s="13">
        <f>IF('Data Entry'!A649="","",'Data Entry'!G649)</f>
        <v/>
      </c>
      <c r="H649" s="10">
        <f>IF('Data Entry'!A649="","",'Data Entry'!H649)</f>
        <v/>
      </c>
      <c r="I649" s="10">
        <f>IF('Data Entry'!A649="","",'Data Entry'!I649)</f>
        <v/>
      </c>
      <c r="J649" s="12">
        <f>IF('Data Entry'!A649="","",IF('Data Entry'!D649&lt;&gt;"",'Data Entry'!D649,'Data Entry'!E649))</f>
        <v/>
      </c>
      <c r="K649" s="10">
        <f>IF('Data Entry'!A649="","",IFERROR(SUMIFS($H$5:$H$2001,$J$5:$J$2001,$J649,$B$5:$B$2001,$B649,$A$5:$A$2001,(MAXIFS($A$5:$A$2001,$J$5:$J$2001,$J649,$B$5:$B$2001,$B649,$A$5:$A$2001,"&lt;"&amp;$A649))),""))</f>
        <v/>
      </c>
      <c r="L649" s="14">
        <f>IF(OR('Data Entry'!A649="",$K649=""),"",$H649-$K649)</f>
        <v/>
      </c>
      <c r="M649" s="15">
        <f>IF(OR('Data Entry'!A649="",$K649="",$K649=0),"",$L649/$K649)</f>
        <v/>
      </c>
      <c r="N649" s="12">
        <f>IF('Data Entry'!A649="","",IF($L649="","New item",IF($L649&gt;0,"UP",IF($L649&lt;0,"down","same"))))</f>
        <v/>
      </c>
    </row>
    <row r="650">
      <c r="A650" s="11">
        <f>IF('Data Entry'!A650="","",'Data Entry'!A650)</f>
        <v/>
      </c>
      <c r="B650" s="12">
        <f>IF('Data Entry'!A650="","",'Data Entry'!B650)</f>
        <v/>
      </c>
      <c r="C650" s="12">
        <f>IF('Data Entry'!A650="","",'Data Entry'!C650)</f>
        <v/>
      </c>
      <c r="D650" s="12">
        <f>IF('Data Entry'!A650="","",'Data Entry'!D650)</f>
        <v/>
      </c>
      <c r="E650" s="12">
        <f>IF('Data Entry'!A650="","",'Data Entry'!E650)</f>
        <v/>
      </c>
      <c r="F650" s="12">
        <f>IF('Data Entry'!A650="","",'Data Entry'!F650)</f>
        <v/>
      </c>
      <c r="G650" s="13">
        <f>IF('Data Entry'!A650="","",'Data Entry'!G650)</f>
        <v/>
      </c>
      <c r="H650" s="10">
        <f>IF('Data Entry'!A650="","",'Data Entry'!H650)</f>
        <v/>
      </c>
      <c r="I650" s="10">
        <f>IF('Data Entry'!A650="","",'Data Entry'!I650)</f>
        <v/>
      </c>
      <c r="J650" s="12">
        <f>IF('Data Entry'!A650="","",IF('Data Entry'!D650&lt;&gt;"",'Data Entry'!D650,'Data Entry'!E650))</f>
        <v/>
      </c>
      <c r="K650" s="10">
        <f>IF('Data Entry'!A650="","",IFERROR(SUMIFS($H$5:$H$2001,$J$5:$J$2001,$J650,$B$5:$B$2001,$B650,$A$5:$A$2001,(MAXIFS($A$5:$A$2001,$J$5:$J$2001,$J650,$B$5:$B$2001,$B650,$A$5:$A$2001,"&lt;"&amp;$A650))),""))</f>
        <v/>
      </c>
      <c r="L650" s="14">
        <f>IF(OR('Data Entry'!A650="",$K650=""),"",$H650-$K650)</f>
        <v/>
      </c>
      <c r="M650" s="15">
        <f>IF(OR('Data Entry'!A650="",$K650="",$K650=0),"",$L650/$K650)</f>
        <v/>
      </c>
      <c r="N650" s="12">
        <f>IF('Data Entry'!A650="","",IF($L650="","New item",IF($L650&gt;0,"UP",IF($L650&lt;0,"down","same"))))</f>
        <v/>
      </c>
    </row>
    <row r="651">
      <c r="A651" s="11">
        <f>IF('Data Entry'!A651="","",'Data Entry'!A651)</f>
        <v/>
      </c>
      <c r="B651" s="12">
        <f>IF('Data Entry'!A651="","",'Data Entry'!B651)</f>
        <v/>
      </c>
      <c r="C651" s="12">
        <f>IF('Data Entry'!A651="","",'Data Entry'!C651)</f>
        <v/>
      </c>
      <c r="D651" s="12">
        <f>IF('Data Entry'!A651="","",'Data Entry'!D651)</f>
        <v/>
      </c>
      <c r="E651" s="12">
        <f>IF('Data Entry'!A651="","",'Data Entry'!E651)</f>
        <v/>
      </c>
      <c r="F651" s="12">
        <f>IF('Data Entry'!A651="","",'Data Entry'!F651)</f>
        <v/>
      </c>
      <c r="G651" s="13">
        <f>IF('Data Entry'!A651="","",'Data Entry'!G651)</f>
        <v/>
      </c>
      <c r="H651" s="10">
        <f>IF('Data Entry'!A651="","",'Data Entry'!H651)</f>
        <v/>
      </c>
      <c r="I651" s="10">
        <f>IF('Data Entry'!A651="","",'Data Entry'!I651)</f>
        <v/>
      </c>
      <c r="J651" s="12">
        <f>IF('Data Entry'!A651="","",IF('Data Entry'!D651&lt;&gt;"",'Data Entry'!D651,'Data Entry'!E651))</f>
        <v/>
      </c>
      <c r="K651" s="10">
        <f>IF('Data Entry'!A651="","",IFERROR(SUMIFS($H$5:$H$2001,$J$5:$J$2001,$J651,$B$5:$B$2001,$B651,$A$5:$A$2001,(MAXIFS($A$5:$A$2001,$J$5:$J$2001,$J651,$B$5:$B$2001,$B651,$A$5:$A$2001,"&lt;"&amp;$A651))),""))</f>
        <v/>
      </c>
      <c r="L651" s="14">
        <f>IF(OR('Data Entry'!A651="",$K651=""),"",$H651-$K651)</f>
        <v/>
      </c>
      <c r="M651" s="15">
        <f>IF(OR('Data Entry'!A651="",$K651="",$K651=0),"",$L651/$K651)</f>
        <v/>
      </c>
      <c r="N651" s="12">
        <f>IF('Data Entry'!A651="","",IF($L651="","New item",IF($L651&gt;0,"UP",IF($L651&lt;0,"down","same"))))</f>
        <v/>
      </c>
    </row>
    <row r="652">
      <c r="A652" s="11">
        <f>IF('Data Entry'!A652="","",'Data Entry'!A652)</f>
        <v/>
      </c>
      <c r="B652" s="12">
        <f>IF('Data Entry'!A652="","",'Data Entry'!B652)</f>
        <v/>
      </c>
      <c r="C652" s="12">
        <f>IF('Data Entry'!A652="","",'Data Entry'!C652)</f>
        <v/>
      </c>
      <c r="D652" s="12">
        <f>IF('Data Entry'!A652="","",'Data Entry'!D652)</f>
        <v/>
      </c>
      <c r="E652" s="12">
        <f>IF('Data Entry'!A652="","",'Data Entry'!E652)</f>
        <v/>
      </c>
      <c r="F652" s="12">
        <f>IF('Data Entry'!A652="","",'Data Entry'!F652)</f>
        <v/>
      </c>
      <c r="G652" s="13">
        <f>IF('Data Entry'!A652="","",'Data Entry'!G652)</f>
        <v/>
      </c>
      <c r="H652" s="10">
        <f>IF('Data Entry'!A652="","",'Data Entry'!H652)</f>
        <v/>
      </c>
      <c r="I652" s="10">
        <f>IF('Data Entry'!A652="","",'Data Entry'!I652)</f>
        <v/>
      </c>
      <c r="J652" s="12">
        <f>IF('Data Entry'!A652="","",IF('Data Entry'!D652&lt;&gt;"",'Data Entry'!D652,'Data Entry'!E652))</f>
        <v/>
      </c>
      <c r="K652" s="10">
        <f>IF('Data Entry'!A652="","",IFERROR(SUMIFS($H$5:$H$2001,$J$5:$J$2001,$J652,$B$5:$B$2001,$B652,$A$5:$A$2001,(MAXIFS($A$5:$A$2001,$J$5:$J$2001,$J652,$B$5:$B$2001,$B652,$A$5:$A$2001,"&lt;"&amp;$A652))),""))</f>
        <v/>
      </c>
      <c r="L652" s="14">
        <f>IF(OR('Data Entry'!A652="",$K652=""),"",$H652-$K652)</f>
        <v/>
      </c>
      <c r="M652" s="15">
        <f>IF(OR('Data Entry'!A652="",$K652="",$K652=0),"",$L652/$K652)</f>
        <v/>
      </c>
      <c r="N652" s="12">
        <f>IF('Data Entry'!A652="","",IF($L652="","New item",IF($L652&gt;0,"UP",IF($L652&lt;0,"down","same"))))</f>
        <v/>
      </c>
    </row>
    <row r="653">
      <c r="A653" s="11">
        <f>IF('Data Entry'!A653="","",'Data Entry'!A653)</f>
        <v/>
      </c>
      <c r="B653" s="12">
        <f>IF('Data Entry'!A653="","",'Data Entry'!B653)</f>
        <v/>
      </c>
      <c r="C653" s="12">
        <f>IF('Data Entry'!A653="","",'Data Entry'!C653)</f>
        <v/>
      </c>
      <c r="D653" s="12">
        <f>IF('Data Entry'!A653="","",'Data Entry'!D653)</f>
        <v/>
      </c>
      <c r="E653" s="12">
        <f>IF('Data Entry'!A653="","",'Data Entry'!E653)</f>
        <v/>
      </c>
      <c r="F653" s="12">
        <f>IF('Data Entry'!A653="","",'Data Entry'!F653)</f>
        <v/>
      </c>
      <c r="G653" s="13">
        <f>IF('Data Entry'!A653="","",'Data Entry'!G653)</f>
        <v/>
      </c>
      <c r="H653" s="10">
        <f>IF('Data Entry'!A653="","",'Data Entry'!H653)</f>
        <v/>
      </c>
      <c r="I653" s="10">
        <f>IF('Data Entry'!A653="","",'Data Entry'!I653)</f>
        <v/>
      </c>
      <c r="J653" s="12">
        <f>IF('Data Entry'!A653="","",IF('Data Entry'!D653&lt;&gt;"",'Data Entry'!D653,'Data Entry'!E653))</f>
        <v/>
      </c>
      <c r="K653" s="10">
        <f>IF('Data Entry'!A653="","",IFERROR(SUMIFS($H$5:$H$2001,$J$5:$J$2001,$J653,$B$5:$B$2001,$B653,$A$5:$A$2001,(MAXIFS($A$5:$A$2001,$J$5:$J$2001,$J653,$B$5:$B$2001,$B653,$A$5:$A$2001,"&lt;"&amp;$A653))),""))</f>
        <v/>
      </c>
      <c r="L653" s="14">
        <f>IF(OR('Data Entry'!A653="",$K653=""),"",$H653-$K653)</f>
        <v/>
      </c>
      <c r="M653" s="15">
        <f>IF(OR('Data Entry'!A653="",$K653="",$K653=0),"",$L653/$K653)</f>
        <v/>
      </c>
      <c r="N653" s="12">
        <f>IF('Data Entry'!A653="","",IF($L653="","New item",IF($L653&gt;0,"UP",IF($L653&lt;0,"down","same"))))</f>
        <v/>
      </c>
    </row>
    <row r="654">
      <c r="A654" s="11">
        <f>IF('Data Entry'!A654="","",'Data Entry'!A654)</f>
        <v/>
      </c>
      <c r="B654" s="12">
        <f>IF('Data Entry'!A654="","",'Data Entry'!B654)</f>
        <v/>
      </c>
      <c r="C654" s="12">
        <f>IF('Data Entry'!A654="","",'Data Entry'!C654)</f>
        <v/>
      </c>
      <c r="D654" s="12">
        <f>IF('Data Entry'!A654="","",'Data Entry'!D654)</f>
        <v/>
      </c>
      <c r="E654" s="12">
        <f>IF('Data Entry'!A654="","",'Data Entry'!E654)</f>
        <v/>
      </c>
      <c r="F654" s="12">
        <f>IF('Data Entry'!A654="","",'Data Entry'!F654)</f>
        <v/>
      </c>
      <c r="G654" s="13">
        <f>IF('Data Entry'!A654="","",'Data Entry'!G654)</f>
        <v/>
      </c>
      <c r="H654" s="10">
        <f>IF('Data Entry'!A654="","",'Data Entry'!H654)</f>
        <v/>
      </c>
      <c r="I654" s="10">
        <f>IF('Data Entry'!A654="","",'Data Entry'!I654)</f>
        <v/>
      </c>
      <c r="J654" s="12">
        <f>IF('Data Entry'!A654="","",IF('Data Entry'!D654&lt;&gt;"",'Data Entry'!D654,'Data Entry'!E654))</f>
        <v/>
      </c>
      <c r="K654" s="10">
        <f>IF('Data Entry'!A654="","",IFERROR(SUMIFS($H$5:$H$2001,$J$5:$J$2001,$J654,$B$5:$B$2001,$B654,$A$5:$A$2001,(MAXIFS($A$5:$A$2001,$J$5:$J$2001,$J654,$B$5:$B$2001,$B654,$A$5:$A$2001,"&lt;"&amp;$A654))),""))</f>
        <v/>
      </c>
      <c r="L654" s="14">
        <f>IF(OR('Data Entry'!A654="",$K654=""),"",$H654-$K654)</f>
        <v/>
      </c>
      <c r="M654" s="15">
        <f>IF(OR('Data Entry'!A654="",$K654="",$K654=0),"",$L654/$K654)</f>
        <v/>
      </c>
      <c r="N654" s="12">
        <f>IF('Data Entry'!A654="","",IF($L654="","New item",IF($L654&gt;0,"UP",IF($L654&lt;0,"down","same"))))</f>
        <v/>
      </c>
    </row>
    <row r="655">
      <c r="A655" s="11">
        <f>IF('Data Entry'!A655="","",'Data Entry'!A655)</f>
        <v/>
      </c>
      <c r="B655" s="12">
        <f>IF('Data Entry'!A655="","",'Data Entry'!B655)</f>
        <v/>
      </c>
      <c r="C655" s="12">
        <f>IF('Data Entry'!A655="","",'Data Entry'!C655)</f>
        <v/>
      </c>
      <c r="D655" s="12">
        <f>IF('Data Entry'!A655="","",'Data Entry'!D655)</f>
        <v/>
      </c>
      <c r="E655" s="12">
        <f>IF('Data Entry'!A655="","",'Data Entry'!E655)</f>
        <v/>
      </c>
      <c r="F655" s="12">
        <f>IF('Data Entry'!A655="","",'Data Entry'!F655)</f>
        <v/>
      </c>
      <c r="G655" s="13">
        <f>IF('Data Entry'!A655="","",'Data Entry'!G655)</f>
        <v/>
      </c>
      <c r="H655" s="10">
        <f>IF('Data Entry'!A655="","",'Data Entry'!H655)</f>
        <v/>
      </c>
      <c r="I655" s="10">
        <f>IF('Data Entry'!A655="","",'Data Entry'!I655)</f>
        <v/>
      </c>
      <c r="J655" s="12">
        <f>IF('Data Entry'!A655="","",IF('Data Entry'!D655&lt;&gt;"",'Data Entry'!D655,'Data Entry'!E655))</f>
        <v/>
      </c>
      <c r="K655" s="10">
        <f>IF('Data Entry'!A655="","",IFERROR(SUMIFS($H$5:$H$2001,$J$5:$J$2001,$J655,$B$5:$B$2001,$B655,$A$5:$A$2001,(MAXIFS($A$5:$A$2001,$J$5:$J$2001,$J655,$B$5:$B$2001,$B655,$A$5:$A$2001,"&lt;"&amp;$A655))),""))</f>
        <v/>
      </c>
      <c r="L655" s="14">
        <f>IF(OR('Data Entry'!A655="",$K655=""),"",$H655-$K655)</f>
        <v/>
      </c>
      <c r="M655" s="15">
        <f>IF(OR('Data Entry'!A655="",$K655="",$K655=0),"",$L655/$K655)</f>
        <v/>
      </c>
      <c r="N655" s="12">
        <f>IF('Data Entry'!A655="","",IF($L655="","New item",IF($L655&gt;0,"UP",IF($L655&lt;0,"down","same"))))</f>
        <v/>
      </c>
    </row>
    <row r="656">
      <c r="A656" s="11">
        <f>IF('Data Entry'!A656="","",'Data Entry'!A656)</f>
        <v/>
      </c>
      <c r="B656" s="12">
        <f>IF('Data Entry'!A656="","",'Data Entry'!B656)</f>
        <v/>
      </c>
      <c r="C656" s="12">
        <f>IF('Data Entry'!A656="","",'Data Entry'!C656)</f>
        <v/>
      </c>
      <c r="D656" s="12">
        <f>IF('Data Entry'!A656="","",'Data Entry'!D656)</f>
        <v/>
      </c>
      <c r="E656" s="12">
        <f>IF('Data Entry'!A656="","",'Data Entry'!E656)</f>
        <v/>
      </c>
      <c r="F656" s="12">
        <f>IF('Data Entry'!A656="","",'Data Entry'!F656)</f>
        <v/>
      </c>
      <c r="G656" s="13">
        <f>IF('Data Entry'!A656="","",'Data Entry'!G656)</f>
        <v/>
      </c>
      <c r="H656" s="10">
        <f>IF('Data Entry'!A656="","",'Data Entry'!H656)</f>
        <v/>
      </c>
      <c r="I656" s="10">
        <f>IF('Data Entry'!A656="","",'Data Entry'!I656)</f>
        <v/>
      </c>
      <c r="J656" s="12">
        <f>IF('Data Entry'!A656="","",IF('Data Entry'!D656&lt;&gt;"",'Data Entry'!D656,'Data Entry'!E656))</f>
        <v/>
      </c>
      <c r="K656" s="10">
        <f>IF('Data Entry'!A656="","",IFERROR(SUMIFS($H$5:$H$2001,$J$5:$J$2001,$J656,$B$5:$B$2001,$B656,$A$5:$A$2001,(MAXIFS($A$5:$A$2001,$J$5:$J$2001,$J656,$B$5:$B$2001,$B656,$A$5:$A$2001,"&lt;"&amp;$A656))),""))</f>
        <v/>
      </c>
      <c r="L656" s="14">
        <f>IF(OR('Data Entry'!A656="",$K656=""),"",$H656-$K656)</f>
        <v/>
      </c>
      <c r="M656" s="15">
        <f>IF(OR('Data Entry'!A656="",$K656="",$K656=0),"",$L656/$K656)</f>
        <v/>
      </c>
      <c r="N656" s="12">
        <f>IF('Data Entry'!A656="","",IF($L656="","New item",IF($L656&gt;0,"UP",IF($L656&lt;0,"down","same"))))</f>
        <v/>
      </c>
    </row>
    <row r="657">
      <c r="A657" s="11">
        <f>IF('Data Entry'!A657="","",'Data Entry'!A657)</f>
        <v/>
      </c>
      <c r="B657" s="12">
        <f>IF('Data Entry'!A657="","",'Data Entry'!B657)</f>
        <v/>
      </c>
      <c r="C657" s="12">
        <f>IF('Data Entry'!A657="","",'Data Entry'!C657)</f>
        <v/>
      </c>
      <c r="D657" s="12">
        <f>IF('Data Entry'!A657="","",'Data Entry'!D657)</f>
        <v/>
      </c>
      <c r="E657" s="12">
        <f>IF('Data Entry'!A657="","",'Data Entry'!E657)</f>
        <v/>
      </c>
      <c r="F657" s="12">
        <f>IF('Data Entry'!A657="","",'Data Entry'!F657)</f>
        <v/>
      </c>
      <c r="G657" s="13">
        <f>IF('Data Entry'!A657="","",'Data Entry'!G657)</f>
        <v/>
      </c>
      <c r="H657" s="10">
        <f>IF('Data Entry'!A657="","",'Data Entry'!H657)</f>
        <v/>
      </c>
      <c r="I657" s="10">
        <f>IF('Data Entry'!A657="","",'Data Entry'!I657)</f>
        <v/>
      </c>
      <c r="J657" s="12">
        <f>IF('Data Entry'!A657="","",IF('Data Entry'!D657&lt;&gt;"",'Data Entry'!D657,'Data Entry'!E657))</f>
        <v/>
      </c>
      <c r="K657" s="10">
        <f>IF('Data Entry'!A657="","",IFERROR(SUMIFS($H$5:$H$2001,$J$5:$J$2001,$J657,$B$5:$B$2001,$B657,$A$5:$A$2001,(MAXIFS($A$5:$A$2001,$J$5:$J$2001,$J657,$B$5:$B$2001,$B657,$A$5:$A$2001,"&lt;"&amp;$A657))),""))</f>
        <v/>
      </c>
      <c r="L657" s="14">
        <f>IF(OR('Data Entry'!A657="",$K657=""),"",$H657-$K657)</f>
        <v/>
      </c>
      <c r="M657" s="15">
        <f>IF(OR('Data Entry'!A657="",$K657="",$K657=0),"",$L657/$K657)</f>
        <v/>
      </c>
      <c r="N657" s="12">
        <f>IF('Data Entry'!A657="","",IF($L657="","New item",IF($L657&gt;0,"UP",IF($L657&lt;0,"down","same"))))</f>
        <v/>
      </c>
    </row>
    <row r="658">
      <c r="A658" s="11">
        <f>IF('Data Entry'!A658="","",'Data Entry'!A658)</f>
        <v/>
      </c>
      <c r="B658" s="12">
        <f>IF('Data Entry'!A658="","",'Data Entry'!B658)</f>
        <v/>
      </c>
      <c r="C658" s="12">
        <f>IF('Data Entry'!A658="","",'Data Entry'!C658)</f>
        <v/>
      </c>
      <c r="D658" s="12">
        <f>IF('Data Entry'!A658="","",'Data Entry'!D658)</f>
        <v/>
      </c>
      <c r="E658" s="12">
        <f>IF('Data Entry'!A658="","",'Data Entry'!E658)</f>
        <v/>
      </c>
      <c r="F658" s="12">
        <f>IF('Data Entry'!A658="","",'Data Entry'!F658)</f>
        <v/>
      </c>
      <c r="G658" s="13">
        <f>IF('Data Entry'!A658="","",'Data Entry'!G658)</f>
        <v/>
      </c>
      <c r="H658" s="10">
        <f>IF('Data Entry'!A658="","",'Data Entry'!H658)</f>
        <v/>
      </c>
      <c r="I658" s="10">
        <f>IF('Data Entry'!A658="","",'Data Entry'!I658)</f>
        <v/>
      </c>
      <c r="J658" s="12">
        <f>IF('Data Entry'!A658="","",IF('Data Entry'!D658&lt;&gt;"",'Data Entry'!D658,'Data Entry'!E658))</f>
        <v/>
      </c>
      <c r="K658" s="10">
        <f>IF('Data Entry'!A658="","",IFERROR(SUMIFS($H$5:$H$2001,$J$5:$J$2001,$J658,$B$5:$B$2001,$B658,$A$5:$A$2001,(MAXIFS($A$5:$A$2001,$J$5:$J$2001,$J658,$B$5:$B$2001,$B658,$A$5:$A$2001,"&lt;"&amp;$A658))),""))</f>
        <v/>
      </c>
      <c r="L658" s="14">
        <f>IF(OR('Data Entry'!A658="",$K658=""),"",$H658-$K658)</f>
        <v/>
      </c>
      <c r="M658" s="15">
        <f>IF(OR('Data Entry'!A658="",$K658="",$K658=0),"",$L658/$K658)</f>
        <v/>
      </c>
      <c r="N658" s="12">
        <f>IF('Data Entry'!A658="","",IF($L658="","New item",IF($L658&gt;0,"UP",IF($L658&lt;0,"down","same"))))</f>
        <v/>
      </c>
    </row>
    <row r="659">
      <c r="A659" s="11">
        <f>IF('Data Entry'!A659="","",'Data Entry'!A659)</f>
        <v/>
      </c>
      <c r="B659" s="12">
        <f>IF('Data Entry'!A659="","",'Data Entry'!B659)</f>
        <v/>
      </c>
      <c r="C659" s="12">
        <f>IF('Data Entry'!A659="","",'Data Entry'!C659)</f>
        <v/>
      </c>
      <c r="D659" s="12">
        <f>IF('Data Entry'!A659="","",'Data Entry'!D659)</f>
        <v/>
      </c>
      <c r="E659" s="12">
        <f>IF('Data Entry'!A659="","",'Data Entry'!E659)</f>
        <v/>
      </c>
      <c r="F659" s="12">
        <f>IF('Data Entry'!A659="","",'Data Entry'!F659)</f>
        <v/>
      </c>
      <c r="G659" s="13">
        <f>IF('Data Entry'!A659="","",'Data Entry'!G659)</f>
        <v/>
      </c>
      <c r="H659" s="10">
        <f>IF('Data Entry'!A659="","",'Data Entry'!H659)</f>
        <v/>
      </c>
      <c r="I659" s="10">
        <f>IF('Data Entry'!A659="","",'Data Entry'!I659)</f>
        <v/>
      </c>
      <c r="J659" s="12">
        <f>IF('Data Entry'!A659="","",IF('Data Entry'!D659&lt;&gt;"",'Data Entry'!D659,'Data Entry'!E659))</f>
        <v/>
      </c>
      <c r="K659" s="10">
        <f>IF('Data Entry'!A659="","",IFERROR(SUMIFS($H$5:$H$2001,$J$5:$J$2001,$J659,$B$5:$B$2001,$B659,$A$5:$A$2001,(MAXIFS($A$5:$A$2001,$J$5:$J$2001,$J659,$B$5:$B$2001,$B659,$A$5:$A$2001,"&lt;"&amp;$A659))),""))</f>
        <v/>
      </c>
      <c r="L659" s="14">
        <f>IF(OR('Data Entry'!A659="",$K659=""),"",$H659-$K659)</f>
        <v/>
      </c>
      <c r="M659" s="15">
        <f>IF(OR('Data Entry'!A659="",$K659="",$K659=0),"",$L659/$K659)</f>
        <v/>
      </c>
      <c r="N659" s="12">
        <f>IF('Data Entry'!A659="","",IF($L659="","New item",IF($L659&gt;0,"UP",IF($L659&lt;0,"down","same"))))</f>
        <v/>
      </c>
    </row>
    <row r="660">
      <c r="A660" s="11">
        <f>IF('Data Entry'!A660="","",'Data Entry'!A660)</f>
        <v/>
      </c>
      <c r="B660" s="12">
        <f>IF('Data Entry'!A660="","",'Data Entry'!B660)</f>
        <v/>
      </c>
      <c r="C660" s="12">
        <f>IF('Data Entry'!A660="","",'Data Entry'!C660)</f>
        <v/>
      </c>
      <c r="D660" s="12">
        <f>IF('Data Entry'!A660="","",'Data Entry'!D660)</f>
        <v/>
      </c>
      <c r="E660" s="12">
        <f>IF('Data Entry'!A660="","",'Data Entry'!E660)</f>
        <v/>
      </c>
      <c r="F660" s="12">
        <f>IF('Data Entry'!A660="","",'Data Entry'!F660)</f>
        <v/>
      </c>
      <c r="G660" s="13">
        <f>IF('Data Entry'!A660="","",'Data Entry'!G660)</f>
        <v/>
      </c>
      <c r="H660" s="10">
        <f>IF('Data Entry'!A660="","",'Data Entry'!H660)</f>
        <v/>
      </c>
      <c r="I660" s="10">
        <f>IF('Data Entry'!A660="","",'Data Entry'!I660)</f>
        <v/>
      </c>
      <c r="J660" s="12">
        <f>IF('Data Entry'!A660="","",IF('Data Entry'!D660&lt;&gt;"",'Data Entry'!D660,'Data Entry'!E660))</f>
        <v/>
      </c>
      <c r="K660" s="10">
        <f>IF('Data Entry'!A660="","",IFERROR(SUMIFS($H$5:$H$2001,$J$5:$J$2001,$J660,$B$5:$B$2001,$B660,$A$5:$A$2001,(MAXIFS($A$5:$A$2001,$J$5:$J$2001,$J660,$B$5:$B$2001,$B660,$A$5:$A$2001,"&lt;"&amp;$A660))),""))</f>
        <v/>
      </c>
      <c r="L660" s="14">
        <f>IF(OR('Data Entry'!A660="",$K660=""),"",$H660-$K660)</f>
        <v/>
      </c>
      <c r="M660" s="15">
        <f>IF(OR('Data Entry'!A660="",$K660="",$K660=0),"",$L660/$K660)</f>
        <v/>
      </c>
      <c r="N660" s="12">
        <f>IF('Data Entry'!A660="","",IF($L660="","New item",IF($L660&gt;0,"UP",IF($L660&lt;0,"down","same"))))</f>
        <v/>
      </c>
    </row>
    <row r="661">
      <c r="A661" s="11">
        <f>IF('Data Entry'!A661="","",'Data Entry'!A661)</f>
        <v/>
      </c>
      <c r="B661" s="12">
        <f>IF('Data Entry'!A661="","",'Data Entry'!B661)</f>
        <v/>
      </c>
      <c r="C661" s="12">
        <f>IF('Data Entry'!A661="","",'Data Entry'!C661)</f>
        <v/>
      </c>
      <c r="D661" s="12">
        <f>IF('Data Entry'!A661="","",'Data Entry'!D661)</f>
        <v/>
      </c>
      <c r="E661" s="12">
        <f>IF('Data Entry'!A661="","",'Data Entry'!E661)</f>
        <v/>
      </c>
      <c r="F661" s="12">
        <f>IF('Data Entry'!A661="","",'Data Entry'!F661)</f>
        <v/>
      </c>
      <c r="G661" s="13">
        <f>IF('Data Entry'!A661="","",'Data Entry'!G661)</f>
        <v/>
      </c>
      <c r="H661" s="10">
        <f>IF('Data Entry'!A661="","",'Data Entry'!H661)</f>
        <v/>
      </c>
      <c r="I661" s="10">
        <f>IF('Data Entry'!A661="","",'Data Entry'!I661)</f>
        <v/>
      </c>
      <c r="J661" s="12">
        <f>IF('Data Entry'!A661="","",IF('Data Entry'!D661&lt;&gt;"",'Data Entry'!D661,'Data Entry'!E661))</f>
        <v/>
      </c>
      <c r="K661" s="10">
        <f>IF('Data Entry'!A661="","",IFERROR(SUMIFS($H$5:$H$2001,$J$5:$J$2001,$J661,$B$5:$B$2001,$B661,$A$5:$A$2001,(MAXIFS($A$5:$A$2001,$J$5:$J$2001,$J661,$B$5:$B$2001,$B661,$A$5:$A$2001,"&lt;"&amp;$A661))),""))</f>
        <v/>
      </c>
      <c r="L661" s="14">
        <f>IF(OR('Data Entry'!A661="",$K661=""),"",$H661-$K661)</f>
        <v/>
      </c>
      <c r="M661" s="15">
        <f>IF(OR('Data Entry'!A661="",$K661="",$K661=0),"",$L661/$K661)</f>
        <v/>
      </c>
      <c r="N661" s="12">
        <f>IF('Data Entry'!A661="","",IF($L661="","New item",IF($L661&gt;0,"UP",IF($L661&lt;0,"down","same"))))</f>
        <v/>
      </c>
    </row>
    <row r="662">
      <c r="A662" s="11">
        <f>IF('Data Entry'!A662="","",'Data Entry'!A662)</f>
        <v/>
      </c>
      <c r="B662" s="12">
        <f>IF('Data Entry'!A662="","",'Data Entry'!B662)</f>
        <v/>
      </c>
      <c r="C662" s="12">
        <f>IF('Data Entry'!A662="","",'Data Entry'!C662)</f>
        <v/>
      </c>
      <c r="D662" s="12">
        <f>IF('Data Entry'!A662="","",'Data Entry'!D662)</f>
        <v/>
      </c>
      <c r="E662" s="12">
        <f>IF('Data Entry'!A662="","",'Data Entry'!E662)</f>
        <v/>
      </c>
      <c r="F662" s="12">
        <f>IF('Data Entry'!A662="","",'Data Entry'!F662)</f>
        <v/>
      </c>
      <c r="G662" s="13">
        <f>IF('Data Entry'!A662="","",'Data Entry'!G662)</f>
        <v/>
      </c>
      <c r="H662" s="10">
        <f>IF('Data Entry'!A662="","",'Data Entry'!H662)</f>
        <v/>
      </c>
      <c r="I662" s="10">
        <f>IF('Data Entry'!A662="","",'Data Entry'!I662)</f>
        <v/>
      </c>
      <c r="J662" s="12">
        <f>IF('Data Entry'!A662="","",IF('Data Entry'!D662&lt;&gt;"",'Data Entry'!D662,'Data Entry'!E662))</f>
        <v/>
      </c>
      <c r="K662" s="10">
        <f>IF('Data Entry'!A662="","",IFERROR(SUMIFS($H$5:$H$2001,$J$5:$J$2001,$J662,$B$5:$B$2001,$B662,$A$5:$A$2001,(MAXIFS($A$5:$A$2001,$J$5:$J$2001,$J662,$B$5:$B$2001,$B662,$A$5:$A$2001,"&lt;"&amp;$A662))),""))</f>
        <v/>
      </c>
      <c r="L662" s="14">
        <f>IF(OR('Data Entry'!A662="",$K662=""),"",$H662-$K662)</f>
        <v/>
      </c>
      <c r="M662" s="15">
        <f>IF(OR('Data Entry'!A662="",$K662="",$K662=0),"",$L662/$K662)</f>
        <v/>
      </c>
      <c r="N662" s="12">
        <f>IF('Data Entry'!A662="","",IF($L662="","New item",IF($L662&gt;0,"UP",IF($L662&lt;0,"down","same"))))</f>
        <v/>
      </c>
    </row>
    <row r="663">
      <c r="A663" s="11">
        <f>IF('Data Entry'!A663="","",'Data Entry'!A663)</f>
        <v/>
      </c>
      <c r="B663" s="12">
        <f>IF('Data Entry'!A663="","",'Data Entry'!B663)</f>
        <v/>
      </c>
      <c r="C663" s="12">
        <f>IF('Data Entry'!A663="","",'Data Entry'!C663)</f>
        <v/>
      </c>
      <c r="D663" s="12">
        <f>IF('Data Entry'!A663="","",'Data Entry'!D663)</f>
        <v/>
      </c>
      <c r="E663" s="12">
        <f>IF('Data Entry'!A663="","",'Data Entry'!E663)</f>
        <v/>
      </c>
      <c r="F663" s="12">
        <f>IF('Data Entry'!A663="","",'Data Entry'!F663)</f>
        <v/>
      </c>
      <c r="G663" s="13">
        <f>IF('Data Entry'!A663="","",'Data Entry'!G663)</f>
        <v/>
      </c>
      <c r="H663" s="10">
        <f>IF('Data Entry'!A663="","",'Data Entry'!H663)</f>
        <v/>
      </c>
      <c r="I663" s="10">
        <f>IF('Data Entry'!A663="","",'Data Entry'!I663)</f>
        <v/>
      </c>
      <c r="J663" s="12">
        <f>IF('Data Entry'!A663="","",IF('Data Entry'!D663&lt;&gt;"",'Data Entry'!D663,'Data Entry'!E663))</f>
        <v/>
      </c>
      <c r="K663" s="10">
        <f>IF('Data Entry'!A663="","",IFERROR(SUMIFS($H$5:$H$2001,$J$5:$J$2001,$J663,$B$5:$B$2001,$B663,$A$5:$A$2001,(MAXIFS($A$5:$A$2001,$J$5:$J$2001,$J663,$B$5:$B$2001,$B663,$A$5:$A$2001,"&lt;"&amp;$A663))),""))</f>
        <v/>
      </c>
      <c r="L663" s="14">
        <f>IF(OR('Data Entry'!A663="",$K663=""),"",$H663-$K663)</f>
        <v/>
      </c>
      <c r="M663" s="15">
        <f>IF(OR('Data Entry'!A663="",$K663="",$K663=0),"",$L663/$K663)</f>
        <v/>
      </c>
      <c r="N663" s="12">
        <f>IF('Data Entry'!A663="","",IF($L663="","New item",IF($L663&gt;0,"UP",IF($L663&lt;0,"down","same"))))</f>
        <v/>
      </c>
    </row>
    <row r="664">
      <c r="A664" s="11">
        <f>IF('Data Entry'!A664="","",'Data Entry'!A664)</f>
        <v/>
      </c>
      <c r="B664" s="12">
        <f>IF('Data Entry'!A664="","",'Data Entry'!B664)</f>
        <v/>
      </c>
      <c r="C664" s="12">
        <f>IF('Data Entry'!A664="","",'Data Entry'!C664)</f>
        <v/>
      </c>
      <c r="D664" s="12">
        <f>IF('Data Entry'!A664="","",'Data Entry'!D664)</f>
        <v/>
      </c>
      <c r="E664" s="12">
        <f>IF('Data Entry'!A664="","",'Data Entry'!E664)</f>
        <v/>
      </c>
      <c r="F664" s="12">
        <f>IF('Data Entry'!A664="","",'Data Entry'!F664)</f>
        <v/>
      </c>
      <c r="G664" s="13">
        <f>IF('Data Entry'!A664="","",'Data Entry'!G664)</f>
        <v/>
      </c>
      <c r="H664" s="10">
        <f>IF('Data Entry'!A664="","",'Data Entry'!H664)</f>
        <v/>
      </c>
      <c r="I664" s="10">
        <f>IF('Data Entry'!A664="","",'Data Entry'!I664)</f>
        <v/>
      </c>
      <c r="J664" s="12">
        <f>IF('Data Entry'!A664="","",IF('Data Entry'!D664&lt;&gt;"",'Data Entry'!D664,'Data Entry'!E664))</f>
        <v/>
      </c>
      <c r="K664" s="10">
        <f>IF('Data Entry'!A664="","",IFERROR(SUMIFS($H$5:$H$2001,$J$5:$J$2001,$J664,$B$5:$B$2001,$B664,$A$5:$A$2001,(MAXIFS($A$5:$A$2001,$J$5:$J$2001,$J664,$B$5:$B$2001,$B664,$A$5:$A$2001,"&lt;"&amp;$A664))),""))</f>
        <v/>
      </c>
      <c r="L664" s="14">
        <f>IF(OR('Data Entry'!A664="",$K664=""),"",$H664-$K664)</f>
        <v/>
      </c>
      <c r="M664" s="15">
        <f>IF(OR('Data Entry'!A664="",$K664="",$K664=0),"",$L664/$K664)</f>
        <v/>
      </c>
      <c r="N664" s="12">
        <f>IF('Data Entry'!A664="","",IF($L664="","New item",IF($L664&gt;0,"UP",IF($L664&lt;0,"down","same"))))</f>
        <v/>
      </c>
    </row>
    <row r="665">
      <c r="A665" s="11">
        <f>IF('Data Entry'!A665="","",'Data Entry'!A665)</f>
        <v/>
      </c>
      <c r="B665" s="12">
        <f>IF('Data Entry'!A665="","",'Data Entry'!B665)</f>
        <v/>
      </c>
      <c r="C665" s="12">
        <f>IF('Data Entry'!A665="","",'Data Entry'!C665)</f>
        <v/>
      </c>
      <c r="D665" s="12">
        <f>IF('Data Entry'!A665="","",'Data Entry'!D665)</f>
        <v/>
      </c>
      <c r="E665" s="12">
        <f>IF('Data Entry'!A665="","",'Data Entry'!E665)</f>
        <v/>
      </c>
      <c r="F665" s="12">
        <f>IF('Data Entry'!A665="","",'Data Entry'!F665)</f>
        <v/>
      </c>
      <c r="G665" s="13">
        <f>IF('Data Entry'!A665="","",'Data Entry'!G665)</f>
        <v/>
      </c>
      <c r="H665" s="10">
        <f>IF('Data Entry'!A665="","",'Data Entry'!H665)</f>
        <v/>
      </c>
      <c r="I665" s="10">
        <f>IF('Data Entry'!A665="","",'Data Entry'!I665)</f>
        <v/>
      </c>
      <c r="J665" s="12">
        <f>IF('Data Entry'!A665="","",IF('Data Entry'!D665&lt;&gt;"",'Data Entry'!D665,'Data Entry'!E665))</f>
        <v/>
      </c>
      <c r="K665" s="10">
        <f>IF('Data Entry'!A665="","",IFERROR(SUMIFS($H$5:$H$2001,$J$5:$J$2001,$J665,$B$5:$B$2001,$B665,$A$5:$A$2001,(MAXIFS($A$5:$A$2001,$J$5:$J$2001,$J665,$B$5:$B$2001,$B665,$A$5:$A$2001,"&lt;"&amp;$A665))),""))</f>
        <v/>
      </c>
      <c r="L665" s="14">
        <f>IF(OR('Data Entry'!A665="",$K665=""),"",$H665-$K665)</f>
        <v/>
      </c>
      <c r="M665" s="15">
        <f>IF(OR('Data Entry'!A665="",$K665="",$K665=0),"",$L665/$K665)</f>
        <v/>
      </c>
      <c r="N665" s="12">
        <f>IF('Data Entry'!A665="","",IF($L665="","New item",IF($L665&gt;0,"UP",IF($L665&lt;0,"down","same"))))</f>
        <v/>
      </c>
    </row>
    <row r="666">
      <c r="A666" s="11">
        <f>IF('Data Entry'!A666="","",'Data Entry'!A666)</f>
        <v/>
      </c>
      <c r="B666" s="12">
        <f>IF('Data Entry'!A666="","",'Data Entry'!B666)</f>
        <v/>
      </c>
      <c r="C666" s="12">
        <f>IF('Data Entry'!A666="","",'Data Entry'!C666)</f>
        <v/>
      </c>
      <c r="D666" s="12">
        <f>IF('Data Entry'!A666="","",'Data Entry'!D666)</f>
        <v/>
      </c>
      <c r="E666" s="12">
        <f>IF('Data Entry'!A666="","",'Data Entry'!E666)</f>
        <v/>
      </c>
      <c r="F666" s="12">
        <f>IF('Data Entry'!A666="","",'Data Entry'!F666)</f>
        <v/>
      </c>
      <c r="G666" s="13">
        <f>IF('Data Entry'!A666="","",'Data Entry'!G666)</f>
        <v/>
      </c>
      <c r="H666" s="10">
        <f>IF('Data Entry'!A666="","",'Data Entry'!H666)</f>
        <v/>
      </c>
      <c r="I666" s="10">
        <f>IF('Data Entry'!A666="","",'Data Entry'!I666)</f>
        <v/>
      </c>
      <c r="J666" s="12">
        <f>IF('Data Entry'!A666="","",IF('Data Entry'!D666&lt;&gt;"",'Data Entry'!D666,'Data Entry'!E666))</f>
        <v/>
      </c>
      <c r="K666" s="10">
        <f>IF('Data Entry'!A666="","",IFERROR(SUMIFS($H$5:$H$2001,$J$5:$J$2001,$J666,$B$5:$B$2001,$B666,$A$5:$A$2001,(MAXIFS($A$5:$A$2001,$J$5:$J$2001,$J666,$B$5:$B$2001,$B666,$A$5:$A$2001,"&lt;"&amp;$A666))),""))</f>
        <v/>
      </c>
      <c r="L666" s="14">
        <f>IF(OR('Data Entry'!A666="",$K666=""),"",$H666-$K666)</f>
        <v/>
      </c>
      <c r="M666" s="15">
        <f>IF(OR('Data Entry'!A666="",$K666="",$K666=0),"",$L666/$K666)</f>
        <v/>
      </c>
      <c r="N666" s="12">
        <f>IF('Data Entry'!A666="","",IF($L666="","New item",IF($L666&gt;0,"UP",IF($L666&lt;0,"down","same"))))</f>
        <v/>
      </c>
    </row>
    <row r="667">
      <c r="A667" s="11">
        <f>IF('Data Entry'!A667="","",'Data Entry'!A667)</f>
        <v/>
      </c>
      <c r="B667" s="12">
        <f>IF('Data Entry'!A667="","",'Data Entry'!B667)</f>
        <v/>
      </c>
      <c r="C667" s="12">
        <f>IF('Data Entry'!A667="","",'Data Entry'!C667)</f>
        <v/>
      </c>
      <c r="D667" s="12">
        <f>IF('Data Entry'!A667="","",'Data Entry'!D667)</f>
        <v/>
      </c>
      <c r="E667" s="12">
        <f>IF('Data Entry'!A667="","",'Data Entry'!E667)</f>
        <v/>
      </c>
      <c r="F667" s="12">
        <f>IF('Data Entry'!A667="","",'Data Entry'!F667)</f>
        <v/>
      </c>
      <c r="G667" s="13">
        <f>IF('Data Entry'!A667="","",'Data Entry'!G667)</f>
        <v/>
      </c>
      <c r="H667" s="10">
        <f>IF('Data Entry'!A667="","",'Data Entry'!H667)</f>
        <v/>
      </c>
      <c r="I667" s="10">
        <f>IF('Data Entry'!A667="","",'Data Entry'!I667)</f>
        <v/>
      </c>
      <c r="J667" s="12">
        <f>IF('Data Entry'!A667="","",IF('Data Entry'!D667&lt;&gt;"",'Data Entry'!D667,'Data Entry'!E667))</f>
        <v/>
      </c>
      <c r="K667" s="10">
        <f>IF('Data Entry'!A667="","",IFERROR(SUMIFS($H$5:$H$2001,$J$5:$J$2001,$J667,$B$5:$B$2001,$B667,$A$5:$A$2001,(MAXIFS($A$5:$A$2001,$J$5:$J$2001,$J667,$B$5:$B$2001,$B667,$A$5:$A$2001,"&lt;"&amp;$A667))),""))</f>
        <v/>
      </c>
      <c r="L667" s="14">
        <f>IF(OR('Data Entry'!A667="",$K667=""),"",$H667-$K667)</f>
        <v/>
      </c>
      <c r="M667" s="15">
        <f>IF(OR('Data Entry'!A667="",$K667="",$K667=0),"",$L667/$K667)</f>
        <v/>
      </c>
      <c r="N667" s="12">
        <f>IF('Data Entry'!A667="","",IF($L667="","New item",IF($L667&gt;0,"UP",IF($L667&lt;0,"down","same"))))</f>
        <v/>
      </c>
    </row>
    <row r="668">
      <c r="A668" s="11">
        <f>IF('Data Entry'!A668="","",'Data Entry'!A668)</f>
        <v/>
      </c>
      <c r="B668" s="12">
        <f>IF('Data Entry'!A668="","",'Data Entry'!B668)</f>
        <v/>
      </c>
      <c r="C668" s="12">
        <f>IF('Data Entry'!A668="","",'Data Entry'!C668)</f>
        <v/>
      </c>
      <c r="D668" s="12">
        <f>IF('Data Entry'!A668="","",'Data Entry'!D668)</f>
        <v/>
      </c>
      <c r="E668" s="12">
        <f>IF('Data Entry'!A668="","",'Data Entry'!E668)</f>
        <v/>
      </c>
      <c r="F668" s="12">
        <f>IF('Data Entry'!A668="","",'Data Entry'!F668)</f>
        <v/>
      </c>
      <c r="G668" s="13">
        <f>IF('Data Entry'!A668="","",'Data Entry'!G668)</f>
        <v/>
      </c>
      <c r="H668" s="10">
        <f>IF('Data Entry'!A668="","",'Data Entry'!H668)</f>
        <v/>
      </c>
      <c r="I668" s="10">
        <f>IF('Data Entry'!A668="","",'Data Entry'!I668)</f>
        <v/>
      </c>
      <c r="J668" s="12">
        <f>IF('Data Entry'!A668="","",IF('Data Entry'!D668&lt;&gt;"",'Data Entry'!D668,'Data Entry'!E668))</f>
        <v/>
      </c>
      <c r="K668" s="10">
        <f>IF('Data Entry'!A668="","",IFERROR(SUMIFS($H$5:$H$2001,$J$5:$J$2001,$J668,$B$5:$B$2001,$B668,$A$5:$A$2001,(MAXIFS($A$5:$A$2001,$J$5:$J$2001,$J668,$B$5:$B$2001,$B668,$A$5:$A$2001,"&lt;"&amp;$A668))),""))</f>
        <v/>
      </c>
      <c r="L668" s="14">
        <f>IF(OR('Data Entry'!A668="",$K668=""),"",$H668-$K668)</f>
        <v/>
      </c>
      <c r="M668" s="15">
        <f>IF(OR('Data Entry'!A668="",$K668="",$K668=0),"",$L668/$K668)</f>
        <v/>
      </c>
      <c r="N668" s="12">
        <f>IF('Data Entry'!A668="","",IF($L668="","New item",IF($L668&gt;0,"UP",IF($L668&lt;0,"down","same"))))</f>
        <v/>
      </c>
    </row>
    <row r="669">
      <c r="A669" s="11">
        <f>IF('Data Entry'!A669="","",'Data Entry'!A669)</f>
        <v/>
      </c>
      <c r="B669" s="12">
        <f>IF('Data Entry'!A669="","",'Data Entry'!B669)</f>
        <v/>
      </c>
      <c r="C669" s="12">
        <f>IF('Data Entry'!A669="","",'Data Entry'!C669)</f>
        <v/>
      </c>
      <c r="D669" s="12">
        <f>IF('Data Entry'!A669="","",'Data Entry'!D669)</f>
        <v/>
      </c>
      <c r="E669" s="12">
        <f>IF('Data Entry'!A669="","",'Data Entry'!E669)</f>
        <v/>
      </c>
      <c r="F669" s="12">
        <f>IF('Data Entry'!A669="","",'Data Entry'!F669)</f>
        <v/>
      </c>
      <c r="G669" s="13">
        <f>IF('Data Entry'!A669="","",'Data Entry'!G669)</f>
        <v/>
      </c>
      <c r="H669" s="10">
        <f>IF('Data Entry'!A669="","",'Data Entry'!H669)</f>
        <v/>
      </c>
      <c r="I669" s="10">
        <f>IF('Data Entry'!A669="","",'Data Entry'!I669)</f>
        <v/>
      </c>
      <c r="J669" s="12">
        <f>IF('Data Entry'!A669="","",IF('Data Entry'!D669&lt;&gt;"",'Data Entry'!D669,'Data Entry'!E669))</f>
        <v/>
      </c>
      <c r="K669" s="10">
        <f>IF('Data Entry'!A669="","",IFERROR(SUMIFS($H$5:$H$2001,$J$5:$J$2001,$J669,$B$5:$B$2001,$B669,$A$5:$A$2001,(MAXIFS($A$5:$A$2001,$J$5:$J$2001,$J669,$B$5:$B$2001,$B669,$A$5:$A$2001,"&lt;"&amp;$A669))),""))</f>
        <v/>
      </c>
      <c r="L669" s="14">
        <f>IF(OR('Data Entry'!A669="",$K669=""),"",$H669-$K669)</f>
        <v/>
      </c>
      <c r="M669" s="15">
        <f>IF(OR('Data Entry'!A669="",$K669="",$K669=0),"",$L669/$K669)</f>
        <v/>
      </c>
      <c r="N669" s="12">
        <f>IF('Data Entry'!A669="","",IF($L669="","New item",IF($L669&gt;0,"UP",IF($L669&lt;0,"down","same"))))</f>
        <v/>
      </c>
    </row>
    <row r="670">
      <c r="A670" s="11">
        <f>IF('Data Entry'!A670="","",'Data Entry'!A670)</f>
        <v/>
      </c>
      <c r="B670" s="12">
        <f>IF('Data Entry'!A670="","",'Data Entry'!B670)</f>
        <v/>
      </c>
      <c r="C670" s="12">
        <f>IF('Data Entry'!A670="","",'Data Entry'!C670)</f>
        <v/>
      </c>
      <c r="D670" s="12">
        <f>IF('Data Entry'!A670="","",'Data Entry'!D670)</f>
        <v/>
      </c>
      <c r="E670" s="12">
        <f>IF('Data Entry'!A670="","",'Data Entry'!E670)</f>
        <v/>
      </c>
      <c r="F670" s="12">
        <f>IF('Data Entry'!A670="","",'Data Entry'!F670)</f>
        <v/>
      </c>
      <c r="G670" s="13">
        <f>IF('Data Entry'!A670="","",'Data Entry'!G670)</f>
        <v/>
      </c>
      <c r="H670" s="10">
        <f>IF('Data Entry'!A670="","",'Data Entry'!H670)</f>
        <v/>
      </c>
      <c r="I670" s="10">
        <f>IF('Data Entry'!A670="","",'Data Entry'!I670)</f>
        <v/>
      </c>
      <c r="J670" s="12">
        <f>IF('Data Entry'!A670="","",IF('Data Entry'!D670&lt;&gt;"",'Data Entry'!D670,'Data Entry'!E670))</f>
        <v/>
      </c>
      <c r="K670" s="10">
        <f>IF('Data Entry'!A670="","",IFERROR(SUMIFS($H$5:$H$2001,$J$5:$J$2001,$J670,$B$5:$B$2001,$B670,$A$5:$A$2001,(MAXIFS($A$5:$A$2001,$J$5:$J$2001,$J670,$B$5:$B$2001,$B670,$A$5:$A$2001,"&lt;"&amp;$A670))),""))</f>
        <v/>
      </c>
      <c r="L670" s="14">
        <f>IF(OR('Data Entry'!A670="",$K670=""),"",$H670-$K670)</f>
        <v/>
      </c>
      <c r="M670" s="15">
        <f>IF(OR('Data Entry'!A670="",$K670="",$K670=0),"",$L670/$K670)</f>
        <v/>
      </c>
      <c r="N670" s="12">
        <f>IF('Data Entry'!A670="","",IF($L670="","New item",IF($L670&gt;0,"UP",IF($L670&lt;0,"down","same"))))</f>
        <v/>
      </c>
    </row>
    <row r="671">
      <c r="A671" s="11">
        <f>IF('Data Entry'!A671="","",'Data Entry'!A671)</f>
        <v/>
      </c>
      <c r="B671" s="12">
        <f>IF('Data Entry'!A671="","",'Data Entry'!B671)</f>
        <v/>
      </c>
      <c r="C671" s="12">
        <f>IF('Data Entry'!A671="","",'Data Entry'!C671)</f>
        <v/>
      </c>
      <c r="D671" s="12">
        <f>IF('Data Entry'!A671="","",'Data Entry'!D671)</f>
        <v/>
      </c>
      <c r="E671" s="12">
        <f>IF('Data Entry'!A671="","",'Data Entry'!E671)</f>
        <v/>
      </c>
      <c r="F671" s="12">
        <f>IF('Data Entry'!A671="","",'Data Entry'!F671)</f>
        <v/>
      </c>
      <c r="G671" s="13">
        <f>IF('Data Entry'!A671="","",'Data Entry'!G671)</f>
        <v/>
      </c>
      <c r="H671" s="10">
        <f>IF('Data Entry'!A671="","",'Data Entry'!H671)</f>
        <v/>
      </c>
      <c r="I671" s="10">
        <f>IF('Data Entry'!A671="","",'Data Entry'!I671)</f>
        <v/>
      </c>
      <c r="J671" s="12">
        <f>IF('Data Entry'!A671="","",IF('Data Entry'!D671&lt;&gt;"",'Data Entry'!D671,'Data Entry'!E671))</f>
        <v/>
      </c>
      <c r="K671" s="10">
        <f>IF('Data Entry'!A671="","",IFERROR(SUMIFS($H$5:$H$2001,$J$5:$J$2001,$J671,$B$5:$B$2001,$B671,$A$5:$A$2001,(MAXIFS($A$5:$A$2001,$J$5:$J$2001,$J671,$B$5:$B$2001,$B671,$A$5:$A$2001,"&lt;"&amp;$A671))),""))</f>
        <v/>
      </c>
      <c r="L671" s="14">
        <f>IF(OR('Data Entry'!A671="",$K671=""),"",$H671-$K671)</f>
        <v/>
      </c>
      <c r="M671" s="15">
        <f>IF(OR('Data Entry'!A671="",$K671="",$K671=0),"",$L671/$K671)</f>
        <v/>
      </c>
      <c r="N671" s="12">
        <f>IF('Data Entry'!A671="","",IF($L671="","New item",IF($L671&gt;0,"UP",IF($L671&lt;0,"down","same"))))</f>
        <v/>
      </c>
    </row>
    <row r="672">
      <c r="A672" s="11">
        <f>IF('Data Entry'!A672="","",'Data Entry'!A672)</f>
        <v/>
      </c>
      <c r="B672" s="12">
        <f>IF('Data Entry'!A672="","",'Data Entry'!B672)</f>
        <v/>
      </c>
      <c r="C672" s="12">
        <f>IF('Data Entry'!A672="","",'Data Entry'!C672)</f>
        <v/>
      </c>
      <c r="D672" s="12">
        <f>IF('Data Entry'!A672="","",'Data Entry'!D672)</f>
        <v/>
      </c>
      <c r="E672" s="12">
        <f>IF('Data Entry'!A672="","",'Data Entry'!E672)</f>
        <v/>
      </c>
      <c r="F672" s="12">
        <f>IF('Data Entry'!A672="","",'Data Entry'!F672)</f>
        <v/>
      </c>
      <c r="G672" s="13">
        <f>IF('Data Entry'!A672="","",'Data Entry'!G672)</f>
        <v/>
      </c>
      <c r="H672" s="10">
        <f>IF('Data Entry'!A672="","",'Data Entry'!H672)</f>
        <v/>
      </c>
      <c r="I672" s="10">
        <f>IF('Data Entry'!A672="","",'Data Entry'!I672)</f>
        <v/>
      </c>
      <c r="J672" s="12">
        <f>IF('Data Entry'!A672="","",IF('Data Entry'!D672&lt;&gt;"",'Data Entry'!D672,'Data Entry'!E672))</f>
        <v/>
      </c>
      <c r="K672" s="10">
        <f>IF('Data Entry'!A672="","",IFERROR(SUMIFS($H$5:$H$2001,$J$5:$J$2001,$J672,$B$5:$B$2001,$B672,$A$5:$A$2001,(MAXIFS($A$5:$A$2001,$J$5:$J$2001,$J672,$B$5:$B$2001,$B672,$A$5:$A$2001,"&lt;"&amp;$A672))),""))</f>
        <v/>
      </c>
      <c r="L672" s="14">
        <f>IF(OR('Data Entry'!A672="",$K672=""),"",$H672-$K672)</f>
        <v/>
      </c>
      <c r="M672" s="15">
        <f>IF(OR('Data Entry'!A672="",$K672="",$K672=0),"",$L672/$K672)</f>
        <v/>
      </c>
      <c r="N672" s="12">
        <f>IF('Data Entry'!A672="","",IF($L672="","New item",IF($L672&gt;0,"UP",IF($L672&lt;0,"down","same"))))</f>
        <v/>
      </c>
    </row>
    <row r="673">
      <c r="A673" s="11">
        <f>IF('Data Entry'!A673="","",'Data Entry'!A673)</f>
        <v/>
      </c>
      <c r="B673" s="12">
        <f>IF('Data Entry'!A673="","",'Data Entry'!B673)</f>
        <v/>
      </c>
      <c r="C673" s="12">
        <f>IF('Data Entry'!A673="","",'Data Entry'!C673)</f>
        <v/>
      </c>
      <c r="D673" s="12">
        <f>IF('Data Entry'!A673="","",'Data Entry'!D673)</f>
        <v/>
      </c>
      <c r="E673" s="12">
        <f>IF('Data Entry'!A673="","",'Data Entry'!E673)</f>
        <v/>
      </c>
      <c r="F673" s="12">
        <f>IF('Data Entry'!A673="","",'Data Entry'!F673)</f>
        <v/>
      </c>
      <c r="G673" s="13">
        <f>IF('Data Entry'!A673="","",'Data Entry'!G673)</f>
        <v/>
      </c>
      <c r="H673" s="10">
        <f>IF('Data Entry'!A673="","",'Data Entry'!H673)</f>
        <v/>
      </c>
      <c r="I673" s="10">
        <f>IF('Data Entry'!A673="","",'Data Entry'!I673)</f>
        <v/>
      </c>
      <c r="J673" s="12">
        <f>IF('Data Entry'!A673="","",IF('Data Entry'!D673&lt;&gt;"",'Data Entry'!D673,'Data Entry'!E673))</f>
        <v/>
      </c>
      <c r="K673" s="10">
        <f>IF('Data Entry'!A673="","",IFERROR(SUMIFS($H$5:$H$2001,$J$5:$J$2001,$J673,$B$5:$B$2001,$B673,$A$5:$A$2001,(MAXIFS($A$5:$A$2001,$J$5:$J$2001,$J673,$B$5:$B$2001,$B673,$A$5:$A$2001,"&lt;"&amp;$A673))),""))</f>
        <v/>
      </c>
      <c r="L673" s="14">
        <f>IF(OR('Data Entry'!A673="",$K673=""),"",$H673-$K673)</f>
        <v/>
      </c>
      <c r="M673" s="15">
        <f>IF(OR('Data Entry'!A673="",$K673="",$K673=0),"",$L673/$K673)</f>
        <v/>
      </c>
      <c r="N673" s="12">
        <f>IF('Data Entry'!A673="","",IF($L673="","New item",IF($L673&gt;0,"UP",IF($L673&lt;0,"down","same"))))</f>
        <v/>
      </c>
    </row>
    <row r="674">
      <c r="A674" s="11">
        <f>IF('Data Entry'!A674="","",'Data Entry'!A674)</f>
        <v/>
      </c>
      <c r="B674" s="12">
        <f>IF('Data Entry'!A674="","",'Data Entry'!B674)</f>
        <v/>
      </c>
      <c r="C674" s="12">
        <f>IF('Data Entry'!A674="","",'Data Entry'!C674)</f>
        <v/>
      </c>
      <c r="D674" s="12">
        <f>IF('Data Entry'!A674="","",'Data Entry'!D674)</f>
        <v/>
      </c>
      <c r="E674" s="12">
        <f>IF('Data Entry'!A674="","",'Data Entry'!E674)</f>
        <v/>
      </c>
      <c r="F674" s="12">
        <f>IF('Data Entry'!A674="","",'Data Entry'!F674)</f>
        <v/>
      </c>
      <c r="G674" s="13">
        <f>IF('Data Entry'!A674="","",'Data Entry'!G674)</f>
        <v/>
      </c>
      <c r="H674" s="10">
        <f>IF('Data Entry'!A674="","",'Data Entry'!H674)</f>
        <v/>
      </c>
      <c r="I674" s="10">
        <f>IF('Data Entry'!A674="","",'Data Entry'!I674)</f>
        <v/>
      </c>
      <c r="J674" s="12">
        <f>IF('Data Entry'!A674="","",IF('Data Entry'!D674&lt;&gt;"",'Data Entry'!D674,'Data Entry'!E674))</f>
        <v/>
      </c>
      <c r="K674" s="10">
        <f>IF('Data Entry'!A674="","",IFERROR(SUMIFS($H$5:$H$2001,$J$5:$J$2001,$J674,$B$5:$B$2001,$B674,$A$5:$A$2001,(MAXIFS($A$5:$A$2001,$J$5:$J$2001,$J674,$B$5:$B$2001,$B674,$A$5:$A$2001,"&lt;"&amp;$A674))),""))</f>
        <v/>
      </c>
      <c r="L674" s="14">
        <f>IF(OR('Data Entry'!A674="",$K674=""),"",$H674-$K674)</f>
        <v/>
      </c>
      <c r="M674" s="15">
        <f>IF(OR('Data Entry'!A674="",$K674="",$K674=0),"",$L674/$K674)</f>
        <v/>
      </c>
      <c r="N674" s="12">
        <f>IF('Data Entry'!A674="","",IF($L674="","New item",IF($L674&gt;0,"UP",IF($L674&lt;0,"down","same"))))</f>
        <v/>
      </c>
    </row>
    <row r="675">
      <c r="A675" s="11">
        <f>IF('Data Entry'!A675="","",'Data Entry'!A675)</f>
        <v/>
      </c>
      <c r="B675" s="12">
        <f>IF('Data Entry'!A675="","",'Data Entry'!B675)</f>
        <v/>
      </c>
      <c r="C675" s="12">
        <f>IF('Data Entry'!A675="","",'Data Entry'!C675)</f>
        <v/>
      </c>
      <c r="D675" s="12">
        <f>IF('Data Entry'!A675="","",'Data Entry'!D675)</f>
        <v/>
      </c>
      <c r="E675" s="12">
        <f>IF('Data Entry'!A675="","",'Data Entry'!E675)</f>
        <v/>
      </c>
      <c r="F675" s="12">
        <f>IF('Data Entry'!A675="","",'Data Entry'!F675)</f>
        <v/>
      </c>
      <c r="G675" s="13">
        <f>IF('Data Entry'!A675="","",'Data Entry'!G675)</f>
        <v/>
      </c>
      <c r="H675" s="10">
        <f>IF('Data Entry'!A675="","",'Data Entry'!H675)</f>
        <v/>
      </c>
      <c r="I675" s="10">
        <f>IF('Data Entry'!A675="","",'Data Entry'!I675)</f>
        <v/>
      </c>
      <c r="J675" s="12">
        <f>IF('Data Entry'!A675="","",IF('Data Entry'!D675&lt;&gt;"",'Data Entry'!D675,'Data Entry'!E675))</f>
        <v/>
      </c>
      <c r="K675" s="10">
        <f>IF('Data Entry'!A675="","",IFERROR(SUMIFS($H$5:$H$2001,$J$5:$J$2001,$J675,$B$5:$B$2001,$B675,$A$5:$A$2001,(MAXIFS($A$5:$A$2001,$J$5:$J$2001,$J675,$B$5:$B$2001,$B675,$A$5:$A$2001,"&lt;"&amp;$A675))),""))</f>
        <v/>
      </c>
      <c r="L675" s="14">
        <f>IF(OR('Data Entry'!A675="",$K675=""),"",$H675-$K675)</f>
        <v/>
      </c>
      <c r="M675" s="15">
        <f>IF(OR('Data Entry'!A675="",$K675="",$K675=0),"",$L675/$K675)</f>
        <v/>
      </c>
      <c r="N675" s="12">
        <f>IF('Data Entry'!A675="","",IF($L675="","New item",IF($L675&gt;0,"UP",IF($L675&lt;0,"down","same"))))</f>
        <v/>
      </c>
    </row>
    <row r="676">
      <c r="A676" s="11">
        <f>IF('Data Entry'!A676="","",'Data Entry'!A676)</f>
        <v/>
      </c>
      <c r="B676" s="12">
        <f>IF('Data Entry'!A676="","",'Data Entry'!B676)</f>
        <v/>
      </c>
      <c r="C676" s="12">
        <f>IF('Data Entry'!A676="","",'Data Entry'!C676)</f>
        <v/>
      </c>
      <c r="D676" s="12">
        <f>IF('Data Entry'!A676="","",'Data Entry'!D676)</f>
        <v/>
      </c>
      <c r="E676" s="12">
        <f>IF('Data Entry'!A676="","",'Data Entry'!E676)</f>
        <v/>
      </c>
      <c r="F676" s="12">
        <f>IF('Data Entry'!A676="","",'Data Entry'!F676)</f>
        <v/>
      </c>
      <c r="G676" s="13">
        <f>IF('Data Entry'!A676="","",'Data Entry'!G676)</f>
        <v/>
      </c>
      <c r="H676" s="10">
        <f>IF('Data Entry'!A676="","",'Data Entry'!H676)</f>
        <v/>
      </c>
      <c r="I676" s="10">
        <f>IF('Data Entry'!A676="","",'Data Entry'!I676)</f>
        <v/>
      </c>
      <c r="J676" s="12">
        <f>IF('Data Entry'!A676="","",IF('Data Entry'!D676&lt;&gt;"",'Data Entry'!D676,'Data Entry'!E676))</f>
        <v/>
      </c>
      <c r="K676" s="10">
        <f>IF('Data Entry'!A676="","",IFERROR(SUMIFS($H$5:$H$2001,$J$5:$J$2001,$J676,$B$5:$B$2001,$B676,$A$5:$A$2001,(MAXIFS($A$5:$A$2001,$J$5:$J$2001,$J676,$B$5:$B$2001,$B676,$A$5:$A$2001,"&lt;"&amp;$A676))),""))</f>
        <v/>
      </c>
      <c r="L676" s="14">
        <f>IF(OR('Data Entry'!A676="",$K676=""),"",$H676-$K676)</f>
        <v/>
      </c>
      <c r="M676" s="15">
        <f>IF(OR('Data Entry'!A676="",$K676="",$K676=0),"",$L676/$K676)</f>
        <v/>
      </c>
      <c r="N676" s="12">
        <f>IF('Data Entry'!A676="","",IF($L676="","New item",IF($L676&gt;0,"UP",IF($L676&lt;0,"down","same"))))</f>
        <v/>
      </c>
    </row>
    <row r="677">
      <c r="A677" s="11">
        <f>IF('Data Entry'!A677="","",'Data Entry'!A677)</f>
        <v/>
      </c>
      <c r="B677" s="12">
        <f>IF('Data Entry'!A677="","",'Data Entry'!B677)</f>
        <v/>
      </c>
      <c r="C677" s="12">
        <f>IF('Data Entry'!A677="","",'Data Entry'!C677)</f>
        <v/>
      </c>
      <c r="D677" s="12">
        <f>IF('Data Entry'!A677="","",'Data Entry'!D677)</f>
        <v/>
      </c>
      <c r="E677" s="12">
        <f>IF('Data Entry'!A677="","",'Data Entry'!E677)</f>
        <v/>
      </c>
      <c r="F677" s="12">
        <f>IF('Data Entry'!A677="","",'Data Entry'!F677)</f>
        <v/>
      </c>
      <c r="G677" s="13">
        <f>IF('Data Entry'!A677="","",'Data Entry'!G677)</f>
        <v/>
      </c>
      <c r="H677" s="10">
        <f>IF('Data Entry'!A677="","",'Data Entry'!H677)</f>
        <v/>
      </c>
      <c r="I677" s="10">
        <f>IF('Data Entry'!A677="","",'Data Entry'!I677)</f>
        <v/>
      </c>
      <c r="J677" s="12">
        <f>IF('Data Entry'!A677="","",IF('Data Entry'!D677&lt;&gt;"",'Data Entry'!D677,'Data Entry'!E677))</f>
        <v/>
      </c>
      <c r="K677" s="10">
        <f>IF('Data Entry'!A677="","",IFERROR(SUMIFS($H$5:$H$2001,$J$5:$J$2001,$J677,$B$5:$B$2001,$B677,$A$5:$A$2001,(MAXIFS($A$5:$A$2001,$J$5:$J$2001,$J677,$B$5:$B$2001,$B677,$A$5:$A$2001,"&lt;"&amp;$A677))),""))</f>
        <v/>
      </c>
      <c r="L677" s="14">
        <f>IF(OR('Data Entry'!A677="",$K677=""),"",$H677-$K677)</f>
        <v/>
      </c>
      <c r="M677" s="15">
        <f>IF(OR('Data Entry'!A677="",$K677="",$K677=0),"",$L677/$K677)</f>
        <v/>
      </c>
      <c r="N677" s="12">
        <f>IF('Data Entry'!A677="","",IF($L677="","New item",IF($L677&gt;0,"UP",IF($L677&lt;0,"down","same"))))</f>
        <v/>
      </c>
    </row>
    <row r="678">
      <c r="A678" s="11">
        <f>IF('Data Entry'!A678="","",'Data Entry'!A678)</f>
        <v/>
      </c>
      <c r="B678" s="12">
        <f>IF('Data Entry'!A678="","",'Data Entry'!B678)</f>
        <v/>
      </c>
      <c r="C678" s="12">
        <f>IF('Data Entry'!A678="","",'Data Entry'!C678)</f>
        <v/>
      </c>
      <c r="D678" s="12">
        <f>IF('Data Entry'!A678="","",'Data Entry'!D678)</f>
        <v/>
      </c>
      <c r="E678" s="12">
        <f>IF('Data Entry'!A678="","",'Data Entry'!E678)</f>
        <v/>
      </c>
      <c r="F678" s="12">
        <f>IF('Data Entry'!A678="","",'Data Entry'!F678)</f>
        <v/>
      </c>
      <c r="G678" s="13">
        <f>IF('Data Entry'!A678="","",'Data Entry'!G678)</f>
        <v/>
      </c>
      <c r="H678" s="10">
        <f>IF('Data Entry'!A678="","",'Data Entry'!H678)</f>
        <v/>
      </c>
      <c r="I678" s="10">
        <f>IF('Data Entry'!A678="","",'Data Entry'!I678)</f>
        <v/>
      </c>
      <c r="J678" s="12">
        <f>IF('Data Entry'!A678="","",IF('Data Entry'!D678&lt;&gt;"",'Data Entry'!D678,'Data Entry'!E678))</f>
        <v/>
      </c>
      <c r="K678" s="10">
        <f>IF('Data Entry'!A678="","",IFERROR(SUMIFS($H$5:$H$2001,$J$5:$J$2001,$J678,$B$5:$B$2001,$B678,$A$5:$A$2001,(MAXIFS($A$5:$A$2001,$J$5:$J$2001,$J678,$B$5:$B$2001,$B678,$A$5:$A$2001,"&lt;"&amp;$A678))),""))</f>
        <v/>
      </c>
      <c r="L678" s="14">
        <f>IF(OR('Data Entry'!A678="",$K678=""),"",$H678-$K678)</f>
        <v/>
      </c>
      <c r="M678" s="15">
        <f>IF(OR('Data Entry'!A678="",$K678="",$K678=0),"",$L678/$K678)</f>
        <v/>
      </c>
      <c r="N678" s="12">
        <f>IF('Data Entry'!A678="","",IF($L678="","New item",IF($L678&gt;0,"UP",IF($L678&lt;0,"down","same"))))</f>
        <v/>
      </c>
    </row>
    <row r="679">
      <c r="A679" s="11">
        <f>IF('Data Entry'!A679="","",'Data Entry'!A679)</f>
        <v/>
      </c>
      <c r="B679" s="12">
        <f>IF('Data Entry'!A679="","",'Data Entry'!B679)</f>
        <v/>
      </c>
      <c r="C679" s="12">
        <f>IF('Data Entry'!A679="","",'Data Entry'!C679)</f>
        <v/>
      </c>
      <c r="D679" s="12">
        <f>IF('Data Entry'!A679="","",'Data Entry'!D679)</f>
        <v/>
      </c>
      <c r="E679" s="12">
        <f>IF('Data Entry'!A679="","",'Data Entry'!E679)</f>
        <v/>
      </c>
      <c r="F679" s="12">
        <f>IF('Data Entry'!A679="","",'Data Entry'!F679)</f>
        <v/>
      </c>
      <c r="G679" s="13">
        <f>IF('Data Entry'!A679="","",'Data Entry'!G679)</f>
        <v/>
      </c>
      <c r="H679" s="10">
        <f>IF('Data Entry'!A679="","",'Data Entry'!H679)</f>
        <v/>
      </c>
      <c r="I679" s="10">
        <f>IF('Data Entry'!A679="","",'Data Entry'!I679)</f>
        <v/>
      </c>
      <c r="J679" s="12">
        <f>IF('Data Entry'!A679="","",IF('Data Entry'!D679&lt;&gt;"",'Data Entry'!D679,'Data Entry'!E679))</f>
        <v/>
      </c>
      <c r="K679" s="10">
        <f>IF('Data Entry'!A679="","",IFERROR(SUMIFS($H$5:$H$2001,$J$5:$J$2001,$J679,$B$5:$B$2001,$B679,$A$5:$A$2001,(MAXIFS($A$5:$A$2001,$J$5:$J$2001,$J679,$B$5:$B$2001,$B679,$A$5:$A$2001,"&lt;"&amp;$A679))),""))</f>
        <v/>
      </c>
      <c r="L679" s="14">
        <f>IF(OR('Data Entry'!A679="",$K679=""),"",$H679-$K679)</f>
        <v/>
      </c>
      <c r="M679" s="15">
        <f>IF(OR('Data Entry'!A679="",$K679="",$K679=0),"",$L679/$K679)</f>
        <v/>
      </c>
      <c r="N679" s="12">
        <f>IF('Data Entry'!A679="","",IF($L679="","New item",IF($L679&gt;0,"UP",IF($L679&lt;0,"down","same"))))</f>
        <v/>
      </c>
    </row>
    <row r="680">
      <c r="A680" s="11">
        <f>IF('Data Entry'!A680="","",'Data Entry'!A680)</f>
        <v/>
      </c>
      <c r="B680" s="12">
        <f>IF('Data Entry'!A680="","",'Data Entry'!B680)</f>
        <v/>
      </c>
      <c r="C680" s="12">
        <f>IF('Data Entry'!A680="","",'Data Entry'!C680)</f>
        <v/>
      </c>
      <c r="D680" s="12">
        <f>IF('Data Entry'!A680="","",'Data Entry'!D680)</f>
        <v/>
      </c>
      <c r="E680" s="12">
        <f>IF('Data Entry'!A680="","",'Data Entry'!E680)</f>
        <v/>
      </c>
      <c r="F680" s="12">
        <f>IF('Data Entry'!A680="","",'Data Entry'!F680)</f>
        <v/>
      </c>
      <c r="G680" s="13">
        <f>IF('Data Entry'!A680="","",'Data Entry'!G680)</f>
        <v/>
      </c>
      <c r="H680" s="10">
        <f>IF('Data Entry'!A680="","",'Data Entry'!H680)</f>
        <v/>
      </c>
      <c r="I680" s="10">
        <f>IF('Data Entry'!A680="","",'Data Entry'!I680)</f>
        <v/>
      </c>
      <c r="J680" s="12">
        <f>IF('Data Entry'!A680="","",IF('Data Entry'!D680&lt;&gt;"",'Data Entry'!D680,'Data Entry'!E680))</f>
        <v/>
      </c>
      <c r="K680" s="10">
        <f>IF('Data Entry'!A680="","",IFERROR(SUMIFS($H$5:$H$2001,$J$5:$J$2001,$J680,$B$5:$B$2001,$B680,$A$5:$A$2001,(MAXIFS($A$5:$A$2001,$J$5:$J$2001,$J680,$B$5:$B$2001,$B680,$A$5:$A$2001,"&lt;"&amp;$A680))),""))</f>
        <v/>
      </c>
      <c r="L680" s="14">
        <f>IF(OR('Data Entry'!A680="",$K680=""),"",$H680-$K680)</f>
        <v/>
      </c>
      <c r="M680" s="15">
        <f>IF(OR('Data Entry'!A680="",$K680="",$K680=0),"",$L680/$K680)</f>
        <v/>
      </c>
      <c r="N680" s="12">
        <f>IF('Data Entry'!A680="","",IF($L680="","New item",IF($L680&gt;0,"UP",IF($L680&lt;0,"down","same"))))</f>
        <v/>
      </c>
    </row>
    <row r="681">
      <c r="A681" s="11">
        <f>IF('Data Entry'!A681="","",'Data Entry'!A681)</f>
        <v/>
      </c>
      <c r="B681" s="12">
        <f>IF('Data Entry'!A681="","",'Data Entry'!B681)</f>
        <v/>
      </c>
      <c r="C681" s="12">
        <f>IF('Data Entry'!A681="","",'Data Entry'!C681)</f>
        <v/>
      </c>
      <c r="D681" s="12">
        <f>IF('Data Entry'!A681="","",'Data Entry'!D681)</f>
        <v/>
      </c>
      <c r="E681" s="12">
        <f>IF('Data Entry'!A681="","",'Data Entry'!E681)</f>
        <v/>
      </c>
      <c r="F681" s="12">
        <f>IF('Data Entry'!A681="","",'Data Entry'!F681)</f>
        <v/>
      </c>
      <c r="G681" s="13">
        <f>IF('Data Entry'!A681="","",'Data Entry'!G681)</f>
        <v/>
      </c>
      <c r="H681" s="10">
        <f>IF('Data Entry'!A681="","",'Data Entry'!H681)</f>
        <v/>
      </c>
      <c r="I681" s="10">
        <f>IF('Data Entry'!A681="","",'Data Entry'!I681)</f>
        <v/>
      </c>
      <c r="J681" s="12">
        <f>IF('Data Entry'!A681="","",IF('Data Entry'!D681&lt;&gt;"",'Data Entry'!D681,'Data Entry'!E681))</f>
        <v/>
      </c>
      <c r="K681" s="10">
        <f>IF('Data Entry'!A681="","",IFERROR(SUMIFS($H$5:$H$2001,$J$5:$J$2001,$J681,$B$5:$B$2001,$B681,$A$5:$A$2001,(MAXIFS($A$5:$A$2001,$J$5:$J$2001,$J681,$B$5:$B$2001,$B681,$A$5:$A$2001,"&lt;"&amp;$A681))),""))</f>
        <v/>
      </c>
      <c r="L681" s="14">
        <f>IF(OR('Data Entry'!A681="",$K681=""),"",$H681-$K681)</f>
        <v/>
      </c>
      <c r="M681" s="15">
        <f>IF(OR('Data Entry'!A681="",$K681="",$K681=0),"",$L681/$K681)</f>
        <v/>
      </c>
      <c r="N681" s="12">
        <f>IF('Data Entry'!A681="","",IF($L681="","New item",IF($L681&gt;0,"UP",IF($L681&lt;0,"down","same"))))</f>
        <v/>
      </c>
    </row>
    <row r="682">
      <c r="A682" s="11">
        <f>IF('Data Entry'!A682="","",'Data Entry'!A682)</f>
        <v/>
      </c>
      <c r="B682" s="12">
        <f>IF('Data Entry'!A682="","",'Data Entry'!B682)</f>
        <v/>
      </c>
      <c r="C682" s="12">
        <f>IF('Data Entry'!A682="","",'Data Entry'!C682)</f>
        <v/>
      </c>
      <c r="D682" s="12">
        <f>IF('Data Entry'!A682="","",'Data Entry'!D682)</f>
        <v/>
      </c>
      <c r="E682" s="12">
        <f>IF('Data Entry'!A682="","",'Data Entry'!E682)</f>
        <v/>
      </c>
      <c r="F682" s="12">
        <f>IF('Data Entry'!A682="","",'Data Entry'!F682)</f>
        <v/>
      </c>
      <c r="G682" s="13">
        <f>IF('Data Entry'!A682="","",'Data Entry'!G682)</f>
        <v/>
      </c>
      <c r="H682" s="10">
        <f>IF('Data Entry'!A682="","",'Data Entry'!H682)</f>
        <v/>
      </c>
      <c r="I682" s="10">
        <f>IF('Data Entry'!A682="","",'Data Entry'!I682)</f>
        <v/>
      </c>
      <c r="J682" s="12">
        <f>IF('Data Entry'!A682="","",IF('Data Entry'!D682&lt;&gt;"",'Data Entry'!D682,'Data Entry'!E682))</f>
        <v/>
      </c>
      <c r="K682" s="10">
        <f>IF('Data Entry'!A682="","",IFERROR(SUMIFS($H$5:$H$2001,$J$5:$J$2001,$J682,$B$5:$B$2001,$B682,$A$5:$A$2001,(MAXIFS($A$5:$A$2001,$J$5:$J$2001,$J682,$B$5:$B$2001,$B682,$A$5:$A$2001,"&lt;"&amp;$A682))),""))</f>
        <v/>
      </c>
      <c r="L682" s="14">
        <f>IF(OR('Data Entry'!A682="",$K682=""),"",$H682-$K682)</f>
        <v/>
      </c>
      <c r="M682" s="15">
        <f>IF(OR('Data Entry'!A682="",$K682="",$K682=0),"",$L682/$K682)</f>
        <v/>
      </c>
      <c r="N682" s="12">
        <f>IF('Data Entry'!A682="","",IF($L682="","New item",IF($L682&gt;0,"UP",IF($L682&lt;0,"down","same"))))</f>
        <v/>
      </c>
    </row>
    <row r="683">
      <c r="A683" s="11">
        <f>IF('Data Entry'!A683="","",'Data Entry'!A683)</f>
        <v/>
      </c>
      <c r="B683" s="12">
        <f>IF('Data Entry'!A683="","",'Data Entry'!B683)</f>
        <v/>
      </c>
      <c r="C683" s="12">
        <f>IF('Data Entry'!A683="","",'Data Entry'!C683)</f>
        <v/>
      </c>
      <c r="D683" s="12">
        <f>IF('Data Entry'!A683="","",'Data Entry'!D683)</f>
        <v/>
      </c>
      <c r="E683" s="12">
        <f>IF('Data Entry'!A683="","",'Data Entry'!E683)</f>
        <v/>
      </c>
      <c r="F683" s="12">
        <f>IF('Data Entry'!A683="","",'Data Entry'!F683)</f>
        <v/>
      </c>
      <c r="G683" s="13">
        <f>IF('Data Entry'!A683="","",'Data Entry'!G683)</f>
        <v/>
      </c>
      <c r="H683" s="10">
        <f>IF('Data Entry'!A683="","",'Data Entry'!H683)</f>
        <v/>
      </c>
      <c r="I683" s="10">
        <f>IF('Data Entry'!A683="","",'Data Entry'!I683)</f>
        <v/>
      </c>
      <c r="J683" s="12">
        <f>IF('Data Entry'!A683="","",IF('Data Entry'!D683&lt;&gt;"",'Data Entry'!D683,'Data Entry'!E683))</f>
        <v/>
      </c>
      <c r="K683" s="10">
        <f>IF('Data Entry'!A683="","",IFERROR(SUMIFS($H$5:$H$2001,$J$5:$J$2001,$J683,$B$5:$B$2001,$B683,$A$5:$A$2001,(MAXIFS($A$5:$A$2001,$J$5:$J$2001,$J683,$B$5:$B$2001,$B683,$A$5:$A$2001,"&lt;"&amp;$A683))),""))</f>
        <v/>
      </c>
      <c r="L683" s="14">
        <f>IF(OR('Data Entry'!A683="",$K683=""),"",$H683-$K683)</f>
        <v/>
      </c>
      <c r="M683" s="15">
        <f>IF(OR('Data Entry'!A683="",$K683="",$K683=0),"",$L683/$K683)</f>
        <v/>
      </c>
      <c r="N683" s="12">
        <f>IF('Data Entry'!A683="","",IF($L683="","New item",IF($L683&gt;0,"UP",IF($L683&lt;0,"down","same"))))</f>
        <v/>
      </c>
    </row>
    <row r="684">
      <c r="A684" s="11">
        <f>IF('Data Entry'!A684="","",'Data Entry'!A684)</f>
        <v/>
      </c>
      <c r="B684" s="12">
        <f>IF('Data Entry'!A684="","",'Data Entry'!B684)</f>
        <v/>
      </c>
      <c r="C684" s="12">
        <f>IF('Data Entry'!A684="","",'Data Entry'!C684)</f>
        <v/>
      </c>
      <c r="D684" s="12">
        <f>IF('Data Entry'!A684="","",'Data Entry'!D684)</f>
        <v/>
      </c>
      <c r="E684" s="12">
        <f>IF('Data Entry'!A684="","",'Data Entry'!E684)</f>
        <v/>
      </c>
      <c r="F684" s="12">
        <f>IF('Data Entry'!A684="","",'Data Entry'!F684)</f>
        <v/>
      </c>
      <c r="G684" s="13">
        <f>IF('Data Entry'!A684="","",'Data Entry'!G684)</f>
        <v/>
      </c>
      <c r="H684" s="10">
        <f>IF('Data Entry'!A684="","",'Data Entry'!H684)</f>
        <v/>
      </c>
      <c r="I684" s="10">
        <f>IF('Data Entry'!A684="","",'Data Entry'!I684)</f>
        <v/>
      </c>
      <c r="J684" s="12">
        <f>IF('Data Entry'!A684="","",IF('Data Entry'!D684&lt;&gt;"",'Data Entry'!D684,'Data Entry'!E684))</f>
        <v/>
      </c>
      <c r="K684" s="10">
        <f>IF('Data Entry'!A684="","",IFERROR(SUMIFS($H$5:$H$2001,$J$5:$J$2001,$J684,$B$5:$B$2001,$B684,$A$5:$A$2001,(MAXIFS($A$5:$A$2001,$J$5:$J$2001,$J684,$B$5:$B$2001,$B684,$A$5:$A$2001,"&lt;"&amp;$A684))),""))</f>
        <v/>
      </c>
      <c r="L684" s="14">
        <f>IF(OR('Data Entry'!A684="",$K684=""),"",$H684-$K684)</f>
        <v/>
      </c>
      <c r="M684" s="15">
        <f>IF(OR('Data Entry'!A684="",$K684="",$K684=0),"",$L684/$K684)</f>
        <v/>
      </c>
      <c r="N684" s="12">
        <f>IF('Data Entry'!A684="","",IF($L684="","New item",IF($L684&gt;0,"UP",IF($L684&lt;0,"down","same"))))</f>
        <v/>
      </c>
    </row>
    <row r="685">
      <c r="A685" s="11">
        <f>IF('Data Entry'!A685="","",'Data Entry'!A685)</f>
        <v/>
      </c>
      <c r="B685" s="12">
        <f>IF('Data Entry'!A685="","",'Data Entry'!B685)</f>
        <v/>
      </c>
      <c r="C685" s="12">
        <f>IF('Data Entry'!A685="","",'Data Entry'!C685)</f>
        <v/>
      </c>
      <c r="D685" s="12">
        <f>IF('Data Entry'!A685="","",'Data Entry'!D685)</f>
        <v/>
      </c>
      <c r="E685" s="12">
        <f>IF('Data Entry'!A685="","",'Data Entry'!E685)</f>
        <v/>
      </c>
      <c r="F685" s="12">
        <f>IF('Data Entry'!A685="","",'Data Entry'!F685)</f>
        <v/>
      </c>
      <c r="G685" s="13">
        <f>IF('Data Entry'!A685="","",'Data Entry'!G685)</f>
        <v/>
      </c>
      <c r="H685" s="10">
        <f>IF('Data Entry'!A685="","",'Data Entry'!H685)</f>
        <v/>
      </c>
      <c r="I685" s="10">
        <f>IF('Data Entry'!A685="","",'Data Entry'!I685)</f>
        <v/>
      </c>
      <c r="J685" s="12">
        <f>IF('Data Entry'!A685="","",IF('Data Entry'!D685&lt;&gt;"",'Data Entry'!D685,'Data Entry'!E685))</f>
        <v/>
      </c>
      <c r="K685" s="10">
        <f>IF('Data Entry'!A685="","",IFERROR(SUMIFS($H$5:$H$2001,$J$5:$J$2001,$J685,$B$5:$B$2001,$B685,$A$5:$A$2001,(MAXIFS($A$5:$A$2001,$J$5:$J$2001,$J685,$B$5:$B$2001,$B685,$A$5:$A$2001,"&lt;"&amp;$A685))),""))</f>
        <v/>
      </c>
      <c r="L685" s="14">
        <f>IF(OR('Data Entry'!A685="",$K685=""),"",$H685-$K685)</f>
        <v/>
      </c>
      <c r="M685" s="15">
        <f>IF(OR('Data Entry'!A685="",$K685="",$K685=0),"",$L685/$K685)</f>
        <v/>
      </c>
      <c r="N685" s="12">
        <f>IF('Data Entry'!A685="","",IF($L685="","New item",IF($L685&gt;0,"UP",IF($L685&lt;0,"down","same"))))</f>
        <v/>
      </c>
    </row>
    <row r="686">
      <c r="A686" s="11">
        <f>IF('Data Entry'!A686="","",'Data Entry'!A686)</f>
        <v/>
      </c>
      <c r="B686" s="12">
        <f>IF('Data Entry'!A686="","",'Data Entry'!B686)</f>
        <v/>
      </c>
      <c r="C686" s="12">
        <f>IF('Data Entry'!A686="","",'Data Entry'!C686)</f>
        <v/>
      </c>
      <c r="D686" s="12">
        <f>IF('Data Entry'!A686="","",'Data Entry'!D686)</f>
        <v/>
      </c>
      <c r="E686" s="12">
        <f>IF('Data Entry'!A686="","",'Data Entry'!E686)</f>
        <v/>
      </c>
      <c r="F686" s="12">
        <f>IF('Data Entry'!A686="","",'Data Entry'!F686)</f>
        <v/>
      </c>
      <c r="G686" s="13">
        <f>IF('Data Entry'!A686="","",'Data Entry'!G686)</f>
        <v/>
      </c>
      <c r="H686" s="10">
        <f>IF('Data Entry'!A686="","",'Data Entry'!H686)</f>
        <v/>
      </c>
      <c r="I686" s="10">
        <f>IF('Data Entry'!A686="","",'Data Entry'!I686)</f>
        <v/>
      </c>
      <c r="J686" s="12">
        <f>IF('Data Entry'!A686="","",IF('Data Entry'!D686&lt;&gt;"",'Data Entry'!D686,'Data Entry'!E686))</f>
        <v/>
      </c>
      <c r="K686" s="10">
        <f>IF('Data Entry'!A686="","",IFERROR(SUMIFS($H$5:$H$2001,$J$5:$J$2001,$J686,$B$5:$B$2001,$B686,$A$5:$A$2001,(MAXIFS($A$5:$A$2001,$J$5:$J$2001,$J686,$B$5:$B$2001,$B686,$A$5:$A$2001,"&lt;"&amp;$A686))),""))</f>
        <v/>
      </c>
      <c r="L686" s="14">
        <f>IF(OR('Data Entry'!A686="",$K686=""),"",$H686-$K686)</f>
        <v/>
      </c>
      <c r="M686" s="15">
        <f>IF(OR('Data Entry'!A686="",$K686="",$K686=0),"",$L686/$K686)</f>
        <v/>
      </c>
      <c r="N686" s="12">
        <f>IF('Data Entry'!A686="","",IF($L686="","New item",IF($L686&gt;0,"UP",IF($L686&lt;0,"down","same"))))</f>
        <v/>
      </c>
    </row>
    <row r="687">
      <c r="A687" s="11">
        <f>IF('Data Entry'!A687="","",'Data Entry'!A687)</f>
        <v/>
      </c>
      <c r="B687" s="12">
        <f>IF('Data Entry'!A687="","",'Data Entry'!B687)</f>
        <v/>
      </c>
      <c r="C687" s="12">
        <f>IF('Data Entry'!A687="","",'Data Entry'!C687)</f>
        <v/>
      </c>
      <c r="D687" s="12">
        <f>IF('Data Entry'!A687="","",'Data Entry'!D687)</f>
        <v/>
      </c>
      <c r="E687" s="12">
        <f>IF('Data Entry'!A687="","",'Data Entry'!E687)</f>
        <v/>
      </c>
      <c r="F687" s="12">
        <f>IF('Data Entry'!A687="","",'Data Entry'!F687)</f>
        <v/>
      </c>
      <c r="G687" s="13">
        <f>IF('Data Entry'!A687="","",'Data Entry'!G687)</f>
        <v/>
      </c>
      <c r="H687" s="10">
        <f>IF('Data Entry'!A687="","",'Data Entry'!H687)</f>
        <v/>
      </c>
      <c r="I687" s="10">
        <f>IF('Data Entry'!A687="","",'Data Entry'!I687)</f>
        <v/>
      </c>
      <c r="J687" s="12">
        <f>IF('Data Entry'!A687="","",IF('Data Entry'!D687&lt;&gt;"",'Data Entry'!D687,'Data Entry'!E687))</f>
        <v/>
      </c>
      <c r="K687" s="10">
        <f>IF('Data Entry'!A687="","",IFERROR(SUMIFS($H$5:$H$2001,$J$5:$J$2001,$J687,$B$5:$B$2001,$B687,$A$5:$A$2001,(MAXIFS($A$5:$A$2001,$J$5:$J$2001,$J687,$B$5:$B$2001,$B687,$A$5:$A$2001,"&lt;"&amp;$A687))),""))</f>
        <v/>
      </c>
      <c r="L687" s="14">
        <f>IF(OR('Data Entry'!A687="",$K687=""),"",$H687-$K687)</f>
        <v/>
      </c>
      <c r="M687" s="15">
        <f>IF(OR('Data Entry'!A687="",$K687="",$K687=0),"",$L687/$K687)</f>
        <v/>
      </c>
      <c r="N687" s="12">
        <f>IF('Data Entry'!A687="","",IF($L687="","New item",IF($L687&gt;0,"UP",IF($L687&lt;0,"down","same"))))</f>
        <v/>
      </c>
    </row>
    <row r="688">
      <c r="A688" s="11">
        <f>IF('Data Entry'!A688="","",'Data Entry'!A688)</f>
        <v/>
      </c>
      <c r="B688" s="12">
        <f>IF('Data Entry'!A688="","",'Data Entry'!B688)</f>
        <v/>
      </c>
      <c r="C688" s="12">
        <f>IF('Data Entry'!A688="","",'Data Entry'!C688)</f>
        <v/>
      </c>
      <c r="D688" s="12">
        <f>IF('Data Entry'!A688="","",'Data Entry'!D688)</f>
        <v/>
      </c>
      <c r="E688" s="12">
        <f>IF('Data Entry'!A688="","",'Data Entry'!E688)</f>
        <v/>
      </c>
      <c r="F688" s="12">
        <f>IF('Data Entry'!A688="","",'Data Entry'!F688)</f>
        <v/>
      </c>
      <c r="G688" s="13">
        <f>IF('Data Entry'!A688="","",'Data Entry'!G688)</f>
        <v/>
      </c>
      <c r="H688" s="10">
        <f>IF('Data Entry'!A688="","",'Data Entry'!H688)</f>
        <v/>
      </c>
      <c r="I688" s="10">
        <f>IF('Data Entry'!A688="","",'Data Entry'!I688)</f>
        <v/>
      </c>
      <c r="J688" s="12">
        <f>IF('Data Entry'!A688="","",IF('Data Entry'!D688&lt;&gt;"",'Data Entry'!D688,'Data Entry'!E688))</f>
        <v/>
      </c>
      <c r="K688" s="10">
        <f>IF('Data Entry'!A688="","",IFERROR(SUMIFS($H$5:$H$2001,$J$5:$J$2001,$J688,$B$5:$B$2001,$B688,$A$5:$A$2001,(MAXIFS($A$5:$A$2001,$J$5:$J$2001,$J688,$B$5:$B$2001,$B688,$A$5:$A$2001,"&lt;"&amp;$A688))),""))</f>
        <v/>
      </c>
      <c r="L688" s="14">
        <f>IF(OR('Data Entry'!A688="",$K688=""),"",$H688-$K688)</f>
        <v/>
      </c>
      <c r="M688" s="15">
        <f>IF(OR('Data Entry'!A688="",$K688="",$K688=0),"",$L688/$K688)</f>
        <v/>
      </c>
      <c r="N688" s="12">
        <f>IF('Data Entry'!A688="","",IF($L688="","New item",IF($L688&gt;0,"UP",IF($L688&lt;0,"down","same"))))</f>
        <v/>
      </c>
    </row>
    <row r="689">
      <c r="A689" s="11">
        <f>IF('Data Entry'!A689="","",'Data Entry'!A689)</f>
        <v/>
      </c>
      <c r="B689" s="12">
        <f>IF('Data Entry'!A689="","",'Data Entry'!B689)</f>
        <v/>
      </c>
      <c r="C689" s="12">
        <f>IF('Data Entry'!A689="","",'Data Entry'!C689)</f>
        <v/>
      </c>
      <c r="D689" s="12">
        <f>IF('Data Entry'!A689="","",'Data Entry'!D689)</f>
        <v/>
      </c>
      <c r="E689" s="12">
        <f>IF('Data Entry'!A689="","",'Data Entry'!E689)</f>
        <v/>
      </c>
      <c r="F689" s="12">
        <f>IF('Data Entry'!A689="","",'Data Entry'!F689)</f>
        <v/>
      </c>
      <c r="G689" s="13">
        <f>IF('Data Entry'!A689="","",'Data Entry'!G689)</f>
        <v/>
      </c>
      <c r="H689" s="10">
        <f>IF('Data Entry'!A689="","",'Data Entry'!H689)</f>
        <v/>
      </c>
      <c r="I689" s="10">
        <f>IF('Data Entry'!A689="","",'Data Entry'!I689)</f>
        <v/>
      </c>
      <c r="J689" s="12">
        <f>IF('Data Entry'!A689="","",IF('Data Entry'!D689&lt;&gt;"",'Data Entry'!D689,'Data Entry'!E689))</f>
        <v/>
      </c>
      <c r="K689" s="10">
        <f>IF('Data Entry'!A689="","",IFERROR(SUMIFS($H$5:$H$2001,$J$5:$J$2001,$J689,$B$5:$B$2001,$B689,$A$5:$A$2001,(MAXIFS($A$5:$A$2001,$J$5:$J$2001,$J689,$B$5:$B$2001,$B689,$A$5:$A$2001,"&lt;"&amp;$A689))),""))</f>
        <v/>
      </c>
      <c r="L689" s="14">
        <f>IF(OR('Data Entry'!A689="",$K689=""),"",$H689-$K689)</f>
        <v/>
      </c>
      <c r="M689" s="15">
        <f>IF(OR('Data Entry'!A689="",$K689="",$K689=0),"",$L689/$K689)</f>
        <v/>
      </c>
      <c r="N689" s="12">
        <f>IF('Data Entry'!A689="","",IF($L689="","New item",IF($L689&gt;0,"UP",IF($L689&lt;0,"down","same"))))</f>
        <v/>
      </c>
    </row>
    <row r="690">
      <c r="A690" s="11">
        <f>IF('Data Entry'!A690="","",'Data Entry'!A690)</f>
        <v/>
      </c>
      <c r="B690" s="12">
        <f>IF('Data Entry'!A690="","",'Data Entry'!B690)</f>
        <v/>
      </c>
      <c r="C690" s="12">
        <f>IF('Data Entry'!A690="","",'Data Entry'!C690)</f>
        <v/>
      </c>
      <c r="D690" s="12">
        <f>IF('Data Entry'!A690="","",'Data Entry'!D690)</f>
        <v/>
      </c>
      <c r="E690" s="12">
        <f>IF('Data Entry'!A690="","",'Data Entry'!E690)</f>
        <v/>
      </c>
      <c r="F690" s="12">
        <f>IF('Data Entry'!A690="","",'Data Entry'!F690)</f>
        <v/>
      </c>
      <c r="G690" s="13">
        <f>IF('Data Entry'!A690="","",'Data Entry'!G690)</f>
        <v/>
      </c>
      <c r="H690" s="10">
        <f>IF('Data Entry'!A690="","",'Data Entry'!H690)</f>
        <v/>
      </c>
      <c r="I690" s="10">
        <f>IF('Data Entry'!A690="","",'Data Entry'!I690)</f>
        <v/>
      </c>
      <c r="J690" s="12">
        <f>IF('Data Entry'!A690="","",IF('Data Entry'!D690&lt;&gt;"",'Data Entry'!D690,'Data Entry'!E690))</f>
        <v/>
      </c>
      <c r="K690" s="10">
        <f>IF('Data Entry'!A690="","",IFERROR(SUMIFS($H$5:$H$2001,$J$5:$J$2001,$J690,$B$5:$B$2001,$B690,$A$5:$A$2001,(MAXIFS($A$5:$A$2001,$J$5:$J$2001,$J690,$B$5:$B$2001,$B690,$A$5:$A$2001,"&lt;"&amp;$A690))),""))</f>
        <v/>
      </c>
      <c r="L690" s="14">
        <f>IF(OR('Data Entry'!A690="",$K690=""),"",$H690-$K690)</f>
        <v/>
      </c>
      <c r="M690" s="15">
        <f>IF(OR('Data Entry'!A690="",$K690="",$K690=0),"",$L690/$K690)</f>
        <v/>
      </c>
      <c r="N690" s="12">
        <f>IF('Data Entry'!A690="","",IF($L690="","New item",IF($L690&gt;0,"UP",IF($L690&lt;0,"down","same"))))</f>
        <v/>
      </c>
    </row>
    <row r="691">
      <c r="A691" s="11">
        <f>IF('Data Entry'!A691="","",'Data Entry'!A691)</f>
        <v/>
      </c>
      <c r="B691" s="12">
        <f>IF('Data Entry'!A691="","",'Data Entry'!B691)</f>
        <v/>
      </c>
      <c r="C691" s="12">
        <f>IF('Data Entry'!A691="","",'Data Entry'!C691)</f>
        <v/>
      </c>
      <c r="D691" s="12">
        <f>IF('Data Entry'!A691="","",'Data Entry'!D691)</f>
        <v/>
      </c>
      <c r="E691" s="12">
        <f>IF('Data Entry'!A691="","",'Data Entry'!E691)</f>
        <v/>
      </c>
      <c r="F691" s="12">
        <f>IF('Data Entry'!A691="","",'Data Entry'!F691)</f>
        <v/>
      </c>
      <c r="G691" s="13">
        <f>IF('Data Entry'!A691="","",'Data Entry'!G691)</f>
        <v/>
      </c>
      <c r="H691" s="10">
        <f>IF('Data Entry'!A691="","",'Data Entry'!H691)</f>
        <v/>
      </c>
      <c r="I691" s="10">
        <f>IF('Data Entry'!A691="","",'Data Entry'!I691)</f>
        <v/>
      </c>
      <c r="J691" s="12">
        <f>IF('Data Entry'!A691="","",IF('Data Entry'!D691&lt;&gt;"",'Data Entry'!D691,'Data Entry'!E691))</f>
        <v/>
      </c>
      <c r="K691" s="10">
        <f>IF('Data Entry'!A691="","",IFERROR(SUMIFS($H$5:$H$2001,$J$5:$J$2001,$J691,$B$5:$B$2001,$B691,$A$5:$A$2001,(MAXIFS($A$5:$A$2001,$J$5:$J$2001,$J691,$B$5:$B$2001,$B691,$A$5:$A$2001,"&lt;"&amp;$A691))),""))</f>
        <v/>
      </c>
      <c r="L691" s="14">
        <f>IF(OR('Data Entry'!A691="",$K691=""),"",$H691-$K691)</f>
        <v/>
      </c>
      <c r="M691" s="15">
        <f>IF(OR('Data Entry'!A691="",$K691="",$K691=0),"",$L691/$K691)</f>
        <v/>
      </c>
      <c r="N691" s="12">
        <f>IF('Data Entry'!A691="","",IF($L691="","New item",IF($L691&gt;0,"UP",IF($L691&lt;0,"down","same"))))</f>
        <v/>
      </c>
    </row>
    <row r="692">
      <c r="A692" s="11">
        <f>IF('Data Entry'!A692="","",'Data Entry'!A692)</f>
        <v/>
      </c>
      <c r="B692" s="12">
        <f>IF('Data Entry'!A692="","",'Data Entry'!B692)</f>
        <v/>
      </c>
      <c r="C692" s="12">
        <f>IF('Data Entry'!A692="","",'Data Entry'!C692)</f>
        <v/>
      </c>
      <c r="D692" s="12">
        <f>IF('Data Entry'!A692="","",'Data Entry'!D692)</f>
        <v/>
      </c>
      <c r="E692" s="12">
        <f>IF('Data Entry'!A692="","",'Data Entry'!E692)</f>
        <v/>
      </c>
      <c r="F692" s="12">
        <f>IF('Data Entry'!A692="","",'Data Entry'!F692)</f>
        <v/>
      </c>
      <c r="G692" s="13">
        <f>IF('Data Entry'!A692="","",'Data Entry'!G692)</f>
        <v/>
      </c>
      <c r="H692" s="10">
        <f>IF('Data Entry'!A692="","",'Data Entry'!H692)</f>
        <v/>
      </c>
      <c r="I692" s="10">
        <f>IF('Data Entry'!A692="","",'Data Entry'!I692)</f>
        <v/>
      </c>
      <c r="J692" s="12">
        <f>IF('Data Entry'!A692="","",IF('Data Entry'!D692&lt;&gt;"",'Data Entry'!D692,'Data Entry'!E692))</f>
        <v/>
      </c>
      <c r="K692" s="10">
        <f>IF('Data Entry'!A692="","",IFERROR(SUMIFS($H$5:$H$2001,$J$5:$J$2001,$J692,$B$5:$B$2001,$B692,$A$5:$A$2001,(MAXIFS($A$5:$A$2001,$J$5:$J$2001,$J692,$B$5:$B$2001,$B692,$A$5:$A$2001,"&lt;"&amp;$A692))),""))</f>
        <v/>
      </c>
      <c r="L692" s="14">
        <f>IF(OR('Data Entry'!A692="",$K692=""),"",$H692-$K692)</f>
        <v/>
      </c>
      <c r="M692" s="15">
        <f>IF(OR('Data Entry'!A692="",$K692="",$K692=0),"",$L692/$K692)</f>
        <v/>
      </c>
      <c r="N692" s="12">
        <f>IF('Data Entry'!A692="","",IF($L692="","New item",IF($L692&gt;0,"UP",IF($L692&lt;0,"down","same"))))</f>
        <v/>
      </c>
    </row>
    <row r="693">
      <c r="A693" s="11">
        <f>IF('Data Entry'!A693="","",'Data Entry'!A693)</f>
        <v/>
      </c>
      <c r="B693" s="12">
        <f>IF('Data Entry'!A693="","",'Data Entry'!B693)</f>
        <v/>
      </c>
      <c r="C693" s="12">
        <f>IF('Data Entry'!A693="","",'Data Entry'!C693)</f>
        <v/>
      </c>
      <c r="D693" s="12">
        <f>IF('Data Entry'!A693="","",'Data Entry'!D693)</f>
        <v/>
      </c>
      <c r="E693" s="12">
        <f>IF('Data Entry'!A693="","",'Data Entry'!E693)</f>
        <v/>
      </c>
      <c r="F693" s="12">
        <f>IF('Data Entry'!A693="","",'Data Entry'!F693)</f>
        <v/>
      </c>
      <c r="G693" s="13">
        <f>IF('Data Entry'!A693="","",'Data Entry'!G693)</f>
        <v/>
      </c>
      <c r="H693" s="10">
        <f>IF('Data Entry'!A693="","",'Data Entry'!H693)</f>
        <v/>
      </c>
      <c r="I693" s="10">
        <f>IF('Data Entry'!A693="","",'Data Entry'!I693)</f>
        <v/>
      </c>
      <c r="J693" s="12">
        <f>IF('Data Entry'!A693="","",IF('Data Entry'!D693&lt;&gt;"",'Data Entry'!D693,'Data Entry'!E693))</f>
        <v/>
      </c>
      <c r="K693" s="10">
        <f>IF('Data Entry'!A693="","",IFERROR(SUMIFS($H$5:$H$2001,$J$5:$J$2001,$J693,$B$5:$B$2001,$B693,$A$5:$A$2001,(MAXIFS($A$5:$A$2001,$J$5:$J$2001,$J693,$B$5:$B$2001,$B693,$A$5:$A$2001,"&lt;"&amp;$A693))),""))</f>
        <v/>
      </c>
      <c r="L693" s="14">
        <f>IF(OR('Data Entry'!A693="",$K693=""),"",$H693-$K693)</f>
        <v/>
      </c>
      <c r="M693" s="15">
        <f>IF(OR('Data Entry'!A693="",$K693="",$K693=0),"",$L693/$K693)</f>
        <v/>
      </c>
      <c r="N693" s="12">
        <f>IF('Data Entry'!A693="","",IF($L693="","New item",IF($L693&gt;0,"UP",IF($L693&lt;0,"down","same"))))</f>
        <v/>
      </c>
    </row>
    <row r="694">
      <c r="A694" s="11">
        <f>IF('Data Entry'!A694="","",'Data Entry'!A694)</f>
        <v/>
      </c>
      <c r="B694" s="12">
        <f>IF('Data Entry'!A694="","",'Data Entry'!B694)</f>
        <v/>
      </c>
      <c r="C694" s="12">
        <f>IF('Data Entry'!A694="","",'Data Entry'!C694)</f>
        <v/>
      </c>
      <c r="D694" s="12">
        <f>IF('Data Entry'!A694="","",'Data Entry'!D694)</f>
        <v/>
      </c>
      <c r="E694" s="12">
        <f>IF('Data Entry'!A694="","",'Data Entry'!E694)</f>
        <v/>
      </c>
      <c r="F694" s="12">
        <f>IF('Data Entry'!A694="","",'Data Entry'!F694)</f>
        <v/>
      </c>
      <c r="G694" s="13">
        <f>IF('Data Entry'!A694="","",'Data Entry'!G694)</f>
        <v/>
      </c>
      <c r="H694" s="10">
        <f>IF('Data Entry'!A694="","",'Data Entry'!H694)</f>
        <v/>
      </c>
      <c r="I694" s="10">
        <f>IF('Data Entry'!A694="","",'Data Entry'!I694)</f>
        <v/>
      </c>
      <c r="J694" s="12">
        <f>IF('Data Entry'!A694="","",IF('Data Entry'!D694&lt;&gt;"",'Data Entry'!D694,'Data Entry'!E694))</f>
        <v/>
      </c>
      <c r="K694" s="10">
        <f>IF('Data Entry'!A694="","",IFERROR(SUMIFS($H$5:$H$2001,$J$5:$J$2001,$J694,$B$5:$B$2001,$B694,$A$5:$A$2001,(MAXIFS($A$5:$A$2001,$J$5:$J$2001,$J694,$B$5:$B$2001,$B694,$A$5:$A$2001,"&lt;"&amp;$A694))),""))</f>
        <v/>
      </c>
      <c r="L694" s="14">
        <f>IF(OR('Data Entry'!A694="",$K694=""),"",$H694-$K694)</f>
        <v/>
      </c>
      <c r="M694" s="15">
        <f>IF(OR('Data Entry'!A694="",$K694="",$K694=0),"",$L694/$K694)</f>
        <v/>
      </c>
      <c r="N694" s="12">
        <f>IF('Data Entry'!A694="","",IF($L694="","New item",IF($L694&gt;0,"UP",IF($L694&lt;0,"down","same"))))</f>
        <v/>
      </c>
    </row>
    <row r="695">
      <c r="A695" s="11">
        <f>IF('Data Entry'!A695="","",'Data Entry'!A695)</f>
        <v/>
      </c>
      <c r="B695" s="12">
        <f>IF('Data Entry'!A695="","",'Data Entry'!B695)</f>
        <v/>
      </c>
      <c r="C695" s="12">
        <f>IF('Data Entry'!A695="","",'Data Entry'!C695)</f>
        <v/>
      </c>
      <c r="D695" s="12">
        <f>IF('Data Entry'!A695="","",'Data Entry'!D695)</f>
        <v/>
      </c>
      <c r="E695" s="12">
        <f>IF('Data Entry'!A695="","",'Data Entry'!E695)</f>
        <v/>
      </c>
      <c r="F695" s="12">
        <f>IF('Data Entry'!A695="","",'Data Entry'!F695)</f>
        <v/>
      </c>
      <c r="G695" s="13">
        <f>IF('Data Entry'!A695="","",'Data Entry'!G695)</f>
        <v/>
      </c>
      <c r="H695" s="10">
        <f>IF('Data Entry'!A695="","",'Data Entry'!H695)</f>
        <v/>
      </c>
      <c r="I695" s="10">
        <f>IF('Data Entry'!A695="","",'Data Entry'!I695)</f>
        <v/>
      </c>
      <c r="J695" s="12">
        <f>IF('Data Entry'!A695="","",IF('Data Entry'!D695&lt;&gt;"",'Data Entry'!D695,'Data Entry'!E695))</f>
        <v/>
      </c>
      <c r="K695" s="10">
        <f>IF('Data Entry'!A695="","",IFERROR(SUMIFS($H$5:$H$2001,$J$5:$J$2001,$J695,$B$5:$B$2001,$B695,$A$5:$A$2001,(MAXIFS($A$5:$A$2001,$J$5:$J$2001,$J695,$B$5:$B$2001,$B695,$A$5:$A$2001,"&lt;"&amp;$A695))),""))</f>
        <v/>
      </c>
      <c r="L695" s="14">
        <f>IF(OR('Data Entry'!A695="",$K695=""),"",$H695-$K695)</f>
        <v/>
      </c>
      <c r="M695" s="15">
        <f>IF(OR('Data Entry'!A695="",$K695="",$K695=0),"",$L695/$K695)</f>
        <v/>
      </c>
      <c r="N695" s="12">
        <f>IF('Data Entry'!A695="","",IF($L695="","New item",IF($L695&gt;0,"UP",IF($L695&lt;0,"down","same"))))</f>
        <v/>
      </c>
    </row>
    <row r="696">
      <c r="A696" s="11">
        <f>IF('Data Entry'!A696="","",'Data Entry'!A696)</f>
        <v/>
      </c>
      <c r="B696" s="12">
        <f>IF('Data Entry'!A696="","",'Data Entry'!B696)</f>
        <v/>
      </c>
      <c r="C696" s="12">
        <f>IF('Data Entry'!A696="","",'Data Entry'!C696)</f>
        <v/>
      </c>
      <c r="D696" s="12">
        <f>IF('Data Entry'!A696="","",'Data Entry'!D696)</f>
        <v/>
      </c>
      <c r="E696" s="12">
        <f>IF('Data Entry'!A696="","",'Data Entry'!E696)</f>
        <v/>
      </c>
      <c r="F696" s="12">
        <f>IF('Data Entry'!A696="","",'Data Entry'!F696)</f>
        <v/>
      </c>
      <c r="G696" s="13">
        <f>IF('Data Entry'!A696="","",'Data Entry'!G696)</f>
        <v/>
      </c>
      <c r="H696" s="10">
        <f>IF('Data Entry'!A696="","",'Data Entry'!H696)</f>
        <v/>
      </c>
      <c r="I696" s="10">
        <f>IF('Data Entry'!A696="","",'Data Entry'!I696)</f>
        <v/>
      </c>
      <c r="J696" s="12">
        <f>IF('Data Entry'!A696="","",IF('Data Entry'!D696&lt;&gt;"",'Data Entry'!D696,'Data Entry'!E696))</f>
        <v/>
      </c>
      <c r="K696" s="10">
        <f>IF('Data Entry'!A696="","",IFERROR(SUMIFS($H$5:$H$2001,$J$5:$J$2001,$J696,$B$5:$B$2001,$B696,$A$5:$A$2001,(MAXIFS($A$5:$A$2001,$J$5:$J$2001,$J696,$B$5:$B$2001,$B696,$A$5:$A$2001,"&lt;"&amp;$A696))),""))</f>
        <v/>
      </c>
      <c r="L696" s="14">
        <f>IF(OR('Data Entry'!A696="",$K696=""),"",$H696-$K696)</f>
        <v/>
      </c>
      <c r="M696" s="15">
        <f>IF(OR('Data Entry'!A696="",$K696="",$K696=0),"",$L696/$K696)</f>
        <v/>
      </c>
      <c r="N696" s="12">
        <f>IF('Data Entry'!A696="","",IF($L696="","New item",IF($L696&gt;0,"UP",IF($L696&lt;0,"down","same"))))</f>
        <v/>
      </c>
    </row>
    <row r="697">
      <c r="A697" s="11">
        <f>IF('Data Entry'!A697="","",'Data Entry'!A697)</f>
        <v/>
      </c>
      <c r="B697" s="12">
        <f>IF('Data Entry'!A697="","",'Data Entry'!B697)</f>
        <v/>
      </c>
      <c r="C697" s="12">
        <f>IF('Data Entry'!A697="","",'Data Entry'!C697)</f>
        <v/>
      </c>
      <c r="D697" s="12">
        <f>IF('Data Entry'!A697="","",'Data Entry'!D697)</f>
        <v/>
      </c>
      <c r="E697" s="12">
        <f>IF('Data Entry'!A697="","",'Data Entry'!E697)</f>
        <v/>
      </c>
      <c r="F697" s="12">
        <f>IF('Data Entry'!A697="","",'Data Entry'!F697)</f>
        <v/>
      </c>
      <c r="G697" s="13">
        <f>IF('Data Entry'!A697="","",'Data Entry'!G697)</f>
        <v/>
      </c>
      <c r="H697" s="10">
        <f>IF('Data Entry'!A697="","",'Data Entry'!H697)</f>
        <v/>
      </c>
      <c r="I697" s="10">
        <f>IF('Data Entry'!A697="","",'Data Entry'!I697)</f>
        <v/>
      </c>
      <c r="J697" s="12">
        <f>IF('Data Entry'!A697="","",IF('Data Entry'!D697&lt;&gt;"",'Data Entry'!D697,'Data Entry'!E697))</f>
        <v/>
      </c>
      <c r="K697" s="10">
        <f>IF('Data Entry'!A697="","",IFERROR(SUMIFS($H$5:$H$2001,$J$5:$J$2001,$J697,$B$5:$B$2001,$B697,$A$5:$A$2001,(MAXIFS($A$5:$A$2001,$J$5:$J$2001,$J697,$B$5:$B$2001,$B697,$A$5:$A$2001,"&lt;"&amp;$A697))),""))</f>
        <v/>
      </c>
      <c r="L697" s="14">
        <f>IF(OR('Data Entry'!A697="",$K697=""),"",$H697-$K697)</f>
        <v/>
      </c>
      <c r="M697" s="15">
        <f>IF(OR('Data Entry'!A697="",$K697="",$K697=0),"",$L697/$K697)</f>
        <v/>
      </c>
      <c r="N697" s="12">
        <f>IF('Data Entry'!A697="","",IF($L697="","New item",IF($L697&gt;0,"UP",IF($L697&lt;0,"down","same"))))</f>
        <v/>
      </c>
    </row>
    <row r="698">
      <c r="A698" s="11">
        <f>IF('Data Entry'!A698="","",'Data Entry'!A698)</f>
        <v/>
      </c>
      <c r="B698" s="12">
        <f>IF('Data Entry'!A698="","",'Data Entry'!B698)</f>
        <v/>
      </c>
      <c r="C698" s="12">
        <f>IF('Data Entry'!A698="","",'Data Entry'!C698)</f>
        <v/>
      </c>
      <c r="D698" s="12">
        <f>IF('Data Entry'!A698="","",'Data Entry'!D698)</f>
        <v/>
      </c>
      <c r="E698" s="12">
        <f>IF('Data Entry'!A698="","",'Data Entry'!E698)</f>
        <v/>
      </c>
      <c r="F698" s="12">
        <f>IF('Data Entry'!A698="","",'Data Entry'!F698)</f>
        <v/>
      </c>
      <c r="G698" s="13">
        <f>IF('Data Entry'!A698="","",'Data Entry'!G698)</f>
        <v/>
      </c>
      <c r="H698" s="10">
        <f>IF('Data Entry'!A698="","",'Data Entry'!H698)</f>
        <v/>
      </c>
      <c r="I698" s="10">
        <f>IF('Data Entry'!A698="","",'Data Entry'!I698)</f>
        <v/>
      </c>
      <c r="J698" s="12">
        <f>IF('Data Entry'!A698="","",IF('Data Entry'!D698&lt;&gt;"",'Data Entry'!D698,'Data Entry'!E698))</f>
        <v/>
      </c>
      <c r="K698" s="10">
        <f>IF('Data Entry'!A698="","",IFERROR(SUMIFS($H$5:$H$2001,$J$5:$J$2001,$J698,$B$5:$B$2001,$B698,$A$5:$A$2001,(MAXIFS($A$5:$A$2001,$J$5:$J$2001,$J698,$B$5:$B$2001,$B698,$A$5:$A$2001,"&lt;"&amp;$A698))),""))</f>
        <v/>
      </c>
      <c r="L698" s="14">
        <f>IF(OR('Data Entry'!A698="",$K698=""),"",$H698-$K698)</f>
        <v/>
      </c>
      <c r="M698" s="15">
        <f>IF(OR('Data Entry'!A698="",$K698="",$K698=0),"",$L698/$K698)</f>
        <v/>
      </c>
      <c r="N698" s="12">
        <f>IF('Data Entry'!A698="","",IF($L698="","New item",IF($L698&gt;0,"UP",IF($L698&lt;0,"down","same"))))</f>
        <v/>
      </c>
    </row>
    <row r="699">
      <c r="A699" s="11">
        <f>IF('Data Entry'!A699="","",'Data Entry'!A699)</f>
        <v/>
      </c>
      <c r="B699" s="12">
        <f>IF('Data Entry'!A699="","",'Data Entry'!B699)</f>
        <v/>
      </c>
      <c r="C699" s="12">
        <f>IF('Data Entry'!A699="","",'Data Entry'!C699)</f>
        <v/>
      </c>
      <c r="D699" s="12">
        <f>IF('Data Entry'!A699="","",'Data Entry'!D699)</f>
        <v/>
      </c>
      <c r="E699" s="12">
        <f>IF('Data Entry'!A699="","",'Data Entry'!E699)</f>
        <v/>
      </c>
      <c r="F699" s="12">
        <f>IF('Data Entry'!A699="","",'Data Entry'!F699)</f>
        <v/>
      </c>
      <c r="G699" s="13">
        <f>IF('Data Entry'!A699="","",'Data Entry'!G699)</f>
        <v/>
      </c>
      <c r="H699" s="10">
        <f>IF('Data Entry'!A699="","",'Data Entry'!H699)</f>
        <v/>
      </c>
      <c r="I699" s="10">
        <f>IF('Data Entry'!A699="","",'Data Entry'!I699)</f>
        <v/>
      </c>
      <c r="J699" s="12">
        <f>IF('Data Entry'!A699="","",IF('Data Entry'!D699&lt;&gt;"",'Data Entry'!D699,'Data Entry'!E699))</f>
        <v/>
      </c>
      <c r="K699" s="10">
        <f>IF('Data Entry'!A699="","",IFERROR(SUMIFS($H$5:$H$2001,$J$5:$J$2001,$J699,$B$5:$B$2001,$B699,$A$5:$A$2001,(MAXIFS($A$5:$A$2001,$J$5:$J$2001,$J699,$B$5:$B$2001,$B699,$A$5:$A$2001,"&lt;"&amp;$A699))),""))</f>
        <v/>
      </c>
      <c r="L699" s="14">
        <f>IF(OR('Data Entry'!A699="",$K699=""),"",$H699-$K699)</f>
        <v/>
      </c>
      <c r="M699" s="15">
        <f>IF(OR('Data Entry'!A699="",$K699="",$K699=0),"",$L699/$K699)</f>
        <v/>
      </c>
      <c r="N699" s="12">
        <f>IF('Data Entry'!A699="","",IF($L699="","New item",IF($L699&gt;0,"UP",IF($L699&lt;0,"down","same"))))</f>
        <v/>
      </c>
    </row>
    <row r="700">
      <c r="A700" s="11">
        <f>IF('Data Entry'!A700="","",'Data Entry'!A700)</f>
        <v/>
      </c>
      <c r="B700" s="12">
        <f>IF('Data Entry'!A700="","",'Data Entry'!B700)</f>
        <v/>
      </c>
      <c r="C700" s="12">
        <f>IF('Data Entry'!A700="","",'Data Entry'!C700)</f>
        <v/>
      </c>
      <c r="D700" s="12">
        <f>IF('Data Entry'!A700="","",'Data Entry'!D700)</f>
        <v/>
      </c>
      <c r="E700" s="12">
        <f>IF('Data Entry'!A700="","",'Data Entry'!E700)</f>
        <v/>
      </c>
      <c r="F700" s="12">
        <f>IF('Data Entry'!A700="","",'Data Entry'!F700)</f>
        <v/>
      </c>
      <c r="G700" s="13">
        <f>IF('Data Entry'!A700="","",'Data Entry'!G700)</f>
        <v/>
      </c>
      <c r="H700" s="10">
        <f>IF('Data Entry'!A700="","",'Data Entry'!H700)</f>
        <v/>
      </c>
      <c r="I700" s="10">
        <f>IF('Data Entry'!A700="","",'Data Entry'!I700)</f>
        <v/>
      </c>
      <c r="J700" s="12">
        <f>IF('Data Entry'!A700="","",IF('Data Entry'!D700&lt;&gt;"",'Data Entry'!D700,'Data Entry'!E700))</f>
        <v/>
      </c>
      <c r="K700" s="10">
        <f>IF('Data Entry'!A700="","",IFERROR(SUMIFS($H$5:$H$2001,$J$5:$J$2001,$J700,$B$5:$B$2001,$B700,$A$5:$A$2001,(MAXIFS($A$5:$A$2001,$J$5:$J$2001,$J700,$B$5:$B$2001,$B700,$A$5:$A$2001,"&lt;"&amp;$A700))),""))</f>
        <v/>
      </c>
      <c r="L700" s="14">
        <f>IF(OR('Data Entry'!A700="",$K700=""),"",$H700-$K700)</f>
        <v/>
      </c>
      <c r="M700" s="15">
        <f>IF(OR('Data Entry'!A700="",$K700="",$K700=0),"",$L700/$K700)</f>
        <v/>
      </c>
      <c r="N700" s="12">
        <f>IF('Data Entry'!A700="","",IF($L700="","New item",IF($L700&gt;0,"UP",IF($L700&lt;0,"down","same"))))</f>
        <v/>
      </c>
    </row>
    <row r="701">
      <c r="A701" s="11">
        <f>IF('Data Entry'!A701="","",'Data Entry'!A701)</f>
        <v/>
      </c>
      <c r="B701" s="12">
        <f>IF('Data Entry'!A701="","",'Data Entry'!B701)</f>
        <v/>
      </c>
      <c r="C701" s="12">
        <f>IF('Data Entry'!A701="","",'Data Entry'!C701)</f>
        <v/>
      </c>
      <c r="D701" s="12">
        <f>IF('Data Entry'!A701="","",'Data Entry'!D701)</f>
        <v/>
      </c>
      <c r="E701" s="12">
        <f>IF('Data Entry'!A701="","",'Data Entry'!E701)</f>
        <v/>
      </c>
      <c r="F701" s="12">
        <f>IF('Data Entry'!A701="","",'Data Entry'!F701)</f>
        <v/>
      </c>
      <c r="G701" s="13">
        <f>IF('Data Entry'!A701="","",'Data Entry'!G701)</f>
        <v/>
      </c>
      <c r="H701" s="10">
        <f>IF('Data Entry'!A701="","",'Data Entry'!H701)</f>
        <v/>
      </c>
      <c r="I701" s="10">
        <f>IF('Data Entry'!A701="","",'Data Entry'!I701)</f>
        <v/>
      </c>
      <c r="J701" s="12">
        <f>IF('Data Entry'!A701="","",IF('Data Entry'!D701&lt;&gt;"",'Data Entry'!D701,'Data Entry'!E701))</f>
        <v/>
      </c>
      <c r="K701" s="10">
        <f>IF('Data Entry'!A701="","",IFERROR(SUMIFS($H$5:$H$2001,$J$5:$J$2001,$J701,$B$5:$B$2001,$B701,$A$5:$A$2001,(MAXIFS($A$5:$A$2001,$J$5:$J$2001,$J701,$B$5:$B$2001,$B701,$A$5:$A$2001,"&lt;"&amp;$A701))),""))</f>
        <v/>
      </c>
      <c r="L701" s="14">
        <f>IF(OR('Data Entry'!A701="",$K701=""),"",$H701-$K701)</f>
        <v/>
      </c>
      <c r="M701" s="15">
        <f>IF(OR('Data Entry'!A701="",$K701="",$K701=0),"",$L701/$K701)</f>
        <v/>
      </c>
      <c r="N701" s="12">
        <f>IF('Data Entry'!A701="","",IF($L701="","New item",IF($L701&gt;0,"UP",IF($L701&lt;0,"down","same"))))</f>
        <v/>
      </c>
    </row>
    <row r="702">
      <c r="A702" s="11">
        <f>IF('Data Entry'!A702="","",'Data Entry'!A702)</f>
        <v/>
      </c>
      <c r="B702" s="12">
        <f>IF('Data Entry'!A702="","",'Data Entry'!B702)</f>
        <v/>
      </c>
      <c r="C702" s="12">
        <f>IF('Data Entry'!A702="","",'Data Entry'!C702)</f>
        <v/>
      </c>
      <c r="D702" s="12">
        <f>IF('Data Entry'!A702="","",'Data Entry'!D702)</f>
        <v/>
      </c>
      <c r="E702" s="12">
        <f>IF('Data Entry'!A702="","",'Data Entry'!E702)</f>
        <v/>
      </c>
      <c r="F702" s="12">
        <f>IF('Data Entry'!A702="","",'Data Entry'!F702)</f>
        <v/>
      </c>
      <c r="G702" s="13">
        <f>IF('Data Entry'!A702="","",'Data Entry'!G702)</f>
        <v/>
      </c>
      <c r="H702" s="10">
        <f>IF('Data Entry'!A702="","",'Data Entry'!H702)</f>
        <v/>
      </c>
      <c r="I702" s="10">
        <f>IF('Data Entry'!A702="","",'Data Entry'!I702)</f>
        <v/>
      </c>
      <c r="J702" s="12">
        <f>IF('Data Entry'!A702="","",IF('Data Entry'!D702&lt;&gt;"",'Data Entry'!D702,'Data Entry'!E702))</f>
        <v/>
      </c>
      <c r="K702" s="10">
        <f>IF('Data Entry'!A702="","",IFERROR(SUMIFS($H$5:$H$2001,$J$5:$J$2001,$J702,$B$5:$B$2001,$B702,$A$5:$A$2001,(MAXIFS($A$5:$A$2001,$J$5:$J$2001,$J702,$B$5:$B$2001,$B702,$A$5:$A$2001,"&lt;"&amp;$A702))),""))</f>
        <v/>
      </c>
      <c r="L702" s="14">
        <f>IF(OR('Data Entry'!A702="",$K702=""),"",$H702-$K702)</f>
        <v/>
      </c>
      <c r="M702" s="15">
        <f>IF(OR('Data Entry'!A702="",$K702="",$K702=0),"",$L702/$K702)</f>
        <v/>
      </c>
      <c r="N702" s="12">
        <f>IF('Data Entry'!A702="","",IF($L702="","New item",IF($L702&gt;0,"UP",IF($L702&lt;0,"down","same"))))</f>
        <v/>
      </c>
    </row>
    <row r="703">
      <c r="A703" s="11">
        <f>IF('Data Entry'!A703="","",'Data Entry'!A703)</f>
        <v/>
      </c>
      <c r="B703" s="12">
        <f>IF('Data Entry'!A703="","",'Data Entry'!B703)</f>
        <v/>
      </c>
      <c r="C703" s="12">
        <f>IF('Data Entry'!A703="","",'Data Entry'!C703)</f>
        <v/>
      </c>
      <c r="D703" s="12">
        <f>IF('Data Entry'!A703="","",'Data Entry'!D703)</f>
        <v/>
      </c>
      <c r="E703" s="12">
        <f>IF('Data Entry'!A703="","",'Data Entry'!E703)</f>
        <v/>
      </c>
      <c r="F703" s="12">
        <f>IF('Data Entry'!A703="","",'Data Entry'!F703)</f>
        <v/>
      </c>
      <c r="G703" s="13">
        <f>IF('Data Entry'!A703="","",'Data Entry'!G703)</f>
        <v/>
      </c>
      <c r="H703" s="10">
        <f>IF('Data Entry'!A703="","",'Data Entry'!H703)</f>
        <v/>
      </c>
      <c r="I703" s="10">
        <f>IF('Data Entry'!A703="","",'Data Entry'!I703)</f>
        <v/>
      </c>
      <c r="J703" s="12">
        <f>IF('Data Entry'!A703="","",IF('Data Entry'!D703&lt;&gt;"",'Data Entry'!D703,'Data Entry'!E703))</f>
        <v/>
      </c>
      <c r="K703" s="10">
        <f>IF('Data Entry'!A703="","",IFERROR(SUMIFS($H$5:$H$2001,$J$5:$J$2001,$J703,$B$5:$B$2001,$B703,$A$5:$A$2001,(MAXIFS($A$5:$A$2001,$J$5:$J$2001,$J703,$B$5:$B$2001,$B703,$A$5:$A$2001,"&lt;"&amp;$A703))),""))</f>
        <v/>
      </c>
      <c r="L703" s="14">
        <f>IF(OR('Data Entry'!A703="",$K703=""),"",$H703-$K703)</f>
        <v/>
      </c>
      <c r="M703" s="15">
        <f>IF(OR('Data Entry'!A703="",$K703="",$K703=0),"",$L703/$K703)</f>
        <v/>
      </c>
      <c r="N703" s="12">
        <f>IF('Data Entry'!A703="","",IF($L703="","New item",IF($L703&gt;0,"UP",IF($L703&lt;0,"down","same"))))</f>
        <v/>
      </c>
    </row>
    <row r="704">
      <c r="A704" s="11">
        <f>IF('Data Entry'!A704="","",'Data Entry'!A704)</f>
        <v/>
      </c>
      <c r="B704" s="12">
        <f>IF('Data Entry'!A704="","",'Data Entry'!B704)</f>
        <v/>
      </c>
      <c r="C704" s="12">
        <f>IF('Data Entry'!A704="","",'Data Entry'!C704)</f>
        <v/>
      </c>
      <c r="D704" s="12">
        <f>IF('Data Entry'!A704="","",'Data Entry'!D704)</f>
        <v/>
      </c>
      <c r="E704" s="12">
        <f>IF('Data Entry'!A704="","",'Data Entry'!E704)</f>
        <v/>
      </c>
      <c r="F704" s="12">
        <f>IF('Data Entry'!A704="","",'Data Entry'!F704)</f>
        <v/>
      </c>
      <c r="G704" s="13">
        <f>IF('Data Entry'!A704="","",'Data Entry'!G704)</f>
        <v/>
      </c>
      <c r="H704" s="10">
        <f>IF('Data Entry'!A704="","",'Data Entry'!H704)</f>
        <v/>
      </c>
      <c r="I704" s="10">
        <f>IF('Data Entry'!A704="","",'Data Entry'!I704)</f>
        <v/>
      </c>
      <c r="J704" s="12">
        <f>IF('Data Entry'!A704="","",IF('Data Entry'!D704&lt;&gt;"",'Data Entry'!D704,'Data Entry'!E704))</f>
        <v/>
      </c>
      <c r="K704" s="10">
        <f>IF('Data Entry'!A704="","",IFERROR(SUMIFS($H$5:$H$2001,$J$5:$J$2001,$J704,$B$5:$B$2001,$B704,$A$5:$A$2001,(MAXIFS($A$5:$A$2001,$J$5:$J$2001,$J704,$B$5:$B$2001,$B704,$A$5:$A$2001,"&lt;"&amp;$A704))),""))</f>
        <v/>
      </c>
      <c r="L704" s="14">
        <f>IF(OR('Data Entry'!A704="",$K704=""),"",$H704-$K704)</f>
        <v/>
      </c>
      <c r="M704" s="15">
        <f>IF(OR('Data Entry'!A704="",$K704="",$K704=0),"",$L704/$K704)</f>
        <v/>
      </c>
      <c r="N704" s="12">
        <f>IF('Data Entry'!A704="","",IF($L704="","New item",IF($L704&gt;0,"UP",IF($L704&lt;0,"down","same"))))</f>
        <v/>
      </c>
    </row>
    <row r="705">
      <c r="A705" s="11">
        <f>IF('Data Entry'!A705="","",'Data Entry'!A705)</f>
        <v/>
      </c>
      <c r="B705" s="12">
        <f>IF('Data Entry'!A705="","",'Data Entry'!B705)</f>
        <v/>
      </c>
      <c r="C705" s="12">
        <f>IF('Data Entry'!A705="","",'Data Entry'!C705)</f>
        <v/>
      </c>
      <c r="D705" s="12">
        <f>IF('Data Entry'!A705="","",'Data Entry'!D705)</f>
        <v/>
      </c>
      <c r="E705" s="12">
        <f>IF('Data Entry'!A705="","",'Data Entry'!E705)</f>
        <v/>
      </c>
      <c r="F705" s="12">
        <f>IF('Data Entry'!A705="","",'Data Entry'!F705)</f>
        <v/>
      </c>
      <c r="G705" s="13">
        <f>IF('Data Entry'!A705="","",'Data Entry'!G705)</f>
        <v/>
      </c>
      <c r="H705" s="10">
        <f>IF('Data Entry'!A705="","",'Data Entry'!H705)</f>
        <v/>
      </c>
      <c r="I705" s="10">
        <f>IF('Data Entry'!A705="","",'Data Entry'!I705)</f>
        <v/>
      </c>
      <c r="J705" s="12">
        <f>IF('Data Entry'!A705="","",IF('Data Entry'!D705&lt;&gt;"",'Data Entry'!D705,'Data Entry'!E705))</f>
        <v/>
      </c>
      <c r="K705" s="10">
        <f>IF('Data Entry'!A705="","",IFERROR(SUMIFS($H$5:$H$2001,$J$5:$J$2001,$J705,$B$5:$B$2001,$B705,$A$5:$A$2001,(MAXIFS($A$5:$A$2001,$J$5:$J$2001,$J705,$B$5:$B$2001,$B705,$A$5:$A$2001,"&lt;"&amp;$A705))),""))</f>
        <v/>
      </c>
      <c r="L705" s="14">
        <f>IF(OR('Data Entry'!A705="",$K705=""),"",$H705-$K705)</f>
        <v/>
      </c>
      <c r="M705" s="15">
        <f>IF(OR('Data Entry'!A705="",$K705="",$K705=0),"",$L705/$K705)</f>
        <v/>
      </c>
      <c r="N705" s="12">
        <f>IF('Data Entry'!A705="","",IF($L705="","New item",IF($L705&gt;0,"UP",IF($L705&lt;0,"down","same"))))</f>
        <v/>
      </c>
    </row>
    <row r="706">
      <c r="A706" s="11">
        <f>IF('Data Entry'!A706="","",'Data Entry'!A706)</f>
        <v/>
      </c>
      <c r="B706" s="12">
        <f>IF('Data Entry'!A706="","",'Data Entry'!B706)</f>
        <v/>
      </c>
      <c r="C706" s="12">
        <f>IF('Data Entry'!A706="","",'Data Entry'!C706)</f>
        <v/>
      </c>
      <c r="D706" s="12">
        <f>IF('Data Entry'!A706="","",'Data Entry'!D706)</f>
        <v/>
      </c>
      <c r="E706" s="12">
        <f>IF('Data Entry'!A706="","",'Data Entry'!E706)</f>
        <v/>
      </c>
      <c r="F706" s="12">
        <f>IF('Data Entry'!A706="","",'Data Entry'!F706)</f>
        <v/>
      </c>
      <c r="G706" s="13">
        <f>IF('Data Entry'!A706="","",'Data Entry'!G706)</f>
        <v/>
      </c>
      <c r="H706" s="10">
        <f>IF('Data Entry'!A706="","",'Data Entry'!H706)</f>
        <v/>
      </c>
      <c r="I706" s="10">
        <f>IF('Data Entry'!A706="","",'Data Entry'!I706)</f>
        <v/>
      </c>
      <c r="J706" s="12">
        <f>IF('Data Entry'!A706="","",IF('Data Entry'!D706&lt;&gt;"",'Data Entry'!D706,'Data Entry'!E706))</f>
        <v/>
      </c>
      <c r="K706" s="10">
        <f>IF('Data Entry'!A706="","",IFERROR(SUMIFS($H$5:$H$2001,$J$5:$J$2001,$J706,$B$5:$B$2001,$B706,$A$5:$A$2001,(MAXIFS($A$5:$A$2001,$J$5:$J$2001,$J706,$B$5:$B$2001,$B706,$A$5:$A$2001,"&lt;"&amp;$A706))),""))</f>
        <v/>
      </c>
      <c r="L706" s="14">
        <f>IF(OR('Data Entry'!A706="",$K706=""),"",$H706-$K706)</f>
        <v/>
      </c>
      <c r="M706" s="15">
        <f>IF(OR('Data Entry'!A706="",$K706="",$K706=0),"",$L706/$K706)</f>
        <v/>
      </c>
      <c r="N706" s="12">
        <f>IF('Data Entry'!A706="","",IF($L706="","New item",IF($L706&gt;0,"UP",IF($L706&lt;0,"down","same"))))</f>
        <v/>
      </c>
    </row>
    <row r="707">
      <c r="A707" s="11">
        <f>IF('Data Entry'!A707="","",'Data Entry'!A707)</f>
        <v/>
      </c>
      <c r="B707" s="12">
        <f>IF('Data Entry'!A707="","",'Data Entry'!B707)</f>
        <v/>
      </c>
      <c r="C707" s="12">
        <f>IF('Data Entry'!A707="","",'Data Entry'!C707)</f>
        <v/>
      </c>
      <c r="D707" s="12">
        <f>IF('Data Entry'!A707="","",'Data Entry'!D707)</f>
        <v/>
      </c>
      <c r="E707" s="12">
        <f>IF('Data Entry'!A707="","",'Data Entry'!E707)</f>
        <v/>
      </c>
      <c r="F707" s="12">
        <f>IF('Data Entry'!A707="","",'Data Entry'!F707)</f>
        <v/>
      </c>
      <c r="G707" s="13">
        <f>IF('Data Entry'!A707="","",'Data Entry'!G707)</f>
        <v/>
      </c>
      <c r="H707" s="10">
        <f>IF('Data Entry'!A707="","",'Data Entry'!H707)</f>
        <v/>
      </c>
      <c r="I707" s="10">
        <f>IF('Data Entry'!A707="","",'Data Entry'!I707)</f>
        <v/>
      </c>
      <c r="J707" s="12">
        <f>IF('Data Entry'!A707="","",IF('Data Entry'!D707&lt;&gt;"",'Data Entry'!D707,'Data Entry'!E707))</f>
        <v/>
      </c>
      <c r="K707" s="10">
        <f>IF('Data Entry'!A707="","",IFERROR(SUMIFS($H$5:$H$2001,$J$5:$J$2001,$J707,$B$5:$B$2001,$B707,$A$5:$A$2001,(MAXIFS($A$5:$A$2001,$J$5:$J$2001,$J707,$B$5:$B$2001,$B707,$A$5:$A$2001,"&lt;"&amp;$A707))),""))</f>
        <v/>
      </c>
      <c r="L707" s="14">
        <f>IF(OR('Data Entry'!A707="",$K707=""),"",$H707-$K707)</f>
        <v/>
      </c>
      <c r="M707" s="15">
        <f>IF(OR('Data Entry'!A707="",$K707="",$K707=0),"",$L707/$K707)</f>
        <v/>
      </c>
      <c r="N707" s="12">
        <f>IF('Data Entry'!A707="","",IF($L707="","New item",IF($L707&gt;0,"UP",IF($L707&lt;0,"down","same"))))</f>
        <v/>
      </c>
    </row>
    <row r="708">
      <c r="A708" s="11">
        <f>IF('Data Entry'!A708="","",'Data Entry'!A708)</f>
        <v/>
      </c>
      <c r="B708" s="12">
        <f>IF('Data Entry'!A708="","",'Data Entry'!B708)</f>
        <v/>
      </c>
      <c r="C708" s="12">
        <f>IF('Data Entry'!A708="","",'Data Entry'!C708)</f>
        <v/>
      </c>
      <c r="D708" s="12">
        <f>IF('Data Entry'!A708="","",'Data Entry'!D708)</f>
        <v/>
      </c>
      <c r="E708" s="12">
        <f>IF('Data Entry'!A708="","",'Data Entry'!E708)</f>
        <v/>
      </c>
      <c r="F708" s="12">
        <f>IF('Data Entry'!A708="","",'Data Entry'!F708)</f>
        <v/>
      </c>
      <c r="G708" s="13">
        <f>IF('Data Entry'!A708="","",'Data Entry'!G708)</f>
        <v/>
      </c>
      <c r="H708" s="10">
        <f>IF('Data Entry'!A708="","",'Data Entry'!H708)</f>
        <v/>
      </c>
      <c r="I708" s="10">
        <f>IF('Data Entry'!A708="","",'Data Entry'!I708)</f>
        <v/>
      </c>
      <c r="J708" s="12">
        <f>IF('Data Entry'!A708="","",IF('Data Entry'!D708&lt;&gt;"",'Data Entry'!D708,'Data Entry'!E708))</f>
        <v/>
      </c>
      <c r="K708" s="10">
        <f>IF('Data Entry'!A708="","",IFERROR(SUMIFS($H$5:$H$2001,$J$5:$J$2001,$J708,$B$5:$B$2001,$B708,$A$5:$A$2001,(MAXIFS($A$5:$A$2001,$J$5:$J$2001,$J708,$B$5:$B$2001,$B708,$A$5:$A$2001,"&lt;"&amp;$A708))),""))</f>
        <v/>
      </c>
      <c r="L708" s="14">
        <f>IF(OR('Data Entry'!A708="",$K708=""),"",$H708-$K708)</f>
        <v/>
      </c>
      <c r="M708" s="15">
        <f>IF(OR('Data Entry'!A708="",$K708="",$K708=0),"",$L708/$K708)</f>
        <v/>
      </c>
      <c r="N708" s="12">
        <f>IF('Data Entry'!A708="","",IF($L708="","New item",IF($L708&gt;0,"UP",IF($L708&lt;0,"down","same"))))</f>
        <v/>
      </c>
    </row>
    <row r="709">
      <c r="A709" s="11">
        <f>IF('Data Entry'!A709="","",'Data Entry'!A709)</f>
        <v/>
      </c>
      <c r="B709" s="12">
        <f>IF('Data Entry'!A709="","",'Data Entry'!B709)</f>
        <v/>
      </c>
      <c r="C709" s="12">
        <f>IF('Data Entry'!A709="","",'Data Entry'!C709)</f>
        <v/>
      </c>
      <c r="D709" s="12">
        <f>IF('Data Entry'!A709="","",'Data Entry'!D709)</f>
        <v/>
      </c>
      <c r="E709" s="12">
        <f>IF('Data Entry'!A709="","",'Data Entry'!E709)</f>
        <v/>
      </c>
      <c r="F709" s="12">
        <f>IF('Data Entry'!A709="","",'Data Entry'!F709)</f>
        <v/>
      </c>
      <c r="G709" s="13">
        <f>IF('Data Entry'!A709="","",'Data Entry'!G709)</f>
        <v/>
      </c>
      <c r="H709" s="10">
        <f>IF('Data Entry'!A709="","",'Data Entry'!H709)</f>
        <v/>
      </c>
      <c r="I709" s="10">
        <f>IF('Data Entry'!A709="","",'Data Entry'!I709)</f>
        <v/>
      </c>
      <c r="J709" s="12">
        <f>IF('Data Entry'!A709="","",IF('Data Entry'!D709&lt;&gt;"",'Data Entry'!D709,'Data Entry'!E709))</f>
        <v/>
      </c>
      <c r="K709" s="10">
        <f>IF('Data Entry'!A709="","",IFERROR(SUMIFS($H$5:$H$2001,$J$5:$J$2001,$J709,$B$5:$B$2001,$B709,$A$5:$A$2001,(MAXIFS($A$5:$A$2001,$J$5:$J$2001,$J709,$B$5:$B$2001,$B709,$A$5:$A$2001,"&lt;"&amp;$A709))),""))</f>
        <v/>
      </c>
      <c r="L709" s="14">
        <f>IF(OR('Data Entry'!A709="",$K709=""),"",$H709-$K709)</f>
        <v/>
      </c>
      <c r="M709" s="15">
        <f>IF(OR('Data Entry'!A709="",$K709="",$K709=0),"",$L709/$K709)</f>
        <v/>
      </c>
      <c r="N709" s="12">
        <f>IF('Data Entry'!A709="","",IF($L709="","New item",IF($L709&gt;0,"UP",IF($L709&lt;0,"down","same"))))</f>
        <v/>
      </c>
    </row>
    <row r="710">
      <c r="A710" s="11">
        <f>IF('Data Entry'!A710="","",'Data Entry'!A710)</f>
        <v/>
      </c>
      <c r="B710" s="12">
        <f>IF('Data Entry'!A710="","",'Data Entry'!B710)</f>
        <v/>
      </c>
      <c r="C710" s="12">
        <f>IF('Data Entry'!A710="","",'Data Entry'!C710)</f>
        <v/>
      </c>
      <c r="D710" s="12">
        <f>IF('Data Entry'!A710="","",'Data Entry'!D710)</f>
        <v/>
      </c>
      <c r="E710" s="12">
        <f>IF('Data Entry'!A710="","",'Data Entry'!E710)</f>
        <v/>
      </c>
      <c r="F710" s="12">
        <f>IF('Data Entry'!A710="","",'Data Entry'!F710)</f>
        <v/>
      </c>
      <c r="G710" s="13">
        <f>IF('Data Entry'!A710="","",'Data Entry'!G710)</f>
        <v/>
      </c>
      <c r="H710" s="10">
        <f>IF('Data Entry'!A710="","",'Data Entry'!H710)</f>
        <v/>
      </c>
      <c r="I710" s="10">
        <f>IF('Data Entry'!A710="","",'Data Entry'!I710)</f>
        <v/>
      </c>
      <c r="J710" s="12">
        <f>IF('Data Entry'!A710="","",IF('Data Entry'!D710&lt;&gt;"",'Data Entry'!D710,'Data Entry'!E710))</f>
        <v/>
      </c>
      <c r="K710" s="10">
        <f>IF('Data Entry'!A710="","",IFERROR(SUMIFS($H$5:$H$2001,$J$5:$J$2001,$J710,$B$5:$B$2001,$B710,$A$5:$A$2001,(MAXIFS($A$5:$A$2001,$J$5:$J$2001,$J710,$B$5:$B$2001,$B710,$A$5:$A$2001,"&lt;"&amp;$A710))),""))</f>
        <v/>
      </c>
      <c r="L710" s="14">
        <f>IF(OR('Data Entry'!A710="",$K710=""),"",$H710-$K710)</f>
        <v/>
      </c>
      <c r="M710" s="15">
        <f>IF(OR('Data Entry'!A710="",$K710="",$K710=0),"",$L710/$K710)</f>
        <v/>
      </c>
      <c r="N710" s="12">
        <f>IF('Data Entry'!A710="","",IF($L710="","New item",IF($L710&gt;0,"UP",IF($L710&lt;0,"down","same"))))</f>
        <v/>
      </c>
    </row>
    <row r="711">
      <c r="A711" s="11">
        <f>IF('Data Entry'!A711="","",'Data Entry'!A711)</f>
        <v/>
      </c>
      <c r="B711" s="12">
        <f>IF('Data Entry'!A711="","",'Data Entry'!B711)</f>
        <v/>
      </c>
      <c r="C711" s="12">
        <f>IF('Data Entry'!A711="","",'Data Entry'!C711)</f>
        <v/>
      </c>
      <c r="D711" s="12">
        <f>IF('Data Entry'!A711="","",'Data Entry'!D711)</f>
        <v/>
      </c>
      <c r="E711" s="12">
        <f>IF('Data Entry'!A711="","",'Data Entry'!E711)</f>
        <v/>
      </c>
      <c r="F711" s="12">
        <f>IF('Data Entry'!A711="","",'Data Entry'!F711)</f>
        <v/>
      </c>
      <c r="G711" s="13">
        <f>IF('Data Entry'!A711="","",'Data Entry'!G711)</f>
        <v/>
      </c>
      <c r="H711" s="10">
        <f>IF('Data Entry'!A711="","",'Data Entry'!H711)</f>
        <v/>
      </c>
      <c r="I711" s="10">
        <f>IF('Data Entry'!A711="","",'Data Entry'!I711)</f>
        <v/>
      </c>
      <c r="J711" s="12">
        <f>IF('Data Entry'!A711="","",IF('Data Entry'!D711&lt;&gt;"",'Data Entry'!D711,'Data Entry'!E711))</f>
        <v/>
      </c>
      <c r="K711" s="10">
        <f>IF('Data Entry'!A711="","",IFERROR(SUMIFS($H$5:$H$2001,$J$5:$J$2001,$J711,$B$5:$B$2001,$B711,$A$5:$A$2001,(MAXIFS($A$5:$A$2001,$J$5:$J$2001,$J711,$B$5:$B$2001,$B711,$A$5:$A$2001,"&lt;"&amp;$A711))),""))</f>
        <v/>
      </c>
      <c r="L711" s="14">
        <f>IF(OR('Data Entry'!A711="",$K711=""),"",$H711-$K711)</f>
        <v/>
      </c>
      <c r="M711" s="15">
        <f>IF(OR('Data Entry'!A711="",$K711="",$K711=0),"",$L711/$K711)</f>
        <v/>
      </c>
      <c r="N711" s="12">
        <f>IF('Data Entry'!A711="","",IF($L711="","New item",IF($L711&gt;0,"UP",IF($L711&lt;0,"down","same"))))</f>
        <v/>
      </c>
    </row>
    <row r="712">
      <c r="A712" s="11">
        <f>IF('Data Entry'!A712="","",'Data Entry'!A712)</f>
        <v/>
      </c>
      <c r="B712" s="12">
        <f>IF('Data Entry'!A712="","",'Data Entry'!B712)</f>
        <v/>
      </c>
      <c r="C712" s="12">
        <f>IF('Data Entry'!A712="","",'Data Entry'!C712)</f>
        <v/>
      </c>
      <c r="D712" s="12">
        <f>IF('Data Entry'!A712="","",'Data Entry'!D712)</f>
        <v/>
      </c>
      <c r="E712" s="12">
        <f>IF('Data Entry'!A712="","",'Data Entry'!E712)</f>
        <v/>
      </c>
      <c r="F712" s="12">
        <f>IF('Data Entry'!A712="","",'Data Entry'!F712)</f>
        <v/>
      </c>
      <c r="G712" s="13">
        <f>IF('Data Entry'!A712="","",'Data Entry'!G712)</f>
        <v/>
      </c>
      <c r="H712" s="10">
        <f>IF('Data Entry'!A712="","",'Data Entry'!H712)</f>
        <v/>
      </c>
      <c r="I712" s="10">
        <f>IF('Data Entry'!A712="","",'Data Entry'!I712)</f>
        <v/>
      </c>
      <c r="J712" s="12">
        <f>IF('Data Entry'!A712="","",IF('Data Entry'!D712&lt;&gt;"",'Data Entry'!D712,'Data Entry'!E712))</f>
        <v/>
      </c>
      <c r="K712" s="10">
        <f>IF('Data Entry'!A712="","",IFERROR(SUMIFS($H$5:$H$2001,$J$5:$J$2001,$J712,$B$5:$B$2001,$B712,$A$5:$A$2001,(MAXIFS($A$5:$A$2001,$J$5:$J$2001,$J712,$B$5:$B$2001,$B712,$A$5:$A$2001,"&lt;"&amp;$A712))),""))</f>
        <v/>
      </c>
      <c r="L712" s="14">
        <f>IF(OR('Data Entry'!A712="",$K712=""),"",$H712-$K712)</f>
        <v/>
      </c>
      <c r="M712" s="15">
        <f>IF(OR('Data Entry'!A712="",$K712="",$K712=0),"",$L712/$K712)</f>
        <v/>
      </c>
      <c r="N712" s="12">
        <f>IF('Data Entry'!A712="","",IF($L712="","New item",IF($L712&gt;0,"UP",IF($L712&lt;0,"down","same"))))</f>
        <v/>
      </c>
    </row>
    <row r="713">
      <c r="A713" s="11">
        <f>IF('Data Entry'!A713="","",'Data Entry'!A713)</f>
        <v/>
      </c>
      <c r="B713" s="12">
        <f>IF('Data Entry'!A713="","",'Data Entry'!B713)</f>
        <v/>
      </c>
      <c r="C713" s="12">
        <f>IF('Data Entry'!A713="","",'Data Entry'!C713)</f>
        <v/>
      </c>
      <c r="D713" s="12">
        <f>IF('Data Entry'!A713="","",'Data Entry'!D713)</f>
        <v/>
      </c>
      <c r="E713" s="12">
        <f>IF('Data Entry'!A713="","",'Data Entry'!E713)</f>
        <v/>
      </c>
      <c r="F713" s="12">
        <f>IF('Data Entry'!A713="","",'Data Entry'!F713)</f>
        <v/>
      </c>
      <c r="G713" s="13">
        <f>IF('Data Entry'!A713="","",'Data Entry'!G713)</f>
        <v/>
      </c>
      <c r="H713" s="10">
        <f>IF('Data Entry'!A713="","",'Data Entry'!H713)</f>
        <v/>
      </c>
      <c r="I713" s="10">
        <f>IF('Data Entry'!A713="","",'Data Entry'!I713)</f>
        <v/>
      </c>
      <c r="J713" s="12">
        <f>IF('Data Entry'!A713="","",IF('Data Entry'!D713&lt;&gt;"",'Data Entry'!D713,'Data Entry'!E713))</f>
        <v/>
      </c>
      <c r="K713" s="10">
        <f>IF('Data Entry'!A713="","",IFERROR(SUMIFS($H$5:$H$2001,$J$5:$J$2001,$J713,$B$5:$B$2001,$B713,$A$5:$A$2001,(MAXIFS($A$5:$A$2001,$J$5:$J$2001,$J713,$B$5:$B$2001,$B713,$A$5:$A$2001,"&lt;"&amp;$A713))),""))</f>
        <v/>
      </c>
      <c r="L713" s="14">
        <f>IF(OR('Data Entry'!A713="",$K713=""),"",$H713-$K713)</f>
        <v/>
      </c>
      <c r="M713" s="15">
        <f>IF(OR('Data Entry'!A713="",$K713="",$K713=0),"",$L713/$K713)</f>
        <v/>
      </c>
      <c r="N713" s="12">
        <f>IF('Data Entry'!A713="","",IF($L713="","New item",IF($L713&gt;0,"UP",IF($L713&lt;0,"down","same"))))</f>
        <v/>
      </c>
    </row>
    <row r="714">
      <c r="A714" s="11">
        <f>IF('Data Entry'!A714="","",'Data Entry'!A714)</f>
        <v/>
      </c>
      <c r="B714" s="12">
        <f>IF('Data Entry'!A714="","",'Data Entry'!B714)</f>
        <v/>
      </c>
      <c r="C714" s="12">
        <f>IF('Data Entry'!A714="","",'Data Entry'!C714)</f>
        <v/>
      </c>
      <c r="D714" s="12">
        <f>IF('Data Entry'!A714="","",'Data Entry'!D714)</f>
        <v/>
      </c>
      <c r="E714" s="12">
        <f>IF('Data Entry'!A714="","",'Data Entry'!E714)</f>
        <v/>
      </c>
      <c r="F714" s="12">
        <f>IF('Data Entry'!A714="","",'Data Entry'!F714)</f>
        <v/>
      </c>
      <c r="G714" s="13">
        <f>IF('Data Entry'!A714="","",'Data Entry'!G714)</f>
        <v/>
      </c>
      <c r="H714" s="10">
        <f>IF('Data Entry'!A714="","",'Data Entry'!H714)</f>
        <v/>
      </c>
      <c r="I714" s="10">
        <f>IF('Data Entry'!A714="","",'Data Entry'!I714)</f>
        <v/>
      </c>
      <c r="J714" s="12">
        <f>IF('Data Entry'!A714="","",IF('Data Entry'!D714&lt;&gt;"",'Data Entry'!D714,'Data Entry'!E714))</f>
        <v/>
      </c>
      <c r="K714" s="10">
        <f>IF('Data Entry'!A714="","",IFERROR(SUMIFS($H$5:$H$2001,$J$5:$J$2001,$J714,$B$5:$B$2001,$B714,$A$5:$A$2001,(MAXIFS($A$5:$A$2001,$J$5:$J$2001,$J714,$B$5:$B$2001,$B714,$A$5:$A$2001,"&lt;"&amp;$A714))),""))</f>
        <v/>
      </c>
      <c r="L714" s="14">
        <f>IF(OR('Data Entry'!A714="",$K714=""),"",$H714-$K714)</f>
        <v/>
      </c>
      <c r="M714" s="15">
        <f>IF(OR('Data Entry'!A714="",$K714="",$K714=0),"",$L714/$K714)</f>
        <v/>
      </c>
      <c r="N714" s="12">
        <f>IF('Data Entry'!A714="","",IF($L714="","New item",IF($L714&gt;0,"UP",IF($L714&lt;0,"down","same"))))</f>
        <v/>
      </c>
    </row>
    <row r="715">
      <c r="A715" s="11">
        <f>IF('Data Entry'!A715="","",'Data Entry'!A715)</f>
        <v/>
      </c>
      <c r="B715" s="12">
        <f>IF('Data Entry'!A715="","",'Data Entry'!B715)</f>
        <v/>
      </c>
      <c r="C715" s="12">
        <f>IF('Data Entry'!A715="","",'Data Entry'!C715)</f>
        <v/>
      </c>
      <c r="D715" s="12">
        <f>IF('Data Entry'!A715="","",'Data Entry'!D715)</f>
        <v/>
      </c>
      <c r="E715" s="12">
        <f>IF('Data Entry'!A715="","",'Data Entry'!E715)</f>
        <v/>
      </c>
      <c r="F715" s="12">
        <f>IF('Data Entry'!A715="","",'Data Entry'!F715)</f>
        <v/>
      </c>
      <c r="G715" s="13">
        <f>IF('Data Entry'!A715="","",'Data Entry'!G715)</f>
        <v/>
      </c>
      <c r="H715" s="10">
        <f>IF('Data Entry'!A715="","",'Data Entry'!H715)</f>
        <v/>
      </c>
      <c r="I715" s="10">
        <f>IF('Data Entry'!A715="","",'Data Entry'!I715)</f>
        <v/>
      </c>
      <c r="J715" s="12">
        <f>IF('Data Entry'!A715="","",IF('Data Entry'!D715&lt;&gt;"",'Data Entry'!D715,'Data Entry'!E715))</f>
        <v/>
      </c>
      <c r="K715" s="10">
        <f>IF('Data Entry'!A715="","",IFERROR(SUMIFS($H$5:$H$2001,$J$5:$J$2001,$J715,$B$5:$B$2001,$B715,$A$5:$A$2001,(MAXIFS($A$5:$A$2001,$J$5:$J$2001,$J715,$B$5:$B$2001,$B715,$A$5:$A$2001,"&lt;"&amp;$A715))),""))</f>
        <v/>
      </c>
      <c r="L715" s="14">
        <f>IF(OR('Data Entry'!A715="",$K715=""),"",$H715-$K715)</f>
        <v/>
      </c>
      <c r="M715" s="15">
        <f>IF(OR('Data Entry'!A715="",$K715="",$K715=0),"",$L715/$K715)</f>
        <v/>
      </c>
      <c r="N715" s="12">
        <f>IF('Data Entry'!A715="","",IF($L715="","New item",IF($L715&gt;0,"UP",IF($L715&lt;0,"down","same"))))</f>
        <v/>
      </c>
    </row>
    <row r="716">
      <c r="A716" s="11">
        <f>IF('Data Entry'!A716="","",'Data Entry'!A716)</f>
        <v/>
      </c>
      <c r="B716" s="12">
        <f>IF('Data Entry'!A716="","",'Data Entry'!B716)</f>
        <v/>
      </c>
      <c r="C716" s="12">
        <f>IF('Data Entry'!A716="","",'Data Entry'!C716)</f>
        <v/>
      </c>
      <c r="D716" s="12">
        <f>IF('Data Entry'!A716="","",'Data Entry'!D716)</f>
        <v/>
      </c>
      <c r="E716" s="12">
        <f>IF('Data Entry'!A716="","",'Data Entry'!E716)</f>
        <v/>
      </c>
      <c r="F716" s="12">
        <f>IF('Data Entry'!A716="","",'Data Entry'!F716)</f>
        <v/>
      </c>
      <c r="G716" s="13">
        <f>IF('Data Entry'!A716="","",'Data Entry'!G716)</f>
        <v/>
      </c>
      <c r="H716" s="10">
        <f>IF('Data Entry'!A716="","",'Data Entry'!H716)</f>
        <v/>
      </c>
      <c r="I716" s="10">
        <f>IF('Data Entry'!A716="","",'Data Entry'!I716)</f>
        <v/>
      </c>
      <c r="J716" s="12">
        <f>IF('Data Entry'!A716="","",IF('Data Entry'!D716&lt;&gt;"",'Data Entry'!D716,'Data Entry'!E716))</f>
        <v/>
      </c>
      <c r="K716" s="10">
        <f>IF('Data Entry'!A716="","",IFERROR(SUMIFS($H$5:$H$2001,$J$5:$J$2001,$J716,$B$5:$B$2001,$B716,$A$5:$A$2001,(MAXIFS($A$5:$A$2001,$J$5:$J$2001,$J716,$B$5:$B$2001,$B716,$A$5:$A$2001,"&lt;"&amp;$A716))),""))</f>
        <v/>
      </c>
      <c r="L716" s="14">
        <f>IF(OR('Data Entry'!A716="",$K716=""),"",$H716-$K716)</f>
        <v/>
      </c>
      <c r="M716" s="15">
        <f>IF(OR('Data Entry'!A716="",$K716="",$K716=0),"",$L716/$K716)</f>
        <v/>
      </c>
      <c r="N716" s="12">
        <f>IF('Data Entry'!A716="","",IF($L716="","New item",IF($L716&gt;0,"UP",IF($L716&lt;0,"down","same"))))</f>
        <v/>
      </c>
    </row>
    <row r="717">
      <c r="A717" s="11">
        <f>IF('Data Entry'!A717="","",'Data Entry'!A717)</f>
        <v/>
      </c>
      <c r="B717" s="12">
        <f>IF('Data Entry'!A717="","",'Data Entry'!B717)</f>
        <v/>
      </c>
      <c r="C717" s="12">
        <f>IF('Data Entry'!A717="","",'Data Entry'!C717)</f>
        <v/>
      </c>
      <c r="D717" s="12">
        <f>IF('Data Entry'!A717="","",'Data Entry'!D717)</f>
        <v/>
      </c>
      <c r="E717" s="12">
        <f>IF('Data Entry'!A717="","",'Data Entry'!E717)</f>
        <v/>
      </c>
      <c r="F717" s="12">
        <f>IF('Data Entry'!A717="","",'Data Entry'!F717)</f>
        <v/>
      </c>
      <c r="G717" s="13">
        <f>IF('Data Entry'!A717="","",'Data Entry'!G717)</f>
        <v/>
      </c>
      <c r="H717" s="10">
        <f>IF('Data Entry'!A717="","",'Data Entry'!H717)</f>
        <v/>
      </c>
      <c r="I717" s="10">
        <f>IF('Data Entry'!A717="","",'Data Entry'!I717)</f>
        <v/>
      </c>
      <c r="J717" s="12">
        <f>IF('Data Entry'!A717="","",IF('Data Entry'!D717&lt;&gt;"",'Data Entry'!D717,'Data Entry'!E717))</f>
        <v/>
      </c>
      <c r="K717" s="10">
        <f>IF('Data Entry'!A717="","",IFERROR(SUMIFS($H$5:$H$2001,$J$5:$J$2001,$J717,$B$5:$B$2001,$B717,$A$5:$A$2001,(MAXIFS($A$5:$A$2001,$J$5:$J$2001,$J717,$B$5:$B$2001,$B717,$A$5:$A$2001,"&lt;"&amp;$A717))),""))</f>
        <v/>
      </c>
      <c r="L717" s="14">
        <f>IF(OR('Data Entry'!A717="",$K717=""),"",$H717-$K717)</f>
        <v/>
      </c>
      <c r="M717" s="15">
        <f>IF(OR('Data Entry'!A717="",$K717="",$K717=0),"",$L717/$K717)</f>
        <v/>
      </c>
      <c r="N717" s="12">
        <f>IF('Data Entry'!A717="","",IF($L717="","New item",IF($L717&gt;0,"UP",IF($L717&lt;0,"down","same"))))</f>
        <v/>
      </c>
    </row>
    <row r="718">
      <c r="A718" s="11">
        <f>IF('Data Entry'!A718="","",'Data Entry'!A718)</f>
        <v/>
      </c>
      <c r="B718" s="12">
        <f>IF('Data Entry'!A718="","",'Data Entry'!B718)</f>
        <v/>
      </c>
      <c r="C718" s="12">
        <f>IF('Data Entry'!A718="","",'Data Entry'!C718)</f>
        <v/>
      </c>
      <c r="D718" s="12">
        <f>IF('Data Entry'!A718="","",'Data Entry'!D718)</f>
        <v/>
      </c>
      <c r="E718" s="12">
        <f>IF('Data Entry'!A718="","",'Data Entry'!E718)</f>
        <v/>
      </c>
      <c r="F718" s="12">
        <f>IF('Data Entry'!A718="","",'Data Entry'!F718)</f>
        <v/>
      </c>
      <c r="G718" s="13">
        <f>IF('Data Entry'!A718="","",'Data Entry'!G718)</f>
        <v/>
      </c>
      <c r="H718" s="10">
        <f>IF('Data Entry'!A718="","",'Data Entry'!H718)</f>
        <v/>
      </c>
      <c r="I718" s="10">
        <f>IF('Data Entry'!A718="","",'Data Entry'!I718)</f>
        <v/>
      </c>
      <c r="J718" s="12">
        <f>IF('Data Entry'!A718="","",IF('Data Entry'!D718&lt;&gt;"",'Data Entry'!D718,'Data Entry'!E718))</f>
        <v/>
      </c>
      <c r="K718" s="10">
        <f>IF('Data Entry'!A718="","",IFERROR(SUMIFS($H$5:$H$2001,$J$5:$J$2001,$J718,$B$5:$B$2001,$B718,$A$5:$A$2001,(MAXIFS($A$5:$A$2001,$J$5:$J$2001,$J718,$B$5:$B$2001,$B718,$A$5:$A$2001,"&lt;"&amp;$A718))),""))</f>
        <v/>
      </c>
      <c r="L718" s="14">
        <f>IF(OR('Data Entry'!A718="",$K718=""),"",$H718-$K718)</f>
        <v/>
      </c>
      <c r="M718" s="15">
        <f>IF(OR('Data Entry'!A718="",$K718="",$K718=0),"",$L718/$K718)</f>
        <v/>
      </c>
      <c r="N718" s="12">
        <f>IF('Data Entry'!A718="","",IF($L718="","New item",IF($L718&gt;0,"UP",IF($L718&lt;0,"down","same"))))</f>
        <v/>
      </c>
    </row>
    <row r="719">
      <c r="A719" s="11">
        <f>IF('Data Entry'!A719="","",'Data Entry'!A719)</f>
        <v/>
      </c>
      <c r="B719" s="12">
        <f>IF('Data Entry'!A719="","",'Data Entry'!B719)</f>
        <v/>
      </c>
      <c r="C719" s="12">
        <f>IF('Data Entry'!A719="","",'Data Entry'!C719)</f>
        <v/>
      </c>
      <c r="D719" s="12">
        <f>IF('Data Entry'!A719="","",'Data Entry'!D719)</f>
        <v/>
      </c>
      <c r="E719" s="12">
        <f>IF('Data Entry'!A719="","",'Data Entry'!E719)</f>
        <v/>
      </c>
      <c r="F719" s="12">
        <f>IF('Data Entry'!A719="","",'Data Entry'!F719)</f>
        <v/>
      </c>
      <c r="G719" s="13">
        <f>IF('Data Entry'!A719="","",'Data Entry'!G719)</f>
        <v/>
      </c>
      <c r="H719" s="10">
        <f>IF('Data Entry'!A719="","",'Data Entry'!H719)</f>
        <v/>
      </c>
      <c r="I719" s="10">
        <f>IF('Data Entry'!A719="","",'Data Entry'!I719)</f>
        <v/>
      </c>
      <c r="J719" s="12">
        <f>IF('Data Entry'!A719="","",IF('Data Entry'!D719&lt;&gt;"",'Data Entry'!D719,'Data Entry'!E719))</f>
        <v/>
      </c>
      <c r="K719" s="10">
        <f>IF('Data Entry'!A719="","",IFERROR(SUMIFS($H$5:$H$2001,$J$5:$J$2001,$J719,$B$5:$B$2001,$B719,$A$5:$A$2001,(MAXIFS($A$5:$A$2001,$J$5:$J$2001,$J719,$B$5:$B$2001,$B719,$A$5:$A$2001,"&lt;"&amp;$A719))),""))</f>
        <v/>
      </c>
      <c r="L719" s="14">
        <f>IF(OR('Data Entry'!A719="",$K719=""),"",$H719-$K719)</f>
        <v/>
      </c>
      <c r="M719" s="15">
        <f>IF(OR('Data Entry'!A719="",$K719="",$K719=0),"",$L719/$K719)</f>
        <v/>
      </c>
      <c r="N719" s="12">
        <f>IF('Data Entry'!A719="","",IF($L719="","New item",IF($L719&gt;0,"UP",IF($L719&lt;0,"down","same"))))</f>
        <v/>
      </c>
    </row>
    <row r="720">
      <c r="A720" s="11">
        <f>IF('Data Entry'!A720="","",'Data Entry'!A720)</f>
        <v/>
      </c>
      <c r="B720" s="12">
        <f>IF('Data Entry'!A720="","",'Data Entry'!B720)</f>
        <v/>
      </c>
      <c r="C720" s="12">
        <f>IF('Data Entry'!A720="","",'Data Entry'!C720)</f>
        <v/>
      </c>
      <c r="D720" s="12">
        <f>IF('Data Entry'!A720="","",'Data Entry'!D720)</f>
        <v/>
      </c>
      <c r="E720" s="12">
        <f>IF('Data Entry'!A720="","",'Data Entry'!E720)</f>
        <v/>
      </c>
      <c r="F720" s="12">
        <f>IF('Data Entry'!A720="","",'Data Entry'!F720)</f>
        <v/>
      </c>
      <c r="G720" s="13">
        <f>IF('Data Entry'!A720="","",'Data Entry'!G720)</f>
        <v/>
      </c>
      <c r="H720" s="10">
        <f>IF('Data Entry'!A720="","",'Data Entry'!H720)</f>
        <v/>
      </c>
      <c r="I720" s="10">
        <f>IF('Data Entry'!A720="","",'Data Entry'!I720)</f>
        <v/>
      </c>
      <c r="J720" s="12">
        <f>IF('Data Entry'!A720="","",IF('Data Entry'!D720&lt;&gt;"",'Data Entry'!D720,'Data Entry'!E720))</f>
        <v/>
      </c>
      <c r="K720" s="10">
        <f>IF('Data Entry'!A720="","",IFERROR(SUMIFS($H$5:$H$2001,$J$5:$J$2001,$J720,$B$5:$B$2001,$B720,$A$5:$A$2001,(MAXIFS($A$5:$A$2001,$J$5:$J$2001,$J720,$B$5:$B$2001,$B720,$A$5:$A$2001,"&lt;"&amp;$A720))),""))</f>
        <v/>
      </c>
      <c r="L720" s="14">
        <f>IF(OR('Data Entry'!A720="",$K720=""),"",$H720-$K720)</f>
        <v/>
      </c>
      <c r="M720" s="15">
        <f>IF(OR('Data Entry'!A720="",$K720="",$K720=0),"",$L720/$K720)</f>
        <v/>
      </c>
      <c r="N720" s="12">
        <f>IF('Data Entry'!A720="","",IF($L720="","New item",IF($L720&gt;0,"UP",IF($L720&lt;0,"down","same"))))</f>
        <v/>
      </c>
    </row>
    <row r="721">
      <c r="A721" s="11">
        <f>IF('Data Entry'!A721="","",'Data Entry'!A721)</f>
        <v/>
      </c>
      <c r="B721" s="12">
        <f>IF('Data Entry'!A721="","",'Data Entry'!B721)</f>
        <v/>
      </c>
      <c r="C721" s="12">
        <f>IF('Data Entry'!A721="","",'Data Entry'!C721)</f>
        <v/>
      </c>
      <c r="D721" s="12">
        <f>IF('Data Entry'!A721="","",'Data Entry'!D721)</f>
        <v/>
      </c>
      <c r="E721" s="12">
        <f>IF('Data Entry'!A721="","",'Data Entry'!E721)</f>
        <v/>
      </c>
      <c r="F721" s="12">
        <f>IF('Data Entry'!A721="","",'Data Entry'!F721)</f>
        <v/>
      </c>
      <c r="G721" s="13">
        <f>IF('Data Entry'!A721="","",'Data Entry'!G721)</f>
        <v/>
      </c>
      <c r="H721" s="10">
        <f>IF('Data Entry'!A721="","",'Data Entry'!H721)</f>
        <v/>
      </c>
      <c r="I721" s="10">
        <f>IF('Data Entry'!A721="","",'Data Entry'!I721)</f>
        <v/>
      </c>
      <c r="J721" s="12">
        <f>IF('Data Entry'!A721="","",IF('Data Entry'!D721&lt;&gt;"",'Data Entry'!D721,'Data Entry'!E721))</f>
        <v/>
      </c>
      <c r="K721" s="10">
        <f>IF('Data Entry'!A721="","",IFERROR(SUMIFS($H$5:$H$2001,$J$5:$J$2001,$J721,$B$5:$B$2001,$B721,$A$5:$A$2001,(MAXIFS($A$5:$A$2001,$J$5:$J$2001,$J721,$B$5:$B$2001,$B721,$A$5:$A$2001,"&lt;"&amp;$A721))),""))</f>
        <v/>
      </c>
      <c r="L721" s="14">
        <f>IF(OR('Data Entry'!A721="",$K721=""),"",$H721-$K721)</f>
        <v/>
      </c>
      <c r="M721" s="15">
        <f>IF(OR('Data Entry'!A721="",$K721="",$K721=0),"",$L721/$K721)</f>
        <v/>
      </c>
      <c r="N721" s="12">
        <f>IF('Data Entry'!A721="","",IF($L721="","New item",IF($L721&gt;0,"UP",IF($L721&lt;0,"down","same"))))</f>
        <v/>
      </c>
    </row>
    <row r="722">
      <c r="A722" s="11">
        <f>IF('Data Entry'!A722="","",'Data Entry'!A722)</f>
        <v/>
      </c>
      <c r="B722" s="12">
        <f>IF('Data Entry'!A722="","",'Data Entry'!B722)</f>
        <v/>
      </c>
      <c r="C722" s="12">
        <f>IF('Data Entry'!A722="","",'Data Entry'!C722)</f>
        <v/>
      </c>
      <c r="D722" s="12">
        <f>IF('Data Entry'!A722="","",'Data Entry'!D722)</f>
        <v/>
      </c>
      <c r="E722" s="12">
        <f>IF('Data Entry'!A722="","",'Data Entry'!E722)</f>
        <v/>
      </c>
      <c r="F722" s="12">
        <f>IF('Data Entry'!A722="","",'Data Entry'!F722)</f>
        <v/>
      </c>
      <c r="G722" s="13">
        <f>IF('Data Entry'!A722="","",'Data Entry'!G722)</f>
        <v/>
      </c>
      <c r="H722" s="10">
        <f>IF('Data Entry'!A722="","",'Data Entry'!H722)</f>
        <v/>
      </c>
      <c r="I722" s="10">
        <f>IF('Data Entry'!A722="","",'Data Entry'!I722)</f>
        <v/>
      </c>
      <c r="J722" s="12">
        <f>IF('Data Entry'!A722="","",IF('Data Entry'!D722&lt;&gt;"",'Data Entry'!D722,'Data Entry'!E722))</f>
        <v/>
      </c>
      <c r="K722" s="10">
        <f>IF('Data Entry'!A722="","",IFERROR(SUMIFS($H$5:$H$2001,$J$5:$J$2001,$J722,$B$5:$B$2001,$B722,$A$5:$A$2001,(MAXIFS($A$5:$A$2001,$J$5:$J$2001,$J722,$B$5:$B$2001,$B722,$A$5:$A$2001,"&lt;"&amp;$A722))),""))</f>
        <v/>
      </c>
      <c r="L722" s="14">
        <f>IF(OR('Data Entry'!A722="",$K722=""),"",$H722-$K722)</f>
        <v/>
      </c>
      <c r="M722" s="15">
        <f>IF(OR('Data Entry'!A722="",$K722="",$K722=0),"",$L722/$K722)</f>
        <v/>
      </c>
      <c r="N722" s="12">
        <f>IF('Data Entry'!A722="","",IF($L722="","New item",IF($L722&gt;0,"UP",IF($L722&lt;0,"down","same"))))</f>
        <v/>
      </c>
    </row>
    <row r="723">
      <c r="A723" s="11">
        <f>IF('Data Entry'!A723="","",'Data Entry'!A723)</f>
        <v/>
      </c>
      <c r="B723" s="12">
        <f>IF('Data Entry'!A723="","",'Data Entry'!B723)</f>
        <v/>
      </c>
      <c r="C723" s="12">
        <f>IF('Data Entry'!A723="","",'Data Entry'!C723)</f>
        <v/>
      </c>
      <c r="D723" s="12">
        <f>IF('Data Entry'!A723="","",'Data Entry'!D723)</f>
        <v/>
      </c>
      <c r="E723" s="12">
        <f>IF('Data Entry'!A723="","",'Data Entry'!E723)</f>
        <v/>
      </c>
      <c r="F723" s="12">
        <f>IF('Data Entry'!A723="","",'Data Entry'!F723)</f>
        <v/>
      </c>
      <c r="G723" s="13">
        <f>IF('Data Entry'!A723="","",'Data Entry'!G723)</f>
        <v/>
      </c>
      <c r="H723" s="10">
        <f>IF('Data Entry'!A723="","",'Data Entry'!H723)</f>
        <v/>
      </c>
      <c r="I723" s="10">
        <f>IF('Data Entry'!A723="","",'Data Entry'!I723)</f>
        <v/>
      </c>
      <c r="J723" s="12">
        <f>IF('Data Entry'!A723="","",IF('Data Entry'!D723&lt;&gt;"",'Data Entry'!D723,'Data Entry'!E723))</f>
        <v/>
      </c>
      <c r="K723" s="10">
        <f>IF('Data Entry'!A723="","",IFERROR(SUMIFS($H$5:$H$2001,$J$5:$J$2001,$J723,$B$5:$B$2001,$B723,$A$5:$A$2001,(MAXIFS($A$5:$A$2001,$J$5:$J$2001,$J723,$B$5:$B$2001,$B723,$A$5:$A$2001,"&lt;"&amp;$A723))),""))</f>
        <v/>
      </c>
      <c r="L723" s="14">
        <f>IF(OR('Data Entry'!A723="",$K723=""),"",$H723-$K723)</f>
        <v/>
      </c>
      <c r="M723" s="15">
        <f>IF(OR('Data Entry'!A723="",$K723="",$K723=0),"",$L723/$K723)</f>
        <v/>
      </c>
      <c r="N723" s="12">
        <f>IF('Data Entry'!A723="","",IF($L723="","New item",IF($L723&gt;0,"UP",IF($L723&lt;0,"down","same"))))</f>
        <v/>
      </c>
    </row>
    <row r="724">
      <c r="A724" s="11">
        <f>IF('Data Entry'!A724="","",'Data Entry'!A724)</f>
        <v/>
      </c>
      <c r="B724" s="12">
        <f>IF('Data Entry'!A724="","",'Data Entry'!B724)</f>
        <v/>
      </c>
      <c r="C724" s="12">
        <f>IF('Data Entry'!A724="","",'Data Entry'!C724)</f>
        <v/>
      </c>
      <c r="D724" s="12">
        <f>IF('Data Entry'!A724="","",'Data Entry'!D724)</f>
        <v/>
      </c>
      <c r="E724" s="12">
        <f>IF('Data Entry'!A724="","",'Data Entry'!E724)</f>
        <v/>
      </c>
      <c r="F724" s="12">
        <f>IF('Data Entry'!A724="","",'Data Entry'!F724)</f>
        <v/>
      </c>
      <c r="G724" s="13">
        <f>IF('Data Entry'!A724="","",'Data Entry'!G724)</f>
        <v/>
      </c>
      <c r="H724" s="10">
        <f>IF('Data Entry'!A724="","",'Data Entry'!H724)</f>
        <v/>
      </c>
      <c r="I724" s="10">
        <f>IF('Data Entry'!A724="","",'Data Entry'!I724)</f>
        <v/>
      </c>
      <c r="J724" s="12">
        <f>IF('Data Entry'!A724="","",IF('Data Entry'!D724&lt;&gt;"",'Data Entry'!D724,'Data Entry'!E724))</f>
        <v/>
      </c>
      <c r="K724" s="10">
        <f>IF('Data Entry'!A724="","",IFERROR(SUMIFS($H$5:$H$2001,$J$5:$J$2001,$J724,$B$5:$B$2001,$B724,$A$5:$A$2001,(MAXIFS($A$5:$A$2001,$J$5:$J$2001,$J724,$B$5:$B$2001,$B724,$A$5:$A$2001,"&lt;"&amp;$A724))),""))</f>
        <v/>
      </c>
      <c r="L724" s="14">
        <f>IF(OR('Data Entry'!A724="",$K724=""),"",$H724-$K724)</f>
        <v/>
      </c>
      <c r="M724" s="15">
        <f>IF(OR('Data Entry'!A724="",$K724="",$K724=0),"",$L724/$K724)</f>
        <v/>
      </c>
      <c r="N724" s="12">
        <f>IF('Data Entry'!A724="","",IF($L724="","New item",IF($L724&gt;0,"UP",IF($L724&lt;0,"down","same"))))</f>
        <v/>
      </c>
    </row>
    <row r="725">
      <c r="A725" s="11">
        <f>IF('Data Entry'!A725="","",'Data Entry'!A725)</f>
        <v/>
      </c>
      <c r="B725" s="12">
        <f>IF('Data Entry'!A725="","",'Data Entry'!B725)</f>
        <v/>
      </c>
      <c r="C725" s="12">
        <f>IF('Data Entry'!A725="","",'Data Entry'!C725)</f>
        <v/>
      </c>
      <c r="D725" s="12">
        <f>IF('Data Entry'!A725="","",'Data Entry'!D725)</f>
        <v/>
      </c>
      <c r="E725" s="12">
        <f>IF('Data Entry'!A725="","",'Data Entry'!E725)</f>
        <v/>
      </c>
      <c r="F725" s="12">
        <f>IF('Data Entry'!A725="","",'Data Entry'!F725)</f>
        <v/>
      </c>
      <c r="G725" s="13">
        <f>IF('Data Entry'!A725="","",'Data Entry'!G725)</f>
        <v/>
      </c>
      <c r="H725" s="10">
        <f>IF('Data Entry'!A725="","",'Data Entry'!H725)</f>
        <v/>
      </c>
      <c r="I725" s="10">
        <f>IF('Data Entry'!A725="","",'Data Entry'!I725)</f>
        <v/>
      </c>
      <c r="J725" s="12">
        <f>IF('Data Entry'!A725="","",IF('Data Entry'!D725&lt;&gt;"",'Data Entry'!D725,'Data Entry'!E725))</f>
        <v/>
      </c>
      <c r="K725" s="10">
        <f>IF('Data Entry'!A725="","",IFERROR(SUMIFS($H$5:$H$2001,$J$5:$J$2001,$J725,$B$5:$B$2001,$B725,$A$5:$A$2001,(MAXIFS($A$5:$A$2001,$J$5:$J$2001,$J725,$B$5:$B$2001,$B725,$A$5:$A$2001,"&lt;"&amp;$A725))),""))</f>
        <v/>
      </c>
      <c r="L725" s="14">
        <f>IF(OR('Data Entry'!A725="",$K725=""),"",$H725-$K725)</f>
        <v/>
      </c>
      <c r="M725" s="15">
        <f>IF(OR('Data Entry'!A725="",$K725="",$K725=0),"",$L725/$K725)</f>
        <v/>
      </c>
      <c r="N725" s="12">
        <f>IF('Data Entry'!A725="","",IF($L725="","New item",IF($L725&gt;0,"UP",IF($L725&lt;0,"down","same"))))</f>
        <v/>
      </c>
    </row>
    <row r="726">
      <c r="A726" s="11">
        <f>IF('Data Entry'!A726="","",'Data Entry'!A726)</f>
        <v/>
      </c>
      <c r="B726" s="12">
        <f>IF('Data Entry'!A726="","",'Data Entry'!B726)</f>
        <v/>
      </c>
      <c r="C726" s="12">
        <f>IF('Data Entry'!A726="","",'Data Entry'!C726)</f>
        <v/>
      </c>
      <c r="D726" s="12">
        <f>IF('Data Entry'!A726="","",'Data Entry'!D726)</f>
        <v/>
      </c>
      <c r="E726" s="12">
        <f>IF('Data Entry'!A726="","",'Data Entry'!E726)</f>
        <v/>
      </c>
      <c r="F726" s="12">
        <f>IF('Data Entry'!A726="","",'Data Entry'!F726)</f>
        <v/>
      </c>
      <c r="G726" s="13">
        <f>IF('Data Entry'!A726="","",'Data Entry'!G726)</f>
        <v/>
      </c>
      <c r="H726" s="10">
        <f>IF('Data Entry'!A726="","",'Data Entry'!H726)</f>
        <v/>
      </c>
      <c r="I726" s="10">
        <f>IF('Data Entry'!A726="","",'Data Entry'!I726)</f>
        <v/>
      </c>
      <c r="J726" s="12">
        <f>IF('Data Entry'!A726="","",IF('Data Entry'!D726&lt;&gt;"",'Data Entry'!D726,'Data Entry'!E726))</f>
        <v/>
      </c>
      <c r="K726" s="10">
        <f>IF('Data Entry'!A726="","",IFERROR(SUMIFS($H$5:$H$2001,$J$5:$J$2001,$J726,$B$5:$B$2001,$B726,$A$5:$A$2001,(MAXIFS($A$5:$A$2001,$J$5:$J$2001,$J726,$B$5:$B$2001,$B726,$A$5:$A$2001,"&lt;"&amp;$A726))),""))</f>
        <v/>
      </c>
      <c r="L726" s="14">
        <f>IF(OR('Data Entry'!A726="",$K726=""),"",$H726-$K726)</f>
        <v/>
      </c>
      <c r="M726" s="15">
        <f>IF(OR('Data Entry'!A726="",$K726="",$K726=0),"",$L726/$K726)</f>
        <v/>
      </c>
      <c r="N726" s="12">
        <f>IF('Data Entry'!A726="","",IF($L726="","New item",IF($L726&gt;0,"UP",IF($L726&lt;0,"down","same"))))</f>
        <v/>
      </c>
    </row>
    <row r="727">
      <c r="A727" s="11">
        <f>IF('Data Entry'!A727="","",'Data Entry'!A727)</f>
        <v/>
      </c>
      <c r="B727" s="12">
        <f>IF('Data Entry'!A727="","",'Data Entry'!B727)</f>
        <v/>
      </c>
      <c r="C727" s="12">
        <f>IF('Data Entry'!A727="","",'Data Entry'!C727)</f>
        <v/>
      </c>
      <c r="D727" s="12">
        <f>IF('Data Entry'!A727="","",'Data Entry'!D727)</f>
        <v/>
      </c>
      <c r="E727" s="12">
        <f>IF('Data Entry'!A727="","",'Data Entry'!E727)</f>
        <v/>
      </c>
      <c r="F727" s="12">
        <f>IF('Data Entry'!A727="","",'Data Entry'!F727)</f>
        <v/>
      </c>
      <c r="G727" s="13">
        <f>IF('Data Entry'!A727="","",'Data Entry'!G727)</f>
        <v/>
      </c>
      <c r="H727" s="10">
        <f>IF('Data Entry'!A727="","",'Data Entry'!H727)</f>
        <v/>
      </c>
      <c r="I727" s="10">
        <f>IF('Data Entry'!A727="","",'Data Entry'!I727)</f>
        <v/>
      </c>
      <c r="J727" s="12">
        <f>IF('Data Entry'!A727="","",IF('Data Entry'!D727&lt;&gt;"",'Data Entry'!D727,'Data Entry'!E727))</f>
        <v/>
      </c>
      <c r="K727" s="10">
        <f>IF('Data Entry'!A727="","",IFERROR(SUMIFS($H$5:$H$2001,$J$5:$J$2001,$J727,$B$5:$B$2001,$B727,$A$5:$A$2001,(MAXIFS($A$5:$A$2001,$J$5:$J$2001,$J727,$B$5:$B$2001,$B727,$A$5:$A$2001,"&lt;"&amp;$A727))),""))</f>
        <v/>
      </c>
      <c r="L727" s="14">
        <f>IF(OR('Data Entry'!A727="",$K727=""),"",$H727-$K727)</f>
        <v/>
      </c>
      <c r="M727" s="15">
        <f>IF(OR('Data Entry'!A727="",$K727="",$K727=0),"",$L727/$K727)</f>
        <v/>
      </c>
      <c r="N727" s="12">
        <f>IF('Data Entry'!A727="","",IF($L727="","New item",IF($L727&gt;0,"UP",IF($L727&lt;0,"down","same"))))</f>
        <v/>
      </c>
    </row>
    <row r="728">
      <c r="A728" s="11">
        <f>IF('Data Entry'!A728="","",'Data Entry'!A728)</f>
        <v/>
      </c>
      <c r="B728" s="12">
        <f>IF('Data Entry'!A728="","",'Data Entry'!B728)</f>
        <v/>
      </c>
      <c r="C728" s="12">
        <f>IF('Data Entry'!A728="","",'Data Entry'!C728)</f>
        <v/>
      </c>
      <c r="D728" s="12">
        <f>IF('Data Entry'!A728="","",'Data Entry'!D728)</f>
        <v/>
      </c>
      <c r="E728" s="12">
        <f>IF('Data Entry'!A728="","",'Data Entry'!E728)</f>
        <v/>
      </c>
      <c r="F728" s="12">
        <f>IF('Data Entry'!A728="","",'Data Entry'!F728)</f>
        <v/>
      </c>
      <c r="G728" s="13">
        <f>IF('Data Entry'!A728="","",'Data Entry'!G728)</f>
        <v/>
      </c>
      <c r="H728" s="10">
        <f>IF('Data Entry'!A728="","",'Data Entry'!H728)</f>
        <v/>
      </c>
      <c r="I728" s="10">
        <f>IF('Data Entry'!A728="","",'Data Entry'!I728)</f>
        <v/>
      </c>
      <c r="J728" s="12">
        <f>IF('Data Entry'!A728="","",IF('Data Entry'!D728&lt;&gt;"",'Data Entry'!D728,'Data Entry'!E728))</f>
        <v/>
      </c>
      <c r="K728" s="10">
        <f>IF('Data Entry'!A728="","",IFERROR(SUMIFS($H$5:$H$2001,$J$5:$J$2001,$J728,$B$5:$B$2001,$B728,$A$5:$A$2001,(MAXIFS($A$5:$A$2001,$J$5:$J$2001,$J728,$B$5:$B$2001,$B728,$A$5:$A$2001,"&lt;"&amp;$A728))),""))</f>
        <v/>
      </c>
      <c r="L728" s="14">
        <f>IF(OR('Data Entry'!A728="",$K728=""),"",$H728-$K728)</f>
        <v/>
      </c>
      <c r="M728" s="15">
        <f>IF(OR('Data Entry'!A728="",$K728="",$K728=0),"",$L728/$K728)</f>
        <v/>
      </c>
      <c r="N728" s="12">
        <f>IF('Data Entry'!A728="","",IF($L728="","New item",IF($L728&gt;0,"UP",IF($L728&lt;0,"down","same"))))</f>
        <v/>
      </c>
    </row>
    <row r="729">
      <c r="A729" s="11">
        <f>IF('Data Entry'!A729="","",'Data Entry'!A729)</f>
        <v/>
      </c>
      <c r="B729" s="12">
        <f>IF('Data Entry'!A729="","",'Data Entry'!B729)</f>
        <v/>
      </c>
      <c r="C729" s="12">
        <f>IF('Data Entry'!A729="","",'Data Entry'!C729)</f>
        <v/>
      </c>
      <c r="D729" s="12">
        <f>IF('Data Entry'!A729="","",'Data Entry'!D729)</f>
        <v/>
      </c>
      <c r="E729" s="12">
        <f>IF('Data Entry'!A729="","",'Data Entry'!E729)</f>
        <v/>
      </c>
      <c r="F729" s="12">
        <f>IF('Data Entry'!A729="","",'Data Entry'!F729)</f>
        <v/>
      </c>
      <c r="G729" s="13">
        <f>IF('Data Entry'!A729="","",'Data Entry'!G729)</f>
        <v/>
      </c>
      <c r="H729" s="10">
        <f>IF('Data Entry'!A729="","",'Data Entry'!H729)</f>
        <v/>
      </c>
      <c r="I729" s="10">
        <f>IF('Data Entry'!A729="","",'Data Entry'!I729)</f>
        <v/>
      </c>
      <c r="J729" s="12">
        <f>IF('Data Entry'!A729="","",IF('Data Entry'!D729&lt;&gt;"",'Data Entry'!D729,'Data Entry'!E729))</f>
        <v/>
      </c>
      <c r="K729" s="10">
        <f>IF('Data Entry'!A729="","",IFERROR(SUMIFS($H$5:$H$2001,$J$5:$J$2001,$J729,$B$5:$B$2001,$B729,$A$5:$A$2001,(MAXIFS($A$5:$A$2001,$J$5:$J$2001,$J729,$B$5:$B$2001,$B729,$A$5:$A$2001,"&lt;"&amp;$A729))),""))</f>
        <v/>
      </c>
      <c r="L729" s="14">
        <f>IF(OR('Data Entry'!A729="",$K729=""),"",$H729-$K729)</f>
        <v/>
      </c>
      <c r="M729" s="15">
        <f>IF(OR('Data Entry'!A729="",$K729="",$K729=0),"",$L729/$K729)</f>
        <v/>
      </c>
      <c r="N729" s="12">
        <f>IF('Data Entry'!A729="","",IF($L729="","New item",IF($L729&gt;0,"UP",IF($L729&lt;0,"down","same"))))</f>
        <v/>
      </c>
    </row>
    <row r="730">
      <c r="A730" s="11">
        <f>IF('Data Entry'!A730="","",'Data Entry'!A730)</f>
        <v/>
      </c>
      <c r="B730" s="12">
        <f>IF('Data Entry'!A730="","",'Data Entry'!B730)</f>
        <v/>
      </c>
      <c r="C730" s="12">
        <f>IF('Data Entry'!A730="","",'Data Entry'!C730)</f>
        <v/>
      </c>
      <c r="D730" s="12">
        <f>IF('Data Entry'!A730="","",'Data Entry'!D730)</f>
        <v/>
      </c>
      <c r="E730" s="12">
        <f>IF('Data Entry'!A730="","",'Data Entry'!E730)</f>
        <v/>
      </c>
      <c r="F730" s="12">
        <f>IF('Data Entry'!A730="","",'Data Entry'!F730)</f>
        <v/>
      </c>
      <c r="G730" s="13">
        <f>IF('Data Entry'!A730="","",'Data Entry'!G730)</f>
        <v/>
      </c>
      <c r="H730" s="10">
        <f>IF('Data Entry'!A730="","",'Data Entry'!H730)</f>
        <v/>
      </c>
      <c r="I730" s="10">
        <f>IF('Data Entry'!A730="","",'Data Entry'!I730)</f>
        <v/>
      </c>
      <c r="J730" s="12">
        <f>IF('Data Entry'!A730="","",IF('Data Entry'!D730&lt;&gt;"",'Data Entry'!D730,'Data Entry'!E730))</f>
        <v/>
      </c>
      <c r="K730" s="10">
        <f>IF('Data Entry'!A730="","",IFERROR(SUMIFS($H$5:$H$2001,$J$5:$J$2001,$J730,$B$5:$B$2001,$B730,$A$5:$A$2001,(MAXIFS($A$5:$A$2001,$J$5:$J$2001,$J730,$B$5:$B$2001,$B730,$A$5:$A$2001,"&lt;"&amp;$A730))),""))</f>
        <v/>
      </c>
      <c r="L730" s="14">
        <f>IF(OR('Data Entry'!A730="",$K730=""),"",$H730-$K730)</f>
        <v/>
      </c>
      <c r="M730" s="15">
        <f>IF(OR('Data Entry'!A730="",$K730="",$K730=0),"",$L730/$K730)</f>
        <v/>
      </c>
      <c r="N730" s="12">
        <f>IF('Data Entry'!A730="","",IF($L730="","New item",IF($L730&gt;0,"UP",IF($L730&lt;0,"down","same"))))</f>
        <v/>
      </c>
    </row>
    <row r="731">
      <c r="A731" s="11">
        <f>IF('Data Entry'!A731="","",'Data Entry'!A731)</f>
        <v/>
      </c>
      <c r="B731" s="12">
        <f>IF('Data Entry'!A731="","",'Data Entry'!B731)</f>
        <v/>
      </c>
      <c r="C731" s="12">
        <f>IF('Data Entry'!A731="","",'Data Entry'!C731)</f>
        <v/>
      </c>
      <c r="D731" s="12">
        <f>IF('Data Entry'!A731="","",'Data Entry'!D731)</f>
        <v/>
      </c>
      <c r="E731" s="12">
        <f>IF('Data Entry'!A731="","",'Data Entry'!E731)</f>
        <v/>
      </c>
      <c r="F731" s="12">
        <f>IF('Data Entry'!A731="","",'Data Entry'!F731)</f>
        <v/>
      </c>
      <c r="G731" s="13">
        <f>IF('Data Entry'!A731="","",'Data Entry'!G731)</f>
        <v/>
      </c>
      <c r="H731" s="10">
        <f>IF('Data Entry'!A731="","",'Data Entry'!H731)</f>
        <v/>
      </c>
      <c r="I731" s="10">
        <f>IF('Data Entry'!A731="","",'Data Entry'!I731)</f>
        <v/>
      </c>
      <c r="J731" s="12">
        <f>IF('Data Entry'!A731="","",IF('Data Entry'!D731&lt;&gt;"",'Data Entry'!D731,'Data Entry'!E731))</f>
        <v/>
      </c>
      <c r="K731" s="10">
        <f>IF('Data Entry'!A731="","",IFERROR(SUMIFS($H$5:$H$2001,$J$5:$J$2001,$J731,$B$5:$B$2001,$B731,$A$5:$A$2001,(MAXIFS($A$5:$A$2001,$J$5:$J$2001,$J731,$B$5:$B$2001,$B731,$A$5:$A$2001,"&lt;"&amp;$A731))),""))</f>
        <v/>
      </c>
      <c r="L731" s="14">
        <f>IF(OR('Data Entry'!A731="",$K731=""),"",$H731-$K731)</f>
        <v/>
      </c>
      <c r="M731" s="15">
        <f>IF(OR('Data Entry'!A731="",$K731="",$K731=0),"",$L731/$K731)</f>
        <v/>
      </c>
      <c r="N731" s="12">
        <f>IF('Data Entry'!A731="","",IF($L731="","New item",IF($L731&gt;0,"UP",IF($L731&lt;0,"down","same"))))</f>
        <v/>
      </c>
    </row>
    <row r="732">
      <c r="A732" s="11">
        <f>IF('Data Entry'!A732="","",'Data Entry'!A732)</f>
        <v/>
      </c>
      <c r="B732" s="12">
        <f>IF('Data Entry'!A732="","",'Data Entry'!B732)</f>
        <v/>
      </c>
      <c r="C732" s="12">
        <f>IF('Data Entry'!A732="","",'Data Entry'!C732)</f>
        <v/>
      </c>
      <c r="D732" s="12">
        <f>IF('Data Entry'!A732="","",'Data Entry'!D732)</f>
        <v/>
      </c>
      <c r="E732" s="12">
        <f>IF('Data Entry'!A732="","",'Data Entry'!E732)</f>
        <v/>
      </c>
      <c r="F732" s="12">
        <f>IF('Data Entry'!A732="","",'Data Entry'!F732)</f>
        <v/>
      </c>
      <c r="G732" s="13">
        <f>IF('Data Entry'!A732="","",'Data Entry'!G732)</f>
        <v/>
      </c>
      <c r="H732" s="10">
        <f>IF('Data Entry'!A732="","",'Data Entry'!H732)</f>
        <v/>
      </c>
      <c r="I732" s="10">
        <f>IF('Data Entry'!A732="","",'Data Entry'!I732)</f>
        <v/>
      </c>
      <c r="J732" s="12">
        <f>IF('Data Entry'!A732="","",IF('Data Entry'!D732&lt;&gt;"",'Data Entry'!D732,'Data Entry'!E732))</f>
        <v/>
      </c>
      <c r="K732" s="10">
        <f>IF('Data Entry'!A732="","",IFERROR(SUMIFS($H$5:$H$2001,$J$5:$J$2001,$J732,$B$5:$B$2001,$B732,$A$5:$A$2001,(MAXIFS($A$5:$A$2001,$J$5:$J$2001,$J732,$B$5:$B$2001,$B732,$A$5:$A$2001,"&lt;"&amp;$A732))),""))</f>
        <v/>
      </c>
      <c r="L732" s="14">
        <f>IF(OR('Data Entry'!A732="",$K732=""),"",$H732-$K732)</f>
        <v/>
      </c>
      <c r="M732" s="15">
        <f>IF(OR('Data Entry'!A732="",$K732="",$K732=0),"",$L732/$K732)</f>
        <v/>
      </c>
      <c r="N732" s="12">
        <f>IF('Data Entry'!A732="","",IF($L732="","New item",IF($L732&gt;0,"UP",IF($L732&lt;0,"down","same"))))</f>
        <v/>
      </c>
    </row>
    <row r="733">
      <c r="A733" s="11">
        <f>IF('Data Entry'!A733="","",'Data Entry'!A733)</f>
        <v/>
      </c>
      <c r="B733" s="12">
        <f>IF('Data Entry'!A733="","",'Data Entry'!B733)</f>
        <v/>
      </c>
      <c r="C733" s="12">
        <f>IF('Data Entry'!A733="","",'Data Entry'!C733)</f>
        <v/>
      </c>
      <c r="D733" s="12">
        <f>IF('Data Entry'!A733="","",'Data Entry'!D733)</f>
        <v/>
      </c>
      <c r="E733" s="12">
        <f>IF('Data Entry'!A733="","",'Data Entry'!E733)</f>
        <v/>
      </c>
      <c r="F733" s="12">
        <f>IF('Data Entry'!A733="","",'Data Entry'!F733)</f>
        <v/>
      </c>
      <c r="G733" s="13">
        <f>IF('Data Entry'!A733="","",'Data Entry'!G733)</f>
        <v/>
      </c>
      <c r="H733" s="10">
        <f>IF('Data Entry'!A733="","",'Data Entry'!H733)</f>
        <v/>
      </c>
      <c r="I733" s="10">
        <f>IF('Data Entry'!A733="","",'Data Entry'!I733)</f>
        <v/>
      </c>
      <c r="J733" s="12">
        <f>IF('Data Entry'!A733="","",IF('Data Entry'!D733&lt;&gt;"",'Data Entry'!D733,'Data Entry'!E733))</f>
        <v/>
      </c>
      <c r="K733" s="10">
        <f>IF('Data Entry'!A733="","",IFERROR(SUMIFS($H$5:$H$2001,$J$5:$J$2001,$J733,$B$5:$B$2001,$B733,$A$5:$A$2001,(MAXIFS($A$5:$A$2001,$J$5:$J$2001,$J733,$B$5:$B$2001,$B733,$A$5:$A$2001,"&lt;"&amp;$A733))),""))</f>
        <v/>
      </c>
      <c r="L733" s="14">
        <f>IF(OR('Data Entry'!A733="",$K733=""),"",$H733-$K733)</f>
        <v/>
      </c>
      <c r="M733" s="15">
        <f>IF(OR('Data Entry'!A733="",$K733="",$K733=0),"",$L733/$K733)</f>
        <v/>
      </c>
      <c r="N733" s="12">
        <f>IF('Data Entry'!A733="","",IF($L733="","New item",IF($L733&gt;0,"UP",IF($L733&lt;0,"down","same"))))</f>
        <v/>
      </c>
    </row>
    <row r="734">
      <c r="A734" s="11">
        <f>IF('Data Entry'!A734="","",'Data Entry'!A734)</f>
        <v/>
      </c>
      <c r="B734" s="12">
        <f>IF('Data Entry'!A734="","",'Data Entry'!B734)</f>
        <v/>
      </c>
      <c r="C734" s="12">
        <f>IF('Data Entry'!A734="","",'Data Entry'!C734)</f>
        <v/>
      </c>
      <c r="D734" s="12">
        <f>IF('Data Entry'!A734="","",'Data Entry'!D734)</f>
        <v/>
      </c>
      <c r="E734" s="12">
        <f>IF('Data Entry'!A734="","",'Data Entry'!E734)</f>
        <v/>
      </c>
      <c r="F734" s="12">
        <f>IF('Data Entry'!A734="","",'Data Entry'!F734)</f>
        <v/>
      </c>
      <c r="G734" s="13">
        <f>IF('Data Entry'!A734="","",'Data Entry'!G734)</f>
        <v/>
      </c>
      <c r="H734" s="10">
        <f>IF('Data Entry'!A734="","",'Data Entry'!H734)</f>
        <v/>
      </c>
      <c r="I734" s="10">
        <f>IF('Data Entry'!A734="","",'Data Entry'!I734)</f>
        <v/>
      </c>
      <c r="J734" s="12">
        <f>IF('Data Entry'!A734="","",IF('Data Entry'!D734&lt;&gt;"",'Data Entry'!D734,'Data Entry'!E734))</f>
        <v/>
      </c>
      <c r="K734" s="10">
        <f>IF('Data Entry'!A734="","",IFERROR(SUMIFS($H$5:$H$2001,$J$5:$J$2001,$J734,$B$5:$B$2001,$B734,$A$5:$A$2001,(MAXIFS($A$5:$A$2001,$J$5:$J$2001,$J734,$B$5:$B$2001,$B734,$A$5:$A$2001,"&lt;"&amp;$A734))),""))</f>
        <v/>
      </c>
      <c r="L734" s="14">
        <f>IF(OR('Data Entry'!A734="",$K734=""),"",$H734-$K734)</f>
        <v/>
      </c>
      <c r="M734" s="15">
        <f>IF(OR('Data Entry'!A734="",$K734="",$K734=0),"",$L734/$K734)</f>
        <v/>
      </c>
      <c r="N734" s="12">
        <f>IF('Data Entry'!A734="","",IF($L734="","New item",IF($L734&gt;0,"UP",IF($L734&lt;0,"down","same"))))</f>
        <v/>
      </c>
    </row>
    <row r="735">
      <c r="A735" s="11">
        <f>IF('Data Entry'!A735="","",'Data Entry'!A735)</f>
        <v/>
      </c>
      <c r="B735" s="12">
        <f>IF('Data Entry'!A735="","",'Data Entry'!B735)</f>
        <v/>
      </c>
      <c r="C735" s="12">
        <f>IF('Data Entry'!A735="","",'Data Entry'!C735)</f>
        <v/>
      </c>
      <c r="D735" s="12">
        <f>IF('Data Entry'!A735="","",'Data Entry'!D735)</f>
        <v/>
      </c>
      <c r="E735" s="12">
        <f>IF('Data Entry'!A735="","",'Data Entry'!E735)</f>
        <v/>
      </c>
      <c r="F735" s="12">
        <f>IF('Data Entry'!A735="","",'Data Entry'!F735)</f>
        <v/>
      </c>
      <c r="G735" s="13">
        <f>IF('Data Entry'!A735="","",'Data Entry'!G735)</f>
        <v/>
      </c>
      <c r="H735" s="10">
        <f>IF('Data Entry'!A735="","",'Data Entry'!H735)</f>
        <v/>
      </c>
      <c r="I735" s="10">
        <f>IF('Data Entry'!A735="","",'Data Entry'!I735)</f>
        <v/>
      </c>
      <c r="J735" s="12">
        <f>IF('Data Entry'!A735="","",IF('Data Entry'!D735&lt;&gt;"",'Data Entry'!D735,'Data Entry'!E735))</f>
        <v/>
      </c>
      <c r="K735" s="10">
        <f>IF('Data Entry'!A735="","",IFERROR(SUMIFS($H$5:$H$2001,$J$5:$J$2001,$J735,$B$5:$B$2001,$B735,$A$5:$A$2001,(MAXIFS($A$5:$A$2001,$J$5:$J$2001,$J735,$B$5:$B$2001,$B735,$A$5:$A$2001,"&lt;"&amp;$A735))),""))</f>
        <v/>
      </c>
      <c r="L735" s="14">
        <f>IF(OR('Data Entry'!A735="",$K735=""),"",$H735-$K735)</f>
        <v/>
      </c>
      <c r="M735" s="15">
        <f>IF(OR('Data Entry'!A735="",$K735="",$K735=0),"",$L735/$K735)</f>
        <v/>
      </c>
      <c r="N735" s="12">
        <f>IF('Data Entry'!A735="","",IF($L735="","New item",IF($L735&gt;0,"UP",IF($L735&lt;0,"down","same"))))</f>
        <v/>
      </c>
    </row>
    <row r="736">
      <c r="A736" s="11">
        <f>IF('Data Entry'!A736="","",'Data Entry'!A736)</f>
        <v/>
      </c>
      <c r="B736" s="12">
        <f>IF('Data Entry'!A736="","",'Data Entry'!B736)</f>
        <v/>
      </c>
      <c r="C736" s="12">
        <f>IF('Data Entry'!A736="","",'Data Entry'!C736)</f>
        <v/>
      </c>
      <c r="D736" s="12">
        <f>IF('Data Entry'!A736="","",'Data Entry'!D736)</f>
        <v/>
      </c>
      <c r="E736" s="12">
        <f>IF('Data Entry'!A736="","",'Data Entry'!E736)</f>
        <v/>
      </c>
      <c r="F736" s="12">
        <f>IF('Data Entry'!A736="","",'Data Entry'!F736)</f>
        <v/>
      </c>
      <c r="G736" s="13">
        <f>IF('Data Entry'!A736="","",'Data Entry'!G736)</f>
        <v/>
      </c>
      <c r="H736" s="10">
        <f>IF('Data Entry'!A736="","",'Data Entry'!H736)</f>
        <v/>
      </c>
      <c r="I736" s="10">
        <f>IF('Data Entry'!A736="","",'Data Entry'!I736)</f>
        <v/>
      </c>
      <c r="J736" s="12">
        <f>IF('Data Entry'!A736="","",IF('Data Entry'!D736&lt;&gt;"",'Data Entry'!D736,'Data Entry'!E736))</f>
        <v/>
      </c>
      <c r="K736" s="10">
        <f>IF('Data Entry'!A736="","",IFERROR(SUMIFS($H$5:$H$2001,$J$5:$J$2001,$J736,$B$5:$B$2001,$B736,$A$5:$A$2001,(MAXIFS($A$5:$A$2001,$J$5:$J$2001,$J736,$B$5:$B$2001,$B736,$A$5:$A$2001,"&lt;"&amp;$A736))),""))</f>
        <v/>
      </c>
      <c r="L736" s="14">
        <f>IF(OR('Data Entry'!A736="",$K736=""),"",$H736-$K736)</f>
        <v/>
      </c>
      <c r="M736" s="15">
        <f>IF(OR('Data Entry'!A736="",$K736="",$K736=0),"",$L736/$K736)</f>
        <v/>
      </c>
      <c r="N736" s="12">
        <f>IF('Data Entry'!A736="","",IF($L736="","New item",IF($L736&gt;0,"UP",IF($L736&lt;0,"down","same"))))</f>
        <v/>
      </c>
    </row>
    <row r="737">
      <c r="A737" s="11">
        <f>IF('Data Entry'!A737="","",'Data Entry'!A737)</f>
        <v/>
      </c>
      <c r="B737" s="12">
        <f>IF('Data Entry'!A737="","",'Data Entry'!B737)</f>
        <v/>
      </c>
      <c r="C737" s="12">
        <f>IF('Data Entry'!A737="","",'Data Entry'!C737)</f>
        <v/>
      </c>
      <c r="D737" s="12">
        <f>IF('Data Entry'!A737="","",'Data Entry'!D737)</f>
        <v/>
      </c>
      <c r="E737" s="12">
        <f>IF('Data Entry'!A737="","",'Data Entry'!E737)</f>
        <v/>
      </c>
      <c r="F737" s="12">
        <f>IF('Data Entry'!A737="","",'Data Entry'!F737)</f>
        <v/>
      </c>
      <c r="G737" s="13">
        <f>IF('Data Entry'!A737="","",'Data Entry'!G737)</f>
        <v/>
      </c>
      <c r="H737" s="10">
        <f>IF('Data Entry'!A737="","",'Data Entry'!H737)</f>
        <v/>
      </c>
      <c r="I737" s="10">
        <f>IF('Data Entry'!A737="","",'Data Entry'!I737)</f>
        <v/>
      </c>
      <c r="J737" s="12">
        <f>IF('Data Entry'!A737="","",IF('Data Entry'!D737&lt;&gt;"",'Data Entry'!D737,'Data Entry'!E737))</f>
        <v/>
      </c>
      <c r="K737" s="10">
        <f>IF('Data Entry'!A737="","",IFERROR(SUMIFS($H$5:$H$2001,$J$5:$J$2001,$J737,$B$5:$B$2001,$B737,$A$5:$A$2001,(MAXIFS($A$5:$A$2001,$J$5:$J$2001,$J737,$B$5:$B$2001,$B737,$A$5:$A$2001,"&lt;"&amp;$A737))),""))</f>
        <v/>
      </c>
      <c r="L737" s="14">
        <f>IF(OR('Data Entry'!A737="",$K737=""),"",$H737-$K737)</f>
        <v/>
      </c>
      <c r="M737" s="15">
        <f>IF(OR('Data Entry'!A737="",$K737="",$K737=0),"",$L737/$K737)</f>
        <v/>
      </c>
      <c r="N737" s="12">
        <f>IF('Data Entry'!A737="","",IF($L737="","New item",IF($L737&gt;0,"UP",IF($L737&lt;0,"down","same"))))</f>
        <v/>
      </c>
    </row>
    <row r="738">
      <c r="A738" s="11">
        <f>IF('Data Entry'!A738="","",'Data Entry'!A738)</f>
        <v/>
      </c>
      <c r="B738" s="12">
        <f>IF('Data Entry'!A738="","",'Data Entry'!B738)</f>
        <v/>
      </c>
      <c r="C738" s="12">
        <f>IF('Data Entry'!A738="","",'Data Entry'!C738)</f>
        <v/>
      </c>
      <c r="D738" s="12">
        <f>IF('Data Entry'!A738="","",'Data Entry'!D738)</f>
        <v/>
      </c>
      <c r="E738" s="12">
        <f>IF('Data Entry'!A738="","",'Data Entry'!E738)</f>
        <v/>
      </c>
      <c r="F738" s="12">
        <f>IF('Data Entry'!A738="","",'Data Entry'!F738)</f>
        <v/>
      </c>
      <c r="G738" s="13">
        <f>IF('Data Entry'!A738="","",'Data Entry'!G738)</f>
        <v/>
      </c>
      <c r="H738" s="10">
        <f>IF('Data Entry'!A738="","",'Data Entry'!H738)</f>
        <v/>
      </c>
      <c r="I738" s="10">
        <f>IF('Data Entry'!A738="","",'Data Entry'!I738)</f>
        <v/>
      </c>
      <c r="J738" s="12">
        <f>IF('Data Entry'!A738="","",IF('Data Entry'!D738&lt;&gt;"",'Data Entry'!D738,'Data Entry'!E738))</f>
        <v/>
      </c>
      <c r="K738" s="10">
        <f>IF('Data Entry'!A738="","",IFERROR(SUMIFS($H$5:$H$2001,$J$5:$J$2001,$J738,$B$5:$B$2001,$B738,$A$5:$A$2001,(MAXIFS($A$5:$A$2001,$J$5:$J$2001,$J738,$B$5:$B$2001,$B738,$A$5:$A$2001,"&lt;"&amp;$A738))),""))</f>
        <v/>
      </c>
      <c r="L738" s="14">
        <f>IF(OR('Data Entry'!A738="",$K738=""),"",$H738-$K738)</f>
        <v/>
      </c>
      <c r="M738" s="15">
        <f>IF(OR('Data Entry'!A738="",$K738="",$K738=0),"",$L738/$K738)</f>
        <v/>
      </c>
      <c r="N738" s="12">
        <f>IF('Data Entry'!A738="","",IF($L738="","New item",IF($L738&gt;0,"UP",IF($L738&lt;0,"down","same"))))</f>
        <v/>
      </c>
    </row>
    <row r="739">
      <c r="A739" s="11">
        <f>IF('Data Entry'!A739="","",'Data Entry'!A739)</f>
        <v/>
      </c>
      <c r="B739" s="12">
        <f>IF('Data Entry'!A739="","",'Data Entry'!B739)</f>
        <v/>
      </c>
      <c r="C739" s="12">
        <f>IF('Data Entry'!A739="","",'Data Entry'!C739)</f>
        <v/>
      </c>
      <c r="D739" s="12">
        <f>IF('Data Entry'!A739="","",'Data Entry'!D739)</f>
        <v/>
      </c>
      <c r="E739" s="12">
        <f>IF('Data Entry'!A739="","",'Data Entry'!E739)</f>
        <v/>
      </c>
      <c r="F739" s="12">
        <f>IF('Data Entry'!A739="","",'Data Entry'!F739)</f>
        <v/>
      </c>
      <c r="G739" s="13">
        <f>IF('Data Entry'!A739="","",'Data Entry'!G739)</f>
        <v/>
      </c>
      <c r="H739" s="10">
        <f>IF('Data Entry'!A739="","",'Data Entry'!H739)</f>
        <v/>
      </c>
      <c r="I739" s="10">
        <f>IF('Data Entry'!A739="","",'Data Entry'!I739)</f>
        <v/>
      </c>
      <c r="J739" s="12">
        <f>IF('Data Entry'!A739="","",IF('Data Entry'!D739&lt;&gt;"",'Data Entry'!D739,'Data Entry'!E739))</f>
        <v/>
      </c>
      <c r="K739" s="10">
        <f>IF('Data Entry'!A739="","",IFERROR(SUMIFS($H$5:$H$2001,$J$5:$J$2001,$J739,$B$5:$B$2001,$B739,$A$5:$A$2001,(MAXIFS($A$5:$A$2001,$J$5:$J$2001,$J739,$B$5:$B$2001,$B739,$A$5:$A$2001,"&lt;"&amp;$A739))),""))</f>
        <v/>
      </c>
      <c r="L739" s="14">
        <f>IF(OR('Data Entry'!A739="",$K739=""),"",$H739-$K739)</f>
        <v/>
      </c>
      <c r="M739" s="15">
        <f>IF(OR('Data Entry'!A739="",$K739="",$K739=0),"",$L739/$K739)</f>
        <v/>
      </c>
      <c r="N739" s="12">
        <f>IF('Data Entry'!A739="","",IF($L739="","New item",IF($L739&gt;0,"UP",IF($L739&lt;0,"down","same"))))</f>
        <v/>
      </c>
    </row>
    <row r="740">
      <c r="A740" s="11">
        <f>IF('Data Entry'!A740="","",'Data Entry'!A740)</f>
        <v/>
      </c>
      <c r="B740" s="12">
        <f>IF('Data Entry'!A740="","",'Data Entry'!B740)</f>
        <v/>
      </c>
      <c r="C740" s="12">
        <f>IF('Data Entry'!A740="","",'Data Entry'!C740)</f>
        <v/>
      </c>
      <c r="D740" s="12">
        <f>IF('Data Entry'!A740="","",'Data Entry'!D740)</f>
        <v/>
      </c>
      <c r="E740" s="12">
        <f>IF('Data Entry'!A740="","",'Data Entry'!E740)</f>
        <v/>
      </c>
      <c r="F740" s="12">
        <f>IF('Data Entry'!A740="","",'Data Entry'!F740)</f>
        <v/>
      </c>
      <c r="G740" s="13">
        <f>IF('Data Entry'!A740="","",'Data Entry'!G740)</f>
        <v/>
      </c>
      <c r="H740" s="10">
        <f>IF('Data Entry'!A740="","",'Data Entry'!H740)</f>
        <v/>
      </c>
      <c r="I740" s="10">
        <f>IF('Data Entry'!A740="","",'Data Entry'!I740)</f>
        <v/>
      </c>
      <c r="J740" s="12">
        <f>IF('Data Entry'!A740="","",IF('Data Entry'!D740&lt;&gt;"",'Data Entry'!D740,'Data Entry'!E740))</f>
        <v/>
      </c>
      <c r="K740" s="10">
        <f>IF('Data Entry'!A740="","",IFERROR(SUMIFS($H$5:$H$2001,$J$5:$J$2001,$J740,$B$5:$B$2001,$B740,$A$5:$A$2001,(MAXIFS($A$5:$A$2001,$J$5:$J$2001,$J740,$B$5:$B$2001,$B740,$A$5:$A$2001,"&lt;"&amp;$A740))),""))</f>
        <v/>
      </c>
      <c r="L740" s="14">
        <f>IF(OR('Data Entry'!A740="",$K740=""),"",$H740-$K740)</f>
        <v/>
      </c>
      <c r="M740" s="15">
        <f>IF(OR('Data Entry'!A740="",$K740="",$K740=0),"",$L740/$K740)</f>
        <v/>
      </c>
      <c r="N740" s="12">
        <f>IF('Data Entry'!A740="","",IF($L740="","New item",IF($L740&gt;0,"UP",IF($L740&lt;0,"down","same"))))</f>
        <v/>
      </c>
    </row>
    <row r="741">
      <c r="A741" s="11">
        <f>IF('Data Entry'!A741="","",'Data Entry'!A741)</f>
        <v/>
      </c>
      <c r="B741" s="12">
        <f>IF('Data Entry'!A741="","",'Data Entry'!B741)</f>
        <v/>
      </c>
      <c r="C741" s="12">
        <f>IF('Data Entry'!A741="","",'Data Entry'!C741)</f>
        <v/>
      </c>
      <c r="D741" s="12">
        <f>IF('Data Entry'!A741="","",'Data Entry'!D741)</f>
        <v/>
      </c>
      <c r="E741" s="12">
        <f>IF('Data Entry'!A741="","",'Data Entry'!E741)</f>
        <v/>
      </c>
      <c r="F741" s="12">
        <f>IF('Data Entry'!A741="","",'Data Entry'!F741)</f>
        <v/>
      </c>
      <c r="G741" s="13">
        <f>IF('Data Entry'!A741="","",'Data Entry'!G741)</f>
        <v/>
      </c>
      <c r="H741" s="10">
        <f>IF('Data Entry'!A741="","",'Data Entry'!H741)</f>
        <v/>
      </c>
      <c r="I741" s="10">
        <f>IF('Data Entry'!A741="","",'Data Entry'!I741)</f>
        <v/>
      </c>
      <c r="J741" s="12">
        <f>IF('Data Entry'!A741="","",IF('Data Entry'!D741&lt;&gt;"",'Data Entry'!D741,'Data Entry'!E741))</f>
        <v/>
      </c>
      <c r="K741" s="10">
        <f>IF('Data Entry'!A741="","",IFERROR(SUMIFS($H$5:$H$2001,$J$5:$J$2001,$J741,$B$5:$B$2001,$B741,$A$5:$A$2001,(MAXIFS($A$5:$A$2001,$J$5:$J$2001,$J741,$B$5:$B$2001,$B741,$A$5:$A$2001,"&lt;"&amp;$A741))),""))</f>
        <v/>
      </c>
      <c r="L741" s="14">
        <f>IF(OR('Data Entry'!A741="",$K741=""),"",$H741-$K741)</f>
        <v/>
      </c>
      <c r="M741" s="15">
        <f>IF(OR('Data Entry'!A741="",$K741="",$K741=0),"",$L741/$K741)</f>
        <v/>
      </c>
      <c r="N741" s="12">
        <f>IF('Data Entry'!A741="","",IF($L741="","New item",IF($L741&gt;0,"UP",IF($L741&lt;0,"down","same"))))</f>
        <v/>
      </c>
    </row>
    <row r="742">
      <c r="A742" s="11">
        <f>IF('Data Entry'!A742="","",'Data Entry'!A742)</f>
        <v/>
      </c>
      <c r="B742" s="12">
        <f>IF('Data Entry'!A742="","",'Data Entry'!B742)</f>
        <v/>
      </c>
      <c r="C742" s="12">
        <f>IF('Data Entry'!A742="","",'Data Entry'!C742)</f>
        <v/>
      </c>
      <c r="D742" s="12">
        <f>IF('Data Entry'!A742="","",'Data Entry'!D742)</f>
        <v/>
      </c>
      <c r="E742" s="12">
        <f>IF('Data Entry'!A742="","",'Data Entry'!E742)</f>
        <v/>
      </c>
      <c r="F742" s="12">
        <f>IF('Data Entry'!A742="","",'Data Entry'!F742)</f>
        <v/>
      </c>
      <c r="G742" s="13">
        <f>IF('Data Entry'!A742="","",'Data Entry'!G742)</f>
        <v/>
      </c>
      <c r="H742" s="10">
        <f>IF('Data Entry'!A742="","",'Data Entry'!H742)</f>
        <v/>
      </c>
      <c r="I742" s="10">
        <f>IF('Data Entry'!A742="","",'Data Entry'!I742)</f>
        <v/>
      </c>
      <c r="J742" s="12">
        <f>IF('Data Entry'!A742="","",IF('Data Entry'!D742&lt;&gt;"",'Data Entry'!D742,'Data Entry'!E742))</f>
        <v/>
      </c>
      <c r="K742" s="10">
        <f>IF('Data Entry'!A742="","",IFERROR(SUMIFS($H$5:$H$2001,$J$5:$J$2001,$J742,$B$5:$B$2001,$B742,$A$5:$A$2001,(MAXIFS($A$5:$A$2001,$J$5:$J$2001,$J742,$B$5:$B$2001,$B742,$A$5:$A$2001,"&lt;"&amp;$A742))),""))</f>
        <v/>
      </c>
      <c r="L742" s="14">
        <f>IF(OR('Data Entry'!A742="",$K742=""),"",$H742-$K742)</f>
        <v/>
      </c>
      <c r="M742" s="15">
        <f>IF(OR('Data Entry'!A742="",$K742="",$K742=0),"",$L742/$K742)</f>
        <v/>
      </c>
      <c r="N742" s="12">
        <f>IF('Data Entry'!A742="","",IF($L742="","New item",IF($L742&gt;0,"UP",IF($L742&lt;0,"down","same"))))</f>
        <v/>
      </c>
    </row>
    <row r="743">
      <c r="A743" s="11">
        <f>IF('Data Entry'!A743="","",'Data Entry'!A743)</f>
        <v/>
      </c>
      <c r="B743" s="12">
        <f>IF('Data Entry'!A743="","",'Data Entry'!B743)</f>
        <v/>
      </c>
      <c r="C743" s="12">
        <f>IF('Data Entry'!A743="","",'Data Entry'!C743)</f>
        <v/>
      </c>
      <c r="D743" s="12">
        <f>IF('Data Entry'!A743="","",'Data Entry'!D743)</f>
        <v/>
      </c>
      <c r="E743" s="12">
        <f>IF('Data Entry'!A743="","",'Data Entry'!E743)</f>
        <v/>
      </c>
      <c r="F743" s="12">
        <f>IF('Data Entry'!A743="","",'Data Entry'!F743)</f>
        <v/>
      </c>
      <c r="G743" s="13">
        <f>IF('Data Entry'!A743="","",'Data Entry'!G743)</f>
        <v/>
      </c>
      <c r="H743" s="10">
        <f>IF('Data Entry'!A743="","",'Data Entry'!H743)</f>
        <v/>
      </c>
      <c r="I743" s="10">
        <f>IF('Data Entry'!A743="","",'Data Entry'!I743)</f>
        <v/>
      </c>
      <c r="J743" s="12">
        <f>IF('Data Entry'!A743="","",IF('Data Entry'!D743&lt;&gt;"",'Data Entry'!D743,'Data Entry'!E743))</f>
        <v/>
      </c>
      <c r="K743" s="10">
        <f>IF('Data Entry'!A743="","",IFERROR(SUMIFS($H$5:$H$2001,$J$5:$J$2001,$J743,$B$5:$B$2001,$B743,$A$5:$A$2001,(MAXIFS($A$5:$A$2001,$J$5:$J$2001,$J743,$B$5:$B$2001,$B743,$A$5:$A$2001,"&lt;"&amp;$A743))),""))</f>
        <v/>
      </c>
      <c r="L743" s="14">
        <f>IF(OR('Data Entry'!A743="",$K743=""),"",$H743-$K743)</f>
        <v/>
      </c>
      <c r="M743" s="15">
        <f>IF(OR('Data Entry'!A743="",$K743="",$K743=0),"",$L743/$K743)</f>
        <v/>
      </c>
      <c r="N743" s="12">
        <f>IF('Data Entry'!A743="","",IF($L743="","New item",IF($L743&gt;0,"UP",IF($L743&lt;0,"down","same"))))</f>
        <v/>
      </c>
    </row>
    <row r="744">
      <c r="A744" s="11">
        <f>IF('Data Entry'!A744="","",'Data Entry'!A744)</f>
        <v/>
      </c>
      <c r="B744" s="12">
        <f>IF('Data Entry'!A744="","",'Data Entry'!B744)</f>
        <v/>
      </c>
      <c r="C744" s="12">
        <f>IF('Data Entry'!A744="","",'Data Entry'!C744)</f>
        <v/>
      </c>
      <c r="D744" s="12">
        <f>IF('Data Entry'!A744="","",'Data Entry'!D744)</f>
        <v/>
      </c>
      <c r="E744" s="12">
        <f>IF('Data Entry'!A744="","",'Data Entry'!E744)</f>
        <v/>
      </c>
      <c r="F744" s="12">
        <f>IF('Data Entry'!A744="","",'Data Entry'!F744)</f>
        <v/>
      </c>
      <c r="G744" s="13">
        <f>IF('Data Entry'!A744="","",'Data Entry'!G744)</f>
        <v/>
      </c>
      <c r="H744" s="10">
        <f>IF('Data Entry'!A744="","",'Data Entry'!H744)</f>
        <v/>
      </c>
      <c r="I744" s="10">
        <f>IF('Data Entry'!A744="","",'Data Entry'!I744)</f>
        <v/>
      </c>
      <c r="J744" s="12">
        <f>IF('Data Entry'!A744="","",IF('Data Entry'!D744&lt;&gt;"",'Data Entry'!D744,'Data Entry'!E744))</f>
        <v/>
      </c>
      <c r="K744" s="10">
        <f>IF('Data Entry'!A744="","",IFERROR(SUMIFS($H$5:$H$2001,$J$5:$J$2001,$J744,$B$5:$B$2001,$B744,$A$5:$A$2001,(MAXIFS($A$5:$A$2001,$J$5:$J$2001,$J744,$B$5:$B$2001,$B744,$A$5:$A$2001,"&lt;"&amp;$A744))),""))</f>
        <v/>
      </c>
      <c r="L744" s="14">
        <f>IF(OR('Data Entry'!A744="",$K744=""),"",$H744-$K744)</f>
        <v/>
      </c>
      <c r="M744" s="15">
        <f>IF(OR('Data Entry'!A744="",$K744="",$K744=0),"",$L744/$K744)</f>
        <v/>
      </c>
      <c r="N744" s="12">
        <f>IF('Data Entry'!A744="","",IF($L744="","New item",IF($L744&gt;0,"UP",IF($L744&lt;0,"down","same"))))</f>
        <v/>
      </c>
    </row>
    <row r="745">
      <c r="A745" s="11">
        <f>IF('Data Entry'!A745="","",'Data Entry'!A745)</f>
        <v/>
      </c>
      <c r="B745" s="12">
        <f>IF('Data Entry'!A745="","",'Data Entry'!B745)</f>
        <v/>
      </c>
      <c r="C745" s="12">
        <f>IF('Data Entry'!A745="","",'Data Entry'!C745)</f>
        <v/>
      </c>
      <c r="D745" s="12">
        <f>IF('Data Entry'!A745="","",'Data Entry'!D745)</f>
        <v/>
      </c>
      <c r="E745" s="12">
        <f>IF('Data Entry'!A745="","",'Data Entry'!E745)</f>
        <v/>
      </c>
      <c r="F745" s="12">
        <f>IF('Data Entry'!A745="","",'Data Entry'!F745)</f>
        <v/>
      </c>
      <c r="G745" s="13">
        <f>IF('Data Entry'!A745="","",'Data Entry'!G745)</f>
        <v/>
      </c>
      <c r="H745" s="10">
        <f>IF('Data Entry'!A745="","",'Data Entry'!H745)</f>
        <v/>
      </c>
      <c r="I745" s="10">
        <f>IF('Data Entry'!A745="","",'Data Entry'!I745)</f>
        <v/>
      </c>
      <c r="J745" s="12">
        <f>IF('Data Entry'!A745="","",IF('Data Entry'!D745&lt;&gt;"",'Data Entry'!D745,'Data Entry'!E745))</f>
        <v/>
      </c>
      <c r="K745" s="10">
        <f>IF('Data Entry'!A745="","",IFERROR(SUMIFS($H$5:$H$2001,$J$5:$J$2001,$J745,$B$5:$B$2001,$B745,$A$5:$A$2001,(MAXIFS($A$5:$A$2001,$J$5:$J$2001,$J745,$B$5:$B$2001,$B745,$A$5:$A$2001,"&lt;"&amp;$A745))),""))</f>
        <v/>
      </c>
      <c r="L745" s="14">
        <f>IF(OR('Data Entry'!A745="",$K745=""),"",$H745-$K745)</f>
        <v/>
      </c>
      <c r="M745" s="15">
        <f>IF(OR('Data Entry'!A745="",$K745="",$K745=0),"",$L745/$K745)</f>
        <v/>
      </c>
      <c r="N745" s="12">
        <f>IF('Data Entry'!A745="","",IF($L745="","New item",IF($L745&gt;0,"UP",IF($L745&lt;0,"down","same"))))</f>
        <v/>
      </c>
    </row>
    <row r="746">
      <c r="A746" s="11">
        <f>IF('Data Entry'!A746="","",'Data Entry'!A746)</f>
        <v/>
      </c>
      <c r="B746" s="12">
        <f>IF('Data Entry'!A746="","",'Data Entry'!B746)</f>
        <v/>
      </c>
      <c r="C746" s="12">
        <f>IF('Data Entry'!A746="","",'Data Entry'!C746)</f>
        <v/>
      </c>
      <c r="D746" s="12">
        <f>IF('Data Entry'!A746="","",'Data Entry'!D746)</f>
        <v/>
      </c>
      <c r="E746" s="12">
        <f>IF('Data Entry'!A746="","",'Data Entry'!E746)</f>
        <v/>
      </c>
      <c r="F746" s="12">
        <f>IF('Data Entry'!A746="","",'Data Entry'!F746)</f>
        <v/>
      </c>
      <c r="G746" s="13">
        <f>IF('Data Entry'!A746="","",'Data Entry'!G746)</f>
        <v/>
      </c>
      <c r="H746" s="10">
        <f>IF('Data Entry'!A746="","",'Data Entry'!H746)</f>
        <v/>
      </c>
      <c r="I746" s="10">
        <f>IF('Data Entry'!A746="","",'Data Entry'!I746)</f>
        <v/>
      </c>
      <c r="J746" s="12">
        <f>IF('Data Entry'!A746="","",IF('Data Entry'!D746&lt;&gt;"",'Data Entry'!D746,'Data Entry'!E746))</f>
        <v/>
      </c>
      <c r="K746" s="10">
        <f>IF('Data Entry'!A746="","",IFERROR(SUMIFS($H$5:$H$2001,$J$5:$J$2001,$J746,$B$5:$B$2001,$B746,$A$5:$A$2001,(MAXIFS($A$5:$A$2001,$J$5:$J$2001,$J746,$B$5:$B$2001,$B746,$A$5:$A$2001,"&lt;"&amp;$A746))),""))</f>
        <v/>
      </c>
      <c r="L746" s="14">
        <f>IF(OR('Data Entry'!A746="",$K746=""),"",$H746-$K746)</f>
        <v/>
      </c>
      <c r="M746" s="15">
        <f>IF(OR('Data Entry'!A746="",$K746="",$K746=0),"",$L746/$K746)</f>
        <v/>
      </c>
      <c r="N746" s="12">
        <f>IF('Data Entry'!A746="","",IF($L746="","New item",IF($L746&gt;0,"UP",IF($L746&lt;0,"down","same"))))</f>
        <v/>
      </c>
    </row>
    <row r="747">
      <c r="A747" s="11">
        <f>IF('Data Entry'!A747="","",'Data Entry'!A747)</f>
        <v/>
      </c>
      <c r="B747" s="12">
        <f>IF('Data Entry'!A747="","",'Data Entry'!B747)</f>
        <v/>
      </c>
      <c r="C747" s="12">
        <f>IF('Data Entry'!A747="","",'Data Entry'!C747)</f>
        <v/>
      </c>
      <c r="D747" s="12">
        <f>IF('Data Entry'!A747="","",'Data Entry'!D747)</f>
        <v/>
      </c>
      <c r="E747" s="12">
        <f>IF('Data Entry'!A747="","",'Data Entry'!E747)</f>
        <v/>
      </c>
      <c r="F747" s="12">
        <f>IF('Data Entry'!A747="","",'Data Entry'!F747)</f>
        <v/>
      </c>
      <c r="G747" s="13">
        <f>IF('Data Entry'!A747="","",'Data Entry'!G747)</f>
        <v/>
      </c>
      <c r="H747" s="10">
        <f>IF('Data Entry'!A747="","",'Data Entry'!H747)</f>
        <v/>
      </c>
      <c r="I747" s="10">
        <f>IF('Data Entry'!A747="","",'Data Entry'!I747)</f>
        <v/>
      </c>
      <c r="J747" s="12">
        <f>IF('Data Entry'!A747="","",IF('Data Entry'!D747&lt;&gt;"",'Data Entry'!D747,'Data Entry'!E747))</f>
        <v/>
      </c>
      <c r="K747" s="10">
        <f>IF('Data Entry'!A747="","",IFERROR(SUMIFS($H$5:$H$2001,$J$5:$J$2001,$J747,$B$5:$B$2001,$B747,$A$5:$A$2001,(MAXIFS($A$5:$A$2001,$J$5:$J$2001,$J747,$B$5:$B$2001,$B747,$A$5:$A$2001,"&lt;"&amp;$A747))),""))</f>
        <v/>
      </c>
      <c r="L747" s="14">
        <f>IF(OR('Data Entry'!A747="",$K747=""),"",$H747-$K747)</f>
        <v/>
      </c>
      <c r="M747" s="15">
        <f>IF(OR('Data Entry'!A747="",$K747="",$K747=0),"",$L747/$K747)</f>
        <v/>
      </c>
      <c r="N747" s="12">
        <f>IF('Data Entry'!A747="","",IF($L747="","New item",IF($L747&gt;0,"UP",IF($L747&lt;0,"down","same"))))</f>
        <v/>
      </c>
    </row>
    <row r="748">
      <c r="A748" s="11">
        <f>IF('Data Entry'!A748="","",'Data Entry'!A748)</f>
        <v/>
      </c>
      <c r="B748" s="12">
        <f>IF('Data Entry'!A748="","",'Data Entry'!B748)</f>
        <v/>
      </c>
      <c r="C748" s="12">
        <f>IF('Data Entry'!A748="","",'Data Entry'!C748)</f>
        <v/>
      </c>
      <c r="D748" s="12">
        <f>IF('Data Entry'!A748="","",'Data Entry'!D748)</f>
        <v/>
      </c>
      <c r="E748" s="12">
        <f>IF('Data Entry'!A748="","",'Data Entry'!E748)</f>
        <v/>
      </c>
      <c r="F748" s="12">
        <f>IF('Data Entry'!A748="","",'Data Entry'!F748)</f>
        <v/>
      </c>
      <c r="G748" s="13">
        <f>IF('Data Entry'!A748="","",'Data Entry'!G748)</f>
        <v/>
      </c>
      <c r="H748" s="10">
        <f>IF('Data Entry'!A748="","",'Data Entry'!H748)</f>
        <v/>
      </c>
      <c r="I748" s="10">
        <f>IF('Data Entry'!A748="","",'Data Entry'!I748)</f>
        <v/>
      </c>
      <c r="J748" s="12">
        <f>IF('Data Entry'!A748="","",IF('Data Entry'!D748&lt;&gt;"",'Data Entry'!D748,'Data Entry'!E748))</f>
        <v/>
      </c>
      <c r="K748" s="10">
        <f>IF('Data Entry'!A748="","",IFERROR(SUMIFS($H$5:$H$2001,$J$5:$J$2001,$J748,$B$5:$B$2001,$B748,$A$5:$A$2001,(MAXIFS($A$5:$A$2001,$J$5:$J$2001,$J748,$B$5:$B$2001,$B748,$A$5:$A$2001,"&lt;"&amp;$A748))),""))</f>
        <v/>
      </c>
      <c r="L748" s="14">
        <f>IF(OR('Data Entry'!A748="",$K748=""),"",$H748-$K748)</f>
        <v/>
      </c>
      <c r="M748" s="15">
        <f>IF(OR('Data Entry'!A748="",$K748="",$K748=0),"",$L748/$K748)</f>
        <v/>
      </c>
      <c r="N748" s="12">
        <f>IF('Data Entry'!A748="","",IF($L748="","New item",IF($L748&gt;0,"UP",IF($L748&lt;0,"down","same"))))</f>
        <v/>
      </c>
    </row>
    <row r="749">
      <c r="A749" s="11">
        <f>IF('Data Entry'!A749="","",'Data Entry'!A749)</f>
        <v/>
      </c>
      <c r="B749" s="12">
        <f>IF('Data Entry'!A749="","",'Data Entry'!B749)</f>
        <v/>
      </c>
      <c r="C749" s="12">
        <f>IF('Data Entry'!A749="","",'Data Entry'!C749)</f>
        <v/>
      </c>
      <c r="D749" s="12">
        <f>IF('Data Entry'!A749="","",'Data Entry'!D749)</f>
        <v/>
      </c>
      <c r="E749" s="12">
        <f>IF('Data Entry'!A749="","",'Data Entry'!E749)</f>
        <v/>
      </c>
      <c r="F749" s="12">
        <f>IF('Data Entry'!A749="","",'Data Entry'!F749)</f>
        <v/>
      </c>
      <c r="G749" s="13">
        <f>IF('Data Entry'!A749="","",'Data Entry'!G749)</f>
        <v/>
      </c>
      <c r="H749" s="10">
        <f>IF('Data Entry'!A749="","",'Data Entry'!H749)</f>
        <v/>
      </c>
      <c r="I749" s="10">
        <f>IF('Data Entry'!A749="","",'Data Entry'!I749)</f>
        <v/>
      </c>
      <c r="J749" s="12">
        <f>IF('Data Entry'!A749="","",IF('Data Entry'!D749&lt;&gt;"",'Data Entry'!D749,'Data Entry'!E749))</f>
        <v/>
      </c>
      <c r="K749" s="10">
        <f>IF('Data Entry'!A749="","",IFERROR(SUMIFS($H$5:$H$2001,$J$5:$J$2001,$J749,$B$5:$B$2001,$B749,$A$5:$A$2001,(MAXIFS($A$5:$A$2001,$J$5:$J$2001,$J749,$B$5:$B$2001,$B749,$A$5:$A$2001,"&lt;"&amp;$A749))),""))</f>
        <v/>
      </c>
      <c r="L749" s="14">
        <f>IF(OR('Data Entry'!A749="",$K749=""),"",$H749-$K749)</f>
        <v/>
      </c>
      <c r="M749" s="15">
        <f>IF(OR('Data Entry'!A749="",$K749="",$K749=0),"",$L749/$K749)</f>
        <v/>
      </c>
      <c r="N749" s="12">
        <f>IF('Data Entry'!A749="","",IF($L749="","New item",IF($L749&gt;0,"UP",IF($L749&lt;0,"down","same"))))</f>
        <v/>
      </c>
    </row>
    <row r="750">
      <c r="A750" s="11">
        <f>IF('Data Entry'!A750="","",'Data Entry'!A750)</f>
        <v/>
      </c>
      <c r="B750" s="12">
        <f>IF('Data Entry'!A750="","",'Data Entry'!B750)</f>
        <v/>
      </c>
      <c r="C750" s="12">
        <f>IF('Data Entry'!A750="","",'Data Entry'!C750)</f>
        <v/>
      </c>
      <c r="D750" s="12">
        <f>IF('Data Entry'!A750="","",'Data Entry'!D750)</f>
        <v/>
      </c>
      <c r="E750" s="12">
        <f>IF('Data Entry'!A750="","",'Data Entry'!E750)</f>
        <v/>
      </c>
      <c r="F750" s="12">
        <f>IF('Data Entry'!A750="","",'Data Entry'!F750)</f>
        <v/>
      </c>
      <c r="G750" s="13">
        <f>IF('Data Entry'!A750="","",'Data Entry'!G750)</f>
        <v/>
      </c>
      <c r="H750" s="10">
        <f>IF('Data Entry'!A750="","",'Data Entry'!H750)</f>
        <v/>
      </c>
      <c r="I750" s="10">
        <f>IF('Data Entry'!A750="","",'Data Entry'!I750)</f>
        <v/>
      </c>
      <c r="J750" s="12">
        <f>IF('Data Entry'!A750="","",IF('Data Entry'!D750&lt;&gt;"",'Data Entry'!D750,'Data Entry'!E750))</f>
        <v/>
      </c>
      <c r="K750" s="10">
        <f>IF('Data Entry'!A750="","",IFERROR(SUMIFS($H$5:$H$2001,$J$5:$J$2001,$J750,$B$5:$B$2001,$B750,$A$5:$A$2001,(MAXIFS($A$5:$A$2001,$J$5:$J$2001,$J750,$B$5:$B$2001,$B750,$A$5:$A$2001,"&lt;"&amp;$A750))),""))</f>
        <v/>
      </c>
      <c r="L750" s="14">
        <f>IF(OR('Data Entry'!A750="",$K750=""),"",$H750-$K750)</f>
        <v/>
      </c>
      <c r="M750" s="15">
        <f>IF(OR('Data Entry'!A750="",$K750="",$K750=0),"",$L750/$K750)</f>
        <v/>
      </c>
      <c r="N750" s="12">
        <f>IF('Data Entry'!A750="","",IF($L750="","New item",IF($L750&gt;0,"UP",IF($L750&lt;0,"down","same"))))</f>
        <v/>
      </c>
    </row>
    <row r="751">
      <c r="A751" s="11">
        <f>IF('Data Entry'!A751="","",'Data Entry'!A751)</f>
        <v/>
      </c>
      <c r="B751" s="12">
        <f>IF('Data Entry'!A751="","",'Data Entry'!B751)</f>
        <v/>
      </c>
      <c r="C751" s="12">
        <f>IF('Data Entry'!A751="","",'Data Entry'!C751)</f>
        <v/>
      </c>
      <c r="D751" s="12">
        <f>IF('Data Entry'!A751="","",'Data Entry'!D751)</f>
        <v/>
      </c>
      <c r="E751" s="12">
        <f>IF('Data Entry'!A751="","",'Data Entry'!E751)</f>
        <v/>
      </c>
      <c r="F751" s="12">
        <f>IF('Data Entry'!A751="","",'Data Entry'!F751)</f>
        <v/>
      </c>
      <c r="G751" s="13">
        <f>IF('Data Entry'!A751="","",'Data Entry'!G751)</f>
        <v/>
      </c>
      <c r="H751" s="10">
        <f>IF('Data Entry'!A751="","",'Data Entry'!H751)</f>
        <v/>
      </c>
      <c r="I751" s="10">
        <f>IF('Data Entry'!A751="","",'Data Entry'!I751)</f>
        <v/>
      </c>
      <c r="J751" s="12">
        <f>IF('Data Entry'!A751="","",IF('Data Entry'!D751&lt;&gt;"",'Data Entry'!D751,'Data Entry'!E751))</f>
        <v/>
      </c>
      <c r="K751" s="10">
        <f>IF('Data Entry'!A751="","",IFERROR(SUMIFS($H$5:$H$2001,$J$5:$J$2001,$J751,$B$5:$B$2001,$B751,$A$5:$A$2001,(MAXIFS($A$5:$A$2001,$J$5:$J$2001,$J751,$B$5:$B$2001,$B751,$A$5:$A$2001,"&lt;"&amp;$A751))),""))</f>
        <v/>
      </c>
      <c r="L751" s="14">
        <f>IF(OR('Data Entry'!A751="",$K751=""),"",$H751-$K751)</f>
        <v/>
      </c>
      <c r="M751" s="15">
        <f>IF(OR('Data Entry'!A751="",$K751="",$K751=0),"",$L751/$K751)</f>
        <v/>
      </c>
      <c r="N751" s="12">
        <f>IF('Data Entry'!A751="","",IF($L751="","New item",IF($L751&gt;0,"UP",IF($L751&lt;0,"down","same"))))</f>
        <v/>
      </c>
    </row>
    <row r="752">
      <c r="A752" s="11">
        <f>IF('Data Entry'!A752="","",'Data Entry'!A752)</f>
        <v/>
      </c>
      <c r="B752" s="12">
        <f>IF('Data Entry'!A752="","",'Data Entry'!B752)</f>
        <v/>
      </c>
      <c r="C752" s="12">
        <f>IF('Data Entry'!A752="","",'Data Entry'!C752)</f>
        <v/>
      </c>
      <c r="D752" s="12">
        <f>IF('Data Entry'!A752="","",'Data Entry'!D752)</f>
        <v/>
      </c>
      <c r="E752" s="12">
        <f>IF('Data Entry'!A752="","",'Data Entry'!E752)</f>
        <v/>
      </c>
      <c r="F752" s="12">
        <f>IF('Data Entry'!A752="","",'Data Entry'!F752)</f>
        <v/>
      </c>
      <c r="G752" s="13">
        <f>IF('Data Entry'!A752="","",'Data Entry'!G752)</f>
        <v/>
      </c>
      <c r="H752" s="10">
        <f>IF('Data Entry'!A752="","",'Data Entry'!H752)</f>
        <v/>
      </c>
      <c r="I752" s="10">
        <f>IF('Data Entry'!A752="","",'Data Entry'!I752)</f>
        <v/>
      </c>
      <c r="J752" s="12">
        <f>IF('Data Entry'!A752="","",IF('Data Entry'!D752&lt;&gt;"",'Data Entry'!D752,'Data Entry'!E752))</f>
        <v/>
      </c>
      <c r="K752" s="10">
        <f>IF('Data Entry'!A752="","",IFERROR(SUMIFS($H$5:$H$2001,$J$5:$J$2001,$J752,$B$5:$B$2001,$B752,$A$5:$A$2001,(MAXIFS($A$5:$A$2001,$J$5:$J$2001,$J752,$B$5:$B$2001,$B752,$A$5:$A$2001,"&lt;"&amp;$A752))),""))</f>
        <v/>
      </c>
      <c r="L752" s="14">
        <f>IF(OR('Data Entry'!A752="",$K752=""),"",$H752-$K752)</f>
        <v/>
      </c>
      <c r="M752" s="15">
        <f>IF(OR('Data Entry'!A752="",$K752="",$K752=0),"",$L752/$K752)</f>
        <v/>
      </c>
      <c r="N752" s="12">
        <f>IF('Data Entry'!A752="","",IF($L752="","New item",IF($L752&gt;0,"UP",IF($L752&lt;0,"down","same"))))</f>
        <v/>
      </c>
    </row>
    <row r="753">
      <c r="A753" s="11">
        <f>IF('Data Entry'!A753="","",'Data Entry'!A753)</f>
        <v/>
      </c>
      <c r="B753" s="12">
        <f>IF('Data Entry'!A753="","",'Data Entry'!B753)</f>
        <v/>
      </c>
      <c r="C753" s="12">
        <f>IF('Data Entry'!A753="","",'Data Entry'!C753)</f>
        <v/>
      </c>
      <c r="D753" s="12">
        <f>IF('Data Entry'!A753="","",'Data Entry'!D753)</f>
        <v/>
      </c>
      <c r="E753" s="12">
        <f>IF('Data Entry'!A753="","",'Data Entry'!E753)</f>
        <v/>
      </c>
      <c r="F753" s="12">
        <f>IF('Data Entry'!A753="","",'Data Entry'!F753)</f>
        <v/>
      </c>
      <c r="G753" s="13">
        <f>IF('Data Entry'!A753="","",'Data Entry'!G753)</f>
        <v/>
      </c>
      <c r="H753" s="10">
        <f>IF('Data Entry'!A753="","",'Data Entry'!H753)</f>
        <v/>
      </c>
      <c r="I753" s="10">
        <f>IF('Data Entry'!A753="","",'Data Entry'!I753)</f>
        <v/>
      </c>
      <c r="J753" s="12">
        <f>IF('Data Entry'!A753="","",IF('Data Entry'!D753&lt;&gt;"",'Data Entry'!D753,'Data Entry'!E753))</f>
        <v/>
      </c>
      <c r="K753" s="10">
        <f>IF('Data Entry'!A753="","",IFERROR(SUMIFS($H$5:$H$2001,$J$5:$J$2001,$J753,$B$5:$B$2001,$B753,$A$5:$A$2001,(MAXIFS($A$5:$A$2001,$J$5:$J$2001,$J753,$B$5:$B$2001,$B753,$A$5:$A$2001,"&lt;"&amp;$A753))),""))</f>
        <v/>
      </c>
      <c r="L753" s="14">
        <f>IF(OR('Data Entry'!A753="",$K753=""),"",$H753-$K753)</f>
        <v/>
      </c>
      <c r="M753" s="15">
        <f>IF(OR('Data Entry'!A753="",$K753="",$K753=0),"",$L753/$K753)</f>
        <v/>
      </c>
      <c r="N753" s="12">
        <f>IF('Data Entry'!A753="","",IF($L753="","New item",IF($L753&gt;0,"UP",IF($L753&lt;0,"down","same"))))</f>
        <v/>
      </c>
    </row>
    <row r="754">
      <c r="A754" s="11">
        <f>IF('Data Entry'!A754="","",'Data Entry'!A754)</f>
        <v/>
      </c>
      <c r="B754" s="12">
        <f>IF('Data Entry'!A754="","",'Data Entry'!B754)</f>
        <v/>
      </c>
      <c r="C754" s="12">
        <f>IF('Data Entry'!A754="","",'Data Entry'!C754)</f>
        <v/>
      </c>
      <c r="D754" s="12">
        <f>IF('Data Entry'!A754="","",'Data Entry'!D754)</f>
        <v/>
      </c>
      <c r="E754" s="12">
        <f>IF('Data Entry'!A754="","",'Data Entry'!E754)</f>
        <v/>
      </c>
      <c r="F754" s="12">
        <f>IF('Data Entry'!A754="","",'Data Entry'!F754)</f>
        <v/>
      </c>
      <c r="G754" s="13">
        <f>IF('Data Entry'!A754="","",'Data Entry'!G754)</f>
        <v/>
      </c>
      <c r="H754" s="10">
        <f>IF('Data Entry'!A754="","",'Data Entry'!H754)</f>
        <v/>
      </c>
      <c r="I754" s="10">
        <f>IF('Data Entry'!A754="","",'Data Entry'!I754)</f>
        <v/>
      </c>
      <c r="J754" s="12">
        <f>IF('Data Entry'!A754="","",IF('Data Entry'!D754&lt;&gt;"",'Data Entry'!D754,'Data Entry'!E754))</f>
        <v/>
      </c>
      <c r="K754" s="10">
        <f>IF('Data Entry'!A754="","",IFERROR(SUMIFS($H$5:$H$2001,$J$5:$J$2001,$J754,$B$5:$B$2001,$B754,$A$5:$A$2001,(MAXIFS($A$5:$A$2001,$J$5:$J$2001,$J754,$B$5:$B$2001,$B754,$A$5:$A$2001,"&lt;"&amp;$A754))),""))</f>
        <v/>
      </c>
      <c r="L754" s="14">
        <f>IF(OR('Data Entry'!A754="",$K754=""),"",$H754-$K754)</f>
        <v/>
      </c>
      <c r="M754" s="15">
        <f>IF(OR('Data Entry'!A754="",$K754="",$K754=0),"",$L754/$K754)</f>
        <v/>
      </c>
      <c r="N754" s="12">
        <f>IF('Data Entry'!A754="","",IF($L754="","New item",IF($L754&gt;0,"UP",IF($L754&lt;0,"down","same"))))</f>
        <v/>
      </c>
    </row>
    <row r="755">
      <c r="A755" s="11">
        <f>IF('Data Entry'!A755="","",'Data Entry'!A755)</f>
        <v/>
      </c>
      <c r="B755" s="12">
        <f>IF('Data Entry'!A755="","",'Data Entry'!B755)</f>
        <v/>
      </c>
      <c r="C755" s="12">
        <f>IF('Data Entry'!A755="","",'Data Entry'!C755)</f>
        <v/>
      </c>
      <c r="D755" s="12">
        <f>IF('Data Entry'!A755="","",'Data Entry'!D755)</f>
        <v/>
      </c>
      <c r="E755" s="12">
        <f>IF('Data Entry'!A755="","",'Data Entry'!E755)</f>
        <v/>
      </c>
      <c r="F755" s="12">
        <f>IF('Data Entry'!A755="","",'Data Entry'!F755)</f>
        <v/>
      </c>
      <c r="G755" s="13">
        <f>IF('Data Entry'!A755="","",'Data Entry'!G755)</f>
        <v/>
      </c>
      <c r="H755" s="10">
        <f>IF('Data Entry'!A755="","",'Data Entry'!H755)</f>
        <v/>
      </c>
      <c r="I755" s="10">
        <f>IF('Data Entry'!A755="","",'Data Entry'!I755)</f>
        <v/>
      </c>
      <c r="J755" s="12">
        <f>IF('Data Entry'!A755="","",IF('Data Entry'!D755&lt;&gt;"",'Data Entry'!D755,'Data Entry'!E755))</f>
        <v/>
      </c>
      <c r="K755" s="10">
        <f>IF('Data Entry'!A755="","",IFERROR(SUMIFS($H$5:$H$2001,$J$5:$J$2001,$J755,$B$5:$B$2001,$B755,$A$5:$A$2001,(MAXIFS($A$5:$A$2001,$J$5:$J$2001,$J755,$B$5:$B$2001,$B755,$A$5:$A$2001,"&lt;"&amp;$A755))),""))</f>
        <v/>
      </c>
      <c r="L755" s="14">
        <f>IF(OR('Data Entry'!A755="",$K755=""),"",$H755-$K755)</f>
        <v/>
      </c>
      <c r="M755" s="15">
        <f>IF(OR('Data Entry'!A755="",$K755="",$K755=0),"",$L755/$K755)</f>
        <v/>
      </c>
      <c r="N755" s="12">
        <f>IF('Data Entry'!A755="","",IF($L755="","New item",IF($L755&gt;0,"UP",IF($L755&lt;0,"down","same"))))</f>
        <v/>
      </c>
    </row>
    <row r="756">
      <c r="A756" s="11">
        <f>IF('Data Entry'!A756="","",'Data Entry'!A756)</f>
        <v/>
      </c>
      <c r="B756" s="12">
        <f>IF('Data Entry'!A756="","",'Data Entry'!B756)</f>
        <v/>
      </c>
      <c r="C756" s="12">
        <f>IF('Data Entry'!A756="","",'Data Entry'!C756)</f>
        <v/>
      </c>
      <c r="D756" s="12">
        <f>IF('Data Entry'!A756="","",'Data Entry'!D756)</f>
        <v/>
      </c>
      <c r="E756" s="12">
        <f>IF('Data Entry'!A756="","",'Data Entry'!E756)</f>
        <v/>
      </c>
      <c r="F756" s="12">
        <f>IF('Data Entry'!A756="","",'Data Entry'!F756)</f>
        <v/>
      </c>
      <c r="G756" s="13">
        <f>IF('Data Entry'!A756="","",'Data Entry'!G756)</f>
        <v/>
      </c>
      <c r="H756" s="10">
        <f>IF('Data Entry'!A756="","",'Data Entry'!H756)</f>
        <v/>
      </c>
      <c r="I756" s="10">
        <f>IF('Data Entry'!A756="","",'Data Entry'!I756)</f>
        <v/>
      </c>
      <c r="J756" s="12">
        <f>IF('Data Entry'!A756="","",IF('Data Entry'!D756&lt;&gt;"",'Data Entry'!D756,'Data Entry'!E756))</f>
        <v/>
      </c>
      <c r="K756" s="10">
        <f>IF('Data Entry'!A756="","",IFERROR(SUMIFS($H$5:$H$2001,$J$5:$J$2001,$J756,$B$5:$B$2001,$B756,$A$5:$A$2001,(MAXIFS($A$5:$A$2001,$J$5:$J$2001,$J756,$B$5:$B$2001,$B756,$A$5:$A$2001,"&lt;"&amp;$A756))),""))</f>
        <v/>
      </c>
      <c r="L756" s="14">
        <f>IF(OR('Data Entry'!A756="",$K756=""),"",$H756-$K756)</f>
        <v/>
      </c>
      <c r="M756" s="15">
        <f>IF(OR('Data Entry'!A756="",$K756="",$K756=0),"",$L756/$K756)</f>
        <v/>
      </c>
      <c r="N756" s="12">
        <f>IF('Data Entry'!A756="","",IF($L756="","New item",IF($L756&gt;0,"UP",IF($L756&lt;0,"down","same"))))</f>
        <v/>
      </c>
    </row>
    <row r="757">
      <c r="A757" s="11">
        <f>IF('Data Entry'!A757="","",'Data Entry'!A757)</f>
        <v/>
      </c>
      <c r="B757" s="12">
        <f>IF('Data Entry'!A757="","",'Data Entry'!B757)</f>
        <v/>
      </c>
      <c r="C757" s="12">
        <f>IF('Data Entry'!A757="","",'Data Entry'!C757)</f>
        <v/>
      </c>
      <c r="D757" s="12">
        <f>IF('Data Entry'!A757="","",'Data Entry'!D757)</f>
        <v/>
      </c>
      <c r="E757" s="12">
        <f>IF('Data Entry'!A757="","",'Data Entry'!E757)</f>
        <v/>
      </c>
      <c r="F757" s="12">
        <f>IF('Data Entry'!A757="","",'Data Entry'!F757)</f>
        <v/>
      </c>
      <c r="G757" s="13">
        <f>IF('Data Entry'!A757="","",'Data Entry'!G757)</f>
        <v/>
      </c>
      <c r="H757" s="10">
        <f>IF('Data Entry'!A757="","",'Data Entry'!H757)</f>
        <v/>
      </c>
      <c r="I757" s="10">
        <f>IF('Data Entry'!A757="","",'Data Entry'!I757)</f>
        <v/>
      </c>
      <c r="J757" s="12">
        <f>IF('Data Entry'!A757="","",IF('Data Entry'!D757&lt;&gt;"",'Data Entry'!D757,'Data Entry'!E757))</f>
        <v/>
      </c>
      <c r="K757" s="10">
        <f>IF('Data Entry'!A757="","",IFERROR(SUMIFS($H$5:$H$2001,$J$5:$J$2001,$J757,$B$5:$B$2001,$B757,$A$5:$A$2001,(MAXIFS($A$5:$A$2001,$J$5:$J$2001,$J757,$B$5:$B$2001,$B757,$A$5:$A$2001,"&lt;"&amp;$A757))),""))</f>
        <v/>
      </c>
      <c r="L757" s="14">
        <f>IF(OR('Data Entry'!A757="",$K757=""),"",$H757-$K757)</f>
        <v/>
      </c>
      <c r="M757" s="15">
        <f>IF(OR('Data Entry'!A757="",$K757="",$K757=0),"",$L757/$K757)</f>
        <v/>
      </c>
      <c r="N757" s="12">
        <f>IF('Data Entry'!A757="","",IF($L757="","New item",IF($L757&gt;0,"UP",IF($L757&lt;0,"down","same"))))</f>
        <v/>
      </c>
    </row>
    <row r="758">
      <c r="A758" s="11">
        <f>IF('Data Entry'!A758="","",'Data Entry'!A758)</f>
        <v/>
      </c>
      <c r="B758" s="12">
        <f>IF('Data Entry'!A758="","",'Data Entry'!B758)</f>
        <v/>
      </c>
      <c r="C758" s="12">
        <f>IF('Data Entry'!A758="","",'Data Entry'!C758)</f>
        <v/>
      </c>
      <c r="D758" s="12">
        <f>IF('Data Entry'!A758="","",'Data Entry'!D758)</f>
        <v/>
      </c>
      <c r="E758" s="12">
        <f>IF('Data Entry'!A758="","",'Data Entry'!E758)</f>
        <v/>
      </c>
      <c r="F758" s="12">
        <f>IF('Data Entry'!A758="","",'Data Entry'!F758)</f>
        <v/>
      </c>
      <c r="G758" s="13">
        <f>IF('Data Entry'!A758="","",'Data Entry'!G758)</f>
        <v/>
      </c>
      <c r="H758" s="10">
        <f>IF('Data Entry'!A758="","",'Data Entry'!H758)</f>
        <v/>
      </c>
      <c r="I758" s="10">
        <f>IF('Data Entry'!A758="","",'Data Entry'!I758)</f>
        <v/>
      </c>
      <c r="J758" s="12">
        <f>IF('Data Entry'!A758="","",IF('Data Entry'!D758&lt;&gt;"",'Data Entry'!D758,'Data Entry'!E758))</f>
        <v/>
      </c>
      <c r="K758" s="10">
        <f>IF('Data Entry'!A758="","",IFERROR(SUMIFS($H$5:$H$2001,$J$5:$J$2001,$J758,$B$5:$B$2001,$B758,$A$5:$A$2001,(MAXIFS($A$5:$A$2001,$J$5:$J$2001,$J758,$B$5:$B$2001,$B758,$A$5:$A$2001,"&lt;"&amp;$A758))),""))</f>
        <v/>
      </c>
      <c r="L758" s="14">
        <f>IF(OR('Data Entry'!A758="",$K758=""),"",$H758-$K758)</f>
        <v/>
      </c>
      <c r="M758" s="15">
        <f>IF(OR('Data Entry'!A758="",$K758="",$K758=0),"",$L758/$K758)</f>
        <v/>
      </c>
      <c r="N758" s="12">
        <f>IF('Data Entry'!A758="","",IF($L758="","New item",IF($L758&gt;0,"UP",IF($L758&lt;0,"down","same"))))</f>
        <v/>
      </c>
    </row>
    <row r="759">
      <c r="A759" s="11">
        <f>IF('Data Entry'!A759="","",'Data Entry'!A759)</f>
        <v/>
      </c>
      <c r="B759" s="12">
        <f>IF('Data Entry'!A759="","",'Data Entry'!B759)</f>
        <v/>
      </c>
      <c r="C759" s="12">
        <f>IF('Data Entry'!A759="","",'Data Entry'!C759)</f>
        <v/>
      </c>
      <c r="D759" s="12">
        <f>IF('Data Entry'!A759="","",'Data Entry'!D759)</f>
        <v/>
      </c>
      <c r="E759" s="12">
        <f>IF('Data Entry'!A759="","",'Data Entry'!E759)</f>
        <v/>
      </c>
      <c r="F759" s="12">
        <f>IF('Data Entry'!A759="","",'Data Entry'!F759)</f>
        <v/>
      </c>
      <c r="G759" s="13">
        <f>IF('Data Entry'!A759="","",'Data Entry'!G759)</f>
        <v/>
      </c>
      <c r="H759" s="10">
        <f>IF('Data Entry'!A759="","",'Data Entry'!H759)</f>
        <v/>
      </c>
      <c r="I759" s="10">
        <f>IF('Data Entry'!A759="","",'Data Entry'!I759)</f>
        <v/>
      </c>
      <c r="J759" s="12">
        <f>IF('Data Entry'!A759="","",IF('Data Entry'!D759&lt;&gt;"",'Data Entry'!D759,'Data Entry'!E759))</f>
        <v/>
      </c>
      <c r="K759" s="10">
        <f>IF('Data Entry'!A759="","",IFERROR(SUMIFS($H$5:$H$2001,$J$5:$J$2001,$J759,$B$5:$B$2001,$B759,$A$5:$A$2001,(MAXIFS($A$5:$A$2001,$J$5:$J$2001,$J759,$B$5:$B$2001,$B759,$A$5:$A$2001,"&lt;"&amp;$A759))),""))</f>
        <v/>
      </c>
      <c r="L759" s="14">
        <f>IF(OR('Data Entry'!A759="",$K759=""),"",$H759-$K759)</f>
        <v/>
      </c>
      <c r="M759" s="15">
        <f>IF(OR('Data Entry'!A759="",$K759="",$K759=0),"",$L759/$K759)</f>
        <v/>
      </c>
      <c r="N759" s="12">
        <f>IF('Data Entry'!A759="","",IF($L759="","New item",IF($L759&gt;0,"UP",IF($L759&lt;0,"down","same"))))</f>
        <v/>
      </c>
    </row>
    <row r="760">
      <c r="A760" s="11">
        <f>IF('Data Entry'!A760="","",'Data Entry'!A760)</f>
        <v/>
      </c>
      <c r="B760" s="12">
        <f>IF('Data Entry'!A760="","",'Data Entry'!B760)</f>
        <v/>
      </c>
      <c r="C760" s="12">
        <f>IF('Data Entry'!A760="","",'Data Entry'!C760)</f>
        <v/>
      </c>
      <c r="D760" s="12">
        <f>IF('Data Entry'!A760="","",'Data Entry'!D760)</f>
        <v/>
      </c>
      <c r="E760" s="12">
        <f>IF('Data Entry'!A760="","",'Data Entry'!E760)</f>
        <v/>
      </c>
      <c r="F760" s="12">
        <f>IF('Data Entry'!A760="","",'Data Entry'!F760)</f>
        <v/>
      </c>
      <c r="G760" s="13">
        <f>IF('Data Entry'!A760="","",'Data Entry'!G760)</f>
        <v/>
      </c>
      <c r="H760" s="10">
        <f>IF('Data Entry'!A760="","",'Data Entry'!H760)</f>
        <v/>
      </c>
      <c r="I760" s="10">
        <f>IF('Data Entry'!A760="","",'Data Entry'!I760)</f>
        <v/>
      </c>
      <c r="J760" s="12">
        <f>IF('Data Entry'!A760="","",IF('Data Entry'!D760&lt;&gt;"",'Data Entry'!D760,'Data Entry'!E760))</f>
        <v/>
      </c>
      <c r="K760" s="10">
        <f>IF('Data Entry'!A760="","",IFERROR(SUMIFS($H$5:$H$2001,$J$5:$J$2001,$J760,$B$5:$B$2001,$B760,$A$5:$A$2001,(MAXIFS($A$5:$A$2001,$J$5:$J$2001,$J760,$B$5:$B$2001,$B760,$A$5:$A$2001,"&lt;"&amp;$A760))),""))</f>
        <v/>
      </c>
      <c r="L760" s="14">
        <f>IF(OR('Data Entry'!A760="",$K760=""),"",$H760-$K760)</f>
        <v/>
      </c>
      <c r="M760" s="15">
        <f>IF(OR('Data Entry'!A760="",$K760="",$K760=0),"",$L760/$K760)</f>
        <v/>
      </c>
      <c r="N760" s="12">
        <f>IF('Data Entry'!A760="","",IF($L760="","New item",IF($L760&gt;0,"UP",IF($L760&lt;0,"down","same"))))</f>
        <v/>
      </c>
    </row>
    <row r="761">
      <c r="A761" s="11">
        <f>IF('Data Entry'!A761="","",'Data Entry'!A761)</f>
        <v/>
      </c>
      <c r="B761" s="12">
        <f>IF('Data Entry'!A761="","",'Data Entry'!B761)</f>
        <v/>
      </c>
      <c r="C761" s="12">
        <f>IF('Data Entry'!A761="","",'Data Entry'!C761)</f>
        <v/>
      </c>
      <c r="D761" s="12">
        <f>IF('Data Entry'!A761="","",'Data Entry'!D761)</f>
        <v/>
      </c>
      <c r="E761" s="12">
        <f>IF('Data Entry'!A761="","",'Data Entry'!E761)</f>
        <v/>
      </c>
      <c r="F761" s="12">
        <f>IF('Data Entry'!A761="","",'Data Entry'!F761)</f>
        <v/>
      </c>
      <c r="G761" s="13">
        <f>IF('Data Entry'!A761="","",'Data Entry'!G761)</f>
        <v/>
      </c>
      <c r="H761" s="10">
        <f>IF('Data Entry'!A761="","",'Data Entry'!H761)</f>
        <v/>
      </c>
      <c r="I761" s="10">
        <f>IF('Data Entry'!A761="","",'Data Entry'!I761)</f>
        <v/>
      </c>
      <c r="J761" s="12">
        <f>IF('Data Entry'!A761="","",IF('Data Entry'!D761&lt;&gt;"",'Data Entry'!D761,'Data Entry'!E761))</f>
        <v/>
      </c>
      <c r="K761" s="10">
        <f>IF('Data Entry'!A761="","",IFERROR(SUMIFS($H$5:$H$2001,$J$5:$J$2001,$J761,$B$5:$B$2001,$B761,$A$5:$A$2001,(MAXIFS($A$5:$A$2001,$J$5:$J$2001,$J761,$B$5:$B$2001,$B761,$A$5:$A$2001,"&lt;"&amp;$A761))),""))</f>
        <v/>
      </c>
      <c r="L761" s="14">
        <f>IF(OR('Data Entry'!A761="",$K761=""),"",$H761-$K761)</f>
        <v/>
      </c>
      <c r="M761" s="15">
        <f>IF(OR('Data Entry'!A761="",$K761="",$K761=0),"",$L761/$K761)</f>
        <v/>
      </c>
      <c r="N761" s="12">
        <f>IF('Data Entry'!A761="","",IF($L761="","New item",IF($L761&gt;0,"UP",IF($L761&lt;0,"down","same"))))</f>
        <v/>
      </c>
    </row>
    <row r="762">
      <c r="A762" s="11">
        <f>IF('Data Entry'!A762="","",'Data Entry'!A762)</f>
        <v/>
      </c>
      <c r="B762" s="12">
        <f>IF('Data Entry'!A762="","",'Data Entry'!B762)</f>
        <v/>
      </c>
      <c r="C762" s="12">
        <f>IF('Data Entry'!A762="","",'Data Entry'!C762)</f>
        <v/>
      </c>
      <c r="D762" s="12">
        <f>IF('Data Entry'!A762="","",'Data Entry'!D762)</f>
        <v/>
      </c>
      <c r="E762" s="12">
        <f>IF('Data Entry'!A762="","",'Data Entry'!E762)</f>
        <v/>
      </c>
      <c r="F762" s="12">
        <f>IF('Data Entry'!A762="","",'Data Entry'!F762)</f>
        <v/>
      </c>
      <c r="G762" s="13">
        <f>IF('Data Entry'!A762="","",'Data Entry'!G762)</f>
        <v/>
      </c>
      <c r="H762" s="10">
        <f>IF('Data Entry'!A762="","",'Data Entry'!H762)</f>
        <v/>
      </c>
      <c r="I762" s="10">
        <f>IF('Data Entry'!A762="","",'Data Entry'!I762)</f>
        <v/>
      </c>
      <c r="J762" s="12">
        <f>IF('Data Entry'!A762="","",IF('Data Entry'!D762&lt;&gt;"",'Data Entry'!D762,'Data Entry'!E762))</f>
        <v/>
      </c>
      <c r="K762" s="10">
        <f>IF('Data Entry'!A762="","",IFERROR(SUMIFS($H$5:$H$2001,$J$5:$J$2001,$J762,$B$5:$B$2001,$B762,$A$5:$A$2001,(MAXIFS($A$5:$A$2001,$J$5:$J$2001,$J762,$B$5:$B$2001,$B762,$A$5:$A$2001,"&lt;"&amp;$A762))),""))</f>
        <v/>
      </c>
      <c r="L762" s="14">
        <f>IF(OR('Data Entry'!A762="",$K762=""),"",$H762-$K762)</f>
        <v/>
      </c>
      <c r="M762" s="15">
        <f>IF(OR('Data Entry'!A762="",$K762="",$K762=0),"",$L762/$K762)</f>
        <v/>
      </c>
      <c r="N762" s="12">
        <f>IF('Data Entry'!A762="","",IF($L762="","New item",IF($L762&gt;0,"UP",IF($L762&lt;0,"down","same"))))</f>
        <v/>
      </c>
    </row>
    <row r="763">
      <c r="A763" s="11">
        <f>IF('Data Entry'!A763="","",'Data Entry'!A763)</f>
        <v/>
      </c>
      <c r="B763" s="12">
        <f>IF('Data Entry'!A763="","",'Data Entry'!B763)</f>
        <v/>
      </c>
      <c r="C763" s="12">
        <f>IF('Data Entry'!A763="","",'Data Entry'!C763)</f>
        <v/>
      </c>
      <c r="D763" s="12">
        <f>IF('Data Entry'!A763="","",'Data Entry'!D763)</f>
        <v/>
      </c>
      <c r="E763" s="12">
        <f>IF('Data Entry'!A763="","",'Data Entry'!E763)</f>
        <v/>
      </c>
      <c r="F763" s="12">
        <f>IF('Data Entry'!A763="","",'Data Entry'!F763)</f>
        <v/>
      </c>
      <c r="G763" s="13">
        <f>IF('Data Entry'!A763="","",'Data Entry'!G763)</f>
        <v/>
      </c>
      <c r="H763" s="10">
        <f>IF('Data Entry'!A763="","",'Data Entry'!H763)</f>
        <v/>
      </c>
      <c r="I763" s="10">
        <f>IF('Data Entry'!A763="","",'Data Entry'!I763)</f>
        <v/>
      </c>
      <c r="J763" s="12">
        <f>IF('Data Entry'!A763="","",IF('Data Entry'!D763&lt;&gt;"",'Data Entry'!D763,'Data Entry'!E763))</f>
        <v/>
      </c>
      <c r="K763" s="10">
        <f>IF('Data Entry'!A763="","",IFERROR(SUMIFS($H$5:$H$2001,$J$5:$J$2001,$J763,$B$5:$B$2001,$B763,$A$5:$A$2001,(MAXIFS($A$5:$A$2001,$J$5:$J$2001,$J763,$B$5:$B$2001,$B763,$A$5:$A$2001,"&lt;"&amp;$A763))),""))</f>
        <v/>
      </c>
      <c r="L763" s="14">
        <f>IF(OR('Data Entry'!A763="",$K763=""),"",$H763-$K763)</f>
        <v/>
      </c>
      <c r="M763" s="15">
        <f>IF(OR('Data Entry'!A763="",$K763="",$K763=0),"",$L763/$K763)</f>
        <v/>
      </c>
      <c r="N763" s="12">
        <f>IF('Data Entry'!A763="","",IF($L763="","New item",IF($L763&gt;0,"UP",IF($L763&lt;0,"down","same"))))</f>
        <v/>
      </c>
    </row>
    <row r="764">
      <c r="A764" s="11">
        <f>IF('Data Entry'!A764="","",'Data Entry'!A764)</f>
        <v/>
      </c>
      <c r="B764" s="12">
        <f>IF('Data Entry'!A764="","",'Data Entry'!B764)</f>
        <v/>
      </c>
      <c r="C764" s="12">
        <f>IF('Data Entry'!A764="","",'Data Entry'!C764)</f>
        <v/>
      </c>
      <c r="D764" s="12">
        <f>IF('Data Entry'!A764="","",'Data Entry'!D764)</f>
        <v/>
      </c>
      <c r="E764" s="12">
        <f>IF('Data Entry'!A764="","",'Data Entry'!E764)</f>
        <v/>
      </c>
      <c r="F764" s="12">
        <f>IF('Data Entry'!A764="","",'Data Entry'!F764)</f>
        <v/>
      </c>
      <c r="G764" s="13">
        <f>IF('Data Entry'!A764="","",'Data Entry'!G764)</f>
        <v/>
      </c>
      <c r="H764" s="10">
        <f>IF('Data Entry'!A764="","",'Data Entry'!H764)</f>
        <v/>
      </c>
      <c r="I764" s="10">
        <f>IF('Data Entry'!A764="","",'Data Entry'!I764)</f>
        <v/>
      </c>
      <c r="J764" s="12">
        <f>IF('Data Entry'!A764="","",IF('Data Entry'!D764&lt;&gt;"",'Data Entry'!D764,'Data Entry'!E764))</f>
        <v/>
      </c>
      <c r="K764" s="10">
        <f>IF('Data Entry'!A764="","",IFERROR(SUMIFS($H$5:$H$2001,$J$5:$J$2001,$J764,$B$5:$B$2001,$B764,$A$5:$A$2001,(MAXIFS($A$5:$A$2001,$J$5:$J$2001,$J764,$B$5:$B$2001,$B764,$A$5:$A$2001,"&lt;"&amp;$A764))),""))</f>
        <v/>
      </c>
      <c r="L764" s="14">
        <f>IF(OR('Data Entry'!A764="",$K764=""),"",$H764-$K764)</f>
        <v/>
      </c>
      <c r="M764" s="15">
        <f>IF(OR('Data Entry'!A764="",$K764="",$K764=0),"",$L764/$K764)</f>
        <v/>
      </c>
      <c r="N764" s="12">
        <f>IF('Data Entry'!A764="","",IF($L764="","New item",IF($L764&gt;0,"UP",IF($L764&lt;0,"down","same"))))</f>
        <v/>
      </c>
    </row>
    <row r="765">
      <c r="A765" s="11">
        <f>IF('Data Entry'!A765="","",'Data Entry'!A765)</f>
        <v/>
      </c>
      <c r="B765" s="12">
        <f>IF('Data Entry'!A765="","",'Data Entry'!B765)</f>
        <v/>
      </c>
      <c r="C765" s="12">
        <f>IF('Data Entry'!A765="","",'Data Entry'!C765)</f>
        <v/>
      </c>
      <c r="D765" s="12">
        <f>IF('Data Entry'!A765="","",'Data Entry'!D765)</f>
        <v/>
      </c>
      <c r="E765" s="12">
        <f>IF('Data Entry'!A765="","",'Data Entry'!E765)</f>
        <v/>
      </c>
      <c r="F765" s="12">
        <f>IF('Data Entry'!A765="","",'Data Entry'!F765)</f>
        <v/>
      </c>
      <c r="G765" s="13">
        <f>IF('Data Entry'!A765="","",'Data Entry'!G765)</f>
        <v/>
      </c>
      <c r="H765" s="10">
        <f>IF('Data Entry'!A765="","",'Data Entry'!H765)</f>
        <v/>
      </c>
      <c r="I765" s="10">
        <f>IF('Data Entry'!A765="","",'Data Entry'!I765)</f>
        <v/>
      </c>
      <c r="J765" s="12">
        <f>IF('Data Entry'!A765="","",IF('Data Entry'!D765&lt;&gt;"",'Data Entry'!D765,'Data Entry'!E765))</f>
        <v/>
      </c>
      <c r="K765" s="10">
        <f>IF('Data Entry'!A765="","",IFERROR(SUMIFS($H$5:$H$2001,$J$5:$J$2001,$J765,$B$5:$B$2001,$B765,$A$5:$A$2001,(MAXIFS($A$5:$A$2001,$J$5:$J$2001,$J765,$B$5:$B$2001,$B765,$A$5:$A$2001,"&lt;"&amp;$A765))),""))</f>
        <v/>
      </c>
      <c r="L765" s="14">
        <f>IF(OR('Data Entry'!A765="",$K765=""),"",$H765-$K765)</f>
        <v/>
      </c>
      <c r="M765" s="15">
        <f>IF(OR('Data Entry'!A765="",$K765="",$K765=0),"",$L765/$K765)</f>
        <v/>
      </c>
      <c r="N765" s="12">
        <f>IF('Data Entry'!A765="","",IF($L765="","New item",IF($L765&gt;0,"UP",IF($L765&lt;0,"down","same"))))</f>
        <v/>
      </c>
    </row>
    <row r="766">
      <c r="A766" s="11">
        <f>IF('Data Entry'!A766="","",'Data Entry'!A766)</f>
        <v/>
      </c>
      <c r="B766" s="12">
        <f>IF('Data Entry'!A766="","",'Data Entry'!B766)</f>
        <v/>
      </c>
      <c r="C766" s="12">
        <f>IF('Data Entry'!A766="","",'Data Entry'!C766)</f>
        <v/>
      </c>
      <c r="D766" s="12">
        <f>IF('Data Entry'!A766="","",'Data Entry'!D766)</f>
        <v/>
      </c>
      <c r="E766" s="12">
        <f>IF('Data Entry'!A766="","",'Data Entry'!E766)</f>
        <v/>
      </c>
      <c r="F766" s="12">
        <f>IF('Data Entry'!A766="","",'Data Entry'!F766)</f>
        <v/>
      </c>
      <c r="G766" s="13">
        <f>IF('Data Entry'!A766="","",'Data Entry'!G766)</f>
        <v/>
      </c>
      <c r="H766" s="10">
        <f>IF('Data Entry'!A766="","",'Data Entry'!H766)</f>
        <v/>
      </c>
      <c r="I766" s="10">
        <f>IF('Data Entry'!A766="","",'Data Entry'!I766)</f>
        <v/>
      </c>
      <c r="J766" s="12">
        <f>IF('Data Entry'!A766="","",IF('Data Entry'!D766&lt;&gt;"",'Data Entry'!D766,'Data Entry'!E766))</f>
        <v/>
      </c>
      <c r="K766" s="10">
        <f>IF('Data Entry'!A766="","",IFERROR(SUMIFS($H$5:$H$2001,$J$5:$J$2001,$J766,$B$5:$B$2001,$B766,$A$5:$A$2001,(MAXIFS($A$5:$A$2001,$J$5:$J$2001,$J766,$B$5:$B$2001,$B766,$A$5:$A$2001,"&lt;"&amp;$A766))),""))</f>
        <v/>
      </c>
      <c r="L766" s="14">
        <f>IF(OR('Data Entry'!A766="",$K766=""),"",$H766-$K766)</f>
        <v/>
      </c>
      <c r="M766" s="15">
        <f>IF(OR('Data Entry'!A766="",$K766="",$K766=0),"",$L766/$K766)</f>
        <v/>
      </c>
      <c r="N766" s="12">
        <f>IF('Data Entry'!A766="","",IF($L766="","New item",IF($L766&gt;0,"UP",IF($L766&lt;0,"down","same"))))</f>
        <v/>
      </c>
    </row>
    <row r="767">
      <c r="A767" s="11">
        <f>IF('Data Entry'!A767="","",'Data Entry'!A767)</f>
        <v/>
      </c>
      <c r="B767" s="12">
        <f>IF('Data Entry'!A767="","",'Data Entry'!B767)</f>
        <v/>
      </c>
      <c r="C767" s="12">
        <f>IF('Data Entry'!A767="","",'Data Entry'!C767)</f>
        <v/>
      </c>
      <c r="D767" s="12">
        <f>IF('Data Entry'!A767="","",'Data Entry'!D767)</f>
        <v/>
      </c>
      <c r="E767" s="12">
        <f>IF('Data Entry'!A767="","",'Data Entry'!E767)</f>
        <v/>
      </c>
      <c r="F767" s="12">
        <f>IF('Data Entry'!A767="","",'Data Entry'!F767)</f>
        <v/>
      </c>
      <c r="G767" s="13">
        <f>IF('Data Entry'!A767="","",'Data Entry'!G767)</f>
        <v/>
      </c>
      <c r="H767" s="10">
        <f>IF('Data Entry'!A767="","",'Data Entry'!H767)</f>
        <v/>
      </c>
      <c r="I767" s="10">
        <f>IF('Data Entry'!A767="","",'Data Entry'!I767)</f>
        <v/>
      </c>
      <c r="J767" s="12">
        <f>IF('Data Entry'!A767="","",IF('Data Entry'!D767&lt;&gt;"",'Data Entry'!D767,'Data Entry'!E767))</f>
        <v/>
      </c>
      <c r="K767" s="10">
        <f>IF('Data Entry'!A767="","",IFERROR(SUMIFS($H$5:$H$2001,$J$5:$J$2001,$J767,$B$5:$B$2001,$B767,$A$5:$A$2001,(MAXIFS($A$5:$A$2001,$J$5:$J$2001,$J767,$B$5:$B$2001,$B767,$A$5:$A$2001,"&lt;"&amp;$A767))),""))</f>
        <v/>
      </c>
      <c r="L767" s="14">
        <f>IF(OR('Data Entry'!A767="",$K767=""),"",$H767-$K767)</f>
        <v/>
      </c>
      <c r="M767" s="15">
        <f>IF(OR('Data Entry'!A767="",$K767="",$K767=0),"",$L767/$K767)</f>
        <v/>
      </c>
      <c r="N767" s="12">
        <f>IF('Data Entry'!A767="","",IF($L767="","New item",IF($L767&gt;0,"UP",IF($L767&lt;0,"down","same"))))</f>
        <v/>
      </c>
    </row>
    <row r="768">
      <c r="A768" s="11">
        <f>IF('Data Entry'!A768="","",'Data Entry'!A768)</f>
        <v/>
      </c>
      <c r="B768" s="12">
        <f>IF('Data Entry'!A768="","",'Data Entry'!B768)</f>
        <v/>
      </c>
      <c r="C768" s="12">
        <f>IF('Data Entry'!A768="","",'Data Entry'!C768)</f>
        <v/>
      </c>
      <c r="D768" s="12">
        <f>IF('Data Entry'!A768="","",'Data Entry'!D768)</f>
        <v/>
      </c>
      <c r="E768" s="12">
        <f>IF('Data Entry'!A768="","",'Data Entry'!E768)</f>
        <v/>
      </c>
      <c r="F768" s="12">
        <f>IF('Data Entry'!A768="","",'Data Entry'!F768)</f>
        <v/>
      </c>
      <c r="G768" s="13">
        <f>IF('Data Entry'!A768="","",'Data Entry'!G768)</f>
        <v/>
      </c>
      <c r="H768" s="10">
        <f>IF('Data Entry'!A768="","",'Data Entry'!H768)</f>
        <v/>
      </c>
      <c r="I768" s="10">
        <f>IF('Data Entry'!A768="","",'Data Entry'!I768)</f>
        <v/>
      </c>
      <c r="J768" s="12">
        <f>IF('Data Entry'!A768="","",IF('Data Entry'!D768&lt;&gt;"",'Data Entry'!D768,'Data Entry'!E768))</f>
        <v/>
      </c>
      <c r="K768" s="10">
        <f>IF('Data Entry'!A768="","",IFERROR(SUMIFS($H$5:$H$2001,$J$5:$J$2001,$J768,$B$5:$B$2001,$B768,$A$5:$A$2001,(MAXIFS($A$5:$A$2001,$J$5:$J$2001,$J768,$B$5:$B$2001,$B768,$A$5:$A$2001,"&lt;"&amp;$A768))),""))</f>
        <v/>
      </c>
      <c r="L768" s="14">
        <f>IF(OR('Data Entry'!A768="",$K768=""),"",$H768-$K768)</f>
        <v/>
      </c>
      <c r="M768" s="15">
        <f>IF(OR('Data Entry'!A768="",$K768="",$K768=0),"",$L768/$K768)</f>
        <v/>
      </c>
      <c r="N768" s="12">
        <f>IF('Data Entry'!A768="","",IF($L768="","New item",IF($L768&gt;0,"UP",IF($L768&lt;0,"down","same"))))</f>
        <v/>
      </c>
    </row>
    <row r="769">
      <c r="A769" s="11">
        <f>IF('Data Entry'!A769="","",'Data Entry'!A769)</f>
        <v/>
      </c>
      <c r="B769" s="12">
        <f>IF('Data Entry'!A769="","",'Data Entry'!B769)</f>
        <v/>
      </c>
      <c r="C769" s="12">
        <f>IF('Data Entry'!A769="","",'Data Entry'!C769)</f>
        <v/>
      </c>
      <c r="D769" s="12">
        <f>IF('Data Entry'!A769="","",'Data Entry'!D769)</f>
        <v/>
      </c>
      <c r="E769" s="12">
        <f>IF('Data Entry'!A769="","",'Data Entry'!E769)</f>
        <v/>
      </c>
      <c r="F769" s="12">
        <f>IF('Data Entry'!A769="","",'Data Entry'!F769)</f>
        <v/>
      </c>
      <c r="G769" s="13">
        <f>IF('Data Entry'!A769="","",'Data Entry'!G769)</f>
        <v/>
      </c>
      <c r="H769" s="10">
        <f>IF('Data Entry'!A769="","",'Data Entry'!H769)</f>
        <v/>
      </c>
      <c r="I769" s="10">
        <f>IF('Data Entry'!A769="","",'Data Entry'!I769)</f>
        <v/>
      </c>
      <c r="J769" s="12">
        <f>IF('Data Entry'!A769="","",IF('Data Entry'!D769&lt;&gt;"",'Data Entry'!D769,'Data Entry'!E769))</f>
        <v/>
      </c>
      <c r="K769" s="10">
        <f>IF('Data Entry'!A769="","",IFERROR(SUMIFS($H$5:$H$2001,$J$5:$J$2001,$J769,$B$5:$B$2001,$B769,$A$5:$A$2001,(MAXIFS($A$5:$A$2001,$J$5:$J$2001,$J769,$B$5:$B$2001,$B769,$A$5:$A$2001,"&lt;"&amp;$A769))),""))</f>
        <v/>
      </c>
      <c r="L769" s="14">
        <f>IF(OR('Data Entry'!A769="",$K769=""),"",$H769-$K769)</f>
        <v/>
      </c>
      <c r="M769" s="15">
        <f>IF(OR('Data Entry'!A769="",$K769="",$K769=0),"",$L769/$K769)</f>
        <v/>
      </c>
      <c r="N769" s="12">
        <f>IF('Data Entry'!A769="","",IF($L769="","New item",IF($L769&gt;0,"UP",IF($L769&lt;0,"down","same"))))</f>
        <v/>
      </c>
    </row>
    <row r="770">
      <c r="A770" s="11">
        <f>IF('Data Entry'!A770="","",'Data Entry'!A770)</f>
        <v/>
      </c>
      <c r="B770" s="12">
        <f>IF('Data Entry'!A770="","",'Data Entry'!B770)</f>
        <v/>
      </c>
      <c r="C770" s="12">
        <f>IF('Data Entry'!A770="","",'Data Entry'!C770)</f>
        <v/>
      </c>
      <c r="D770" s="12">
        <f>IF('Data Entry'!A770="","",'Data Entry'!D770)</f>
        <v/>
      </c>
      <c r="E770" s="12">
        <f>IF('Data Entry'!A770="","",'Data Entry'!E770)</f>
        <v/>
      </c>
      <c r="F770" s="12">
        <f>IF('Data Entry'!A770="","",'Data Entry'!F770)</f>
        <v/>
      </c>
      <c r="G770" s="13">
        <f>IF('Data Entry'!A770="","",'Data Entry'!G770)</f>
        <v/>
      </c>
      <c r="H770" s="10">
        <f>IF('Data Entry'!A770="","",'Data Entry'!H770)</f>
        <v/>
      </c>
      <c r="I770" s="10">
        <f>IF('Data Entry'!A770="","",'Data Entry'!I770)</f>
        <v/>
      </c>
      <c r="J770" s="12">
        <f>IF('Data Entry'!A770="","",IF('Data Entry'!D770&lt;&gt;"",'Data Entry'!D770,'Data Entry'!E770))</f>
        <v/>
      </c>
      <c r="K770" s="10">
        <f>IF('Data Entry'!A770="","",IFERROR(SUMIFS($H$5:$H$2001,$J$5:$J$2001,$J770,$B$5:$B$2001,$B770,$A$5:$A$2001,(MAXIFS($A$5:$A$2001,$J$5:$J$2001,$J770,$B$5:$B$2001,$B770,$A$5:$A$2001,"&lt;"&amp;$A770))),""))</f>
        <v/>
      </c>
      <c r="L770" s="14">
        <f>IF(OR('Data Entry'!A770="",$K770=""),"",$H770-$K770)</f>
        <v/>
      </c>
      <c r="M770" s="15">
        <f>IF(OR('Data Entry'!A770="",$K770="",$K770=0),"",$L770/$K770)</f>
        <v/>
      </c>
      <c r="N770" s="12">
        <f>IF('Data Entry'!A770="","",IF($L770="","New item",IF($L770&gt;0,"UP",IF($L770&lt;0,"down","same"))))</f>
        <v/>
      </c>
    </row>
    <row r="771">
      <c r="A771" s="11">
        <f>IF('Data Entry'!A771="","",'Data Entry'!A771)</f>
        <v/>
      </c>
      <c r="B771" s="12">
        <f>IF('Data Entry'!A771="","",'Data Entry'!B771)</f>
        <v/>
      </c>
      <c r="C771" s="12">
        <f>IF('Data Entry'!A771="","",'Data Entry'!C771)</f>
        <v/>
      </c>
      <c r="D771" s="12">
        <f>IF('Data Entry'!A771="","",'Data Entry'!D771)</f>
        <v/>
      </c>
      <c r="E771" s="12">
        <f>IF('Data Entry'!A771="","",'Data Entry'!E771)</f>
        <v/>
      </c>
      <c r="F771" s="12">
        <f>IF('Data Entry'!A771="","",'Data Entry'!F771)</f>
        <v/>
      </c>
      <c r="G771" s="13">
        <f>IF('Data Entry'!A771="","",'Data Entry'!G771)</f>
        <v/>
      </c>
      <c r="H771" s="10">
        <f>IF('Data Entry'!A771="","",'Data Entry'!H771)</f>
        <v/>
      </c>
      <c r="I771" s="10">
        <f>IF('Data Entry'!A771="","",'Data Entry'!I771)</f>
        <v/>
      </c>
      <c r="J771" s="12">
        <f>IF('Data Entry'!A771="","",IF('Data Entry'!D771&lt;&gt;"",'Data Entry'!D771,'Data Entry'!E771))</f>
        <v/>
      </c>
      <c r="K771" s="10">
        <f>IF('Data Entry'!A771="","",IFERROR(SUMIFS($H$5:$H$2001,$J$5:$J$2001,$J771,$B$5:$B$2001,$B771,$A$5:$A$2001,(MAXIFS($A$5:$A$2001,$J$5:$J$2001,$J771,$B$5:$B$2001,$B771,$A$5:$A$2001,"&lt;"&amp;$A771))),""))</f>
        <v/>
      </c>
      <c r="L771" s="14">
        <f>IF(OR('Data Entry'!A771="",$K771=""),"",$H771-$K771)</f>
        <v/>
      </c>
      <c r="M771" s="15">
        <f>IF(OR('Data Entry'!A771="",$K771="",$K771=0),"",$L771/$K771)</f>
        <v/>
      </c>
      <c r="N771" s="12">
        <f>IF('Data Entry'!A771="","",IF($L771="","New item",IF($L771&gt;0,"UP",IF($L771&lt;0,"down","same"))))</f>
        <v/>
      </c>
    </row>
    <row r="772">
      <c r="A772" s="11">
        <f>IF('Data Entry'!A772="","",'Data Entry'!A772)</f>
        <v/>
      </c>
      <c r="B772" s="12">
        <f>IF('Data Entry'!A772="","",'Data Entry'!B772)</f>
        <v/>
      </c>
      <c r="C772" s="12">
        <f>IF('Data Entry'!A772="","",'Data Entry'!C772)</f>
        <v/>
      </c>
      <c r="D772" s="12">
        <f>IF('Data Entry'!A772="","",'Data Entry'!D772)</f>
        <v/>
      </c>
      <c r="E772" s="12">
        <f>IF('Data Entry'!A772="","",'Data Entry'!E772)</f>
        <v/>
      </c>
      <c r="F772" s="12">
        <f>IF('Data Entry'!A772="","",'Data Entry'!F772)</f>
        <v/>
      </c>
      <c r="G772" s="13">
        <f>IF('Data Entry'!A772="","",'Data Entry'!G772)</f>
        <v/>
      </c>
      <c r="H772" s="10">
        <f>IF('Data Entry'!A772="","",'Data Entry'!H772)</f>
        <v/>
      </c>
      <c r="I772" s="10">
        <f>IF('Data Entry'!A772="","",'Data Entry'!I772)</f>
        <v/>
      </c>
      <c r="J772" s="12">
        <f>IF('Data Entry'!A772="","",IF('Data Entry'!D772&lt;&gt;"",'Data Entry'!D772,'Data Entry'!E772))</f>
        <v/>
      </c>
      <c r="K772" s="10">
        <f>IF('Data Entry'!A772="","",IFERROR(SUMIFS($H$5:$H$2001,$J$5:$J$2001,$J772,$B$5:$B$2001,$B772,$A$5:$A$2001,(MAXIFS($A$5:$A$2001,$J$5:$J$2001,$J772,$B$5:$B$2001,$B772,$A$5:$A$2001,"&lt;"&amp;$A772))),""))</f>
        <v/>
      </c>
      <c r="L772" s="14">
        <f>IF(OR('Data Entry'!A772="",$K772=""),"",$H772-$K772)</f>
        <v/>
      </c>
      <c r="M772" s="15">
        <f>IF(OR('Data Entry'!A772="",$K772="",$K772=0),"",$L772/$K772)</f>
        <v/>
      </c>
      <c r="N772" s="12">
        <f>IF('Data Entry'!A772="","",IF($L772="","New item",IF($L772&gt;0,"UP",IF($L772&lt;0,"down","same"))))</f>
        <v/>
      </c>
    </row>
    <row r="773">
      <c r="A773" s="11">
        <f>IF('Data Entry'!A773="","",'Data Entry'!A773)</f>
        <v/>
      </c>
      <c r="B773" s="12">
        <f>IF('Data Entry'!A773="","",'Data Entry'!B773)</f>
        <v/>
      </c>
      <c r="C773" s="12">
        <f>IF('Data Entry'!A773="","",'Data Entry'!C773)</f>
        <v/>
      </c>
      <c r="D773" s="12">
        <f>IF('Data Entry'!A773="","",'Data Entry'!D773)</f>
        <v/>
      </c>
      <c r="E773" s="12">
        <f>IF('Data Entry'!A773="","",'Data Entry'!E773)</f>
        <v/>
      </c>
      <c r="F773" s="12">
        <f>IF('Data Entry'!A773="","",'Data Entry'!F773)</f>
        <v/>
      </c>
      <c r="G773" s="13">
        <f>IF('Data Entry'!A773="","",'Data Entry'!G773)</f>
        <v/>
      </c>
      <c r="H773" s="10">
        <f>IF('Data Entry'!A773="","",'Data Entry'!H773)</f>
        <v/>
      </c>
      <c r="I773" s="10">
        <f>IF('Data Entry'!A773="","",'Data Entry'!I773)</f>
        <v/>
      </c>
      <c r="J773" s="12">
        <f>IF('Data Entry'!A773="","",IF('Data Entry'!D773&lt;&gt;"",'Data Entry'!D773,'Data Entry'!E773))</f>
        <v/>
      </c>
      <c r="K773" s="10">
        <f>IF('Data Entry'!A773="","",IFERROR(SUMIFS($H$5:$H$2001,$J$5:$J$2001,$J773,$B$5:$B$2001,$B773,$A$5:$A$2001,(MAXIFS($A$5:$A$2001,$J$5:$J$2001,$J773,$B$5:$B$2001,$B773,$A$5:$A$2001,"&lt;"&amp;$A773))),""))</f>
        <v/>
      </c>
      <c r="L773" s="14">
        <f>IF(OR('Data Entry'!A773="",$K773=""),"",$H773-$K773)</f>
        <v/>
      </c>
      <c r="M773" s="15">
        <f>IF(OR('Data Entry'!A773="",$K773="",$K773=0),"",$L773/$K773)</f>
        <v/>
      </c>
      <c r="N773" s="12">
        <f>IF('Data Entry'!A773="","",IF($L773="","New item",IF($L773&gt;0,"UP",IF($L773&lt;0,"down","same"))))</f>
        <v/>
      </c>
    </row>
    <row r="774">
      <c r="A774" s="11">
        <f>IF('Data Entry'!A774="","",'Data Entry'!A774)</f>
        <v/>
      </c>
      <c r="B774" s="12">
        <f>IF('Data Entry'!A774="","",'Data Entry'!B774)</f>
        <v/>
      </c>
      <c r="C774" s="12">
        <f>IF('Data Entry'!A774="","",'Data Entry'!C774)</f>
        <v/>
      </c>
      <c r="D774" s="12">
        <f>IF('Data Entry'!A774="","",'Data Entry'!D774)</f>
        <v/>
      </c>
      <c r="E774" s="12">
        <f>IF('Data Entry'!A774="","",'Data Entry'!E774)</f>
        <v/>
      </c>
      <c r="F774" s="12">
        <f>IF('Data Entry'!A774="","",'Data Entry'!F774)</f>
        <v/>
      </c>
      <c r="G774" s="13">
        <f>IF('Data Entry'!A774="","",'Data Entry'!G774)</f>
        <v/>
      </c>
      <c r="H774" s="10">
        <f>IF('Data Entry'!A774="","",'Data Entry'!H774)</f>
        <v/>
      </c>
      <c r="I774" s="10">
        <f>IF('Data Entry'!A774="","",'Data Entry'!I774)</f>
        <v/>
      </c>
      <c r="J774" s="12">
        <f>IF('Data Entry'!A774="","",IF('Data Entry'!D774&lt;&gt;"",'Data Entry'!D774,'Data Entry'!E774))</f>
        <v/>
      </c>
      <c r="K774" s="10">
        <f>IF('Data Entry'!A774="","",IFERROR(SUMIFS($H$5:$H$2001,$J$5:$J$2001,$J774,$B$5:$B$2001,$B774,$A$5:$A$2001,(MAXIFS($A$5:$A$2001,$J$5:$J$2001,$J774,$B$5:$B$2001,$B774,$A$5:$A$2001,"&lt;"&amp;$A774))),""))</f>
        <v/>
      </c>
      <c r="L774" s="14">
        <f>IF(OR('Data Entry'!A774="",$K774=""),"",$H774-$K774)</f>
        <v/>
      </c>
      <c r="M774" s="15">
        <f>IF(OR('Data Entry'!A774="",$K774="",$K774=0),"",$L774/$K774)</f>
        <v/>
      </c>
      <c r="N774" s="12">
        <f>IF('Data Entry'!A774="","",IF($L774="","New item",IF($L774&gt;0,"UP",IF($L774&lt;0,"down","same"))))</f>
        <v/>
      </c>
    </row>
    <row r="775">
      <c r="A775" s="11">
        <f>IF('Data Entry'!A775="","",'Data Entry'!A775)</f>
        <v/>
      </c>
      <c r="B775" s="12">
        <f>IF('Data Entry'!A775="","",'Data Entry'!B775)</f>
        <v/>
      </c>
      <c r="C775" s="12">
        <f>IF('Data Entry'!A775="","",'Data Entry'!C775)</f>
        <v/>
      </c>
      <c r="D775" s="12">
        <f>IF('Data Entry'!A775="","",'Data Entry'!D775)</f>
        <v/>
      </c>
      <c r="E775" s="12">
        <f>IF('Data Entry'!A775="","",'Data Entry'!E775)</f>
        <v/>
      </c>
      <c r="F775" s="12">
        <f>IF('Data Entry'!A775="","",'Data Entry'!F775)</f>
        <v/>
      </c>
      <c r="G775" s="13">
        <f>IF('Data Entry'!A775="","",'Data Entry'!G775)</f>
        <v/>
      </c>
      <c r="H775" s="10">
        <f>IF('Data Entry'!A775="","",'Data Entry'!H775)</f>
        <v/>
      </c>
      <c r="I775" s="10">
        <f>IF('Data Entry'!A775="","",'Data Entry'!I775)</f>
        <v/>
      </c>
      <c r="J775" s="12">
        <f>IF('Data Entry'!A775="","",IF('Data Entry'!D775&lt;&gt;"",'Data Entry'!D775,'Data Entry'!E775))</f>
        <v/>
      </c>
      <c r="K775" s="10">
        <f>IF('Data Entry'!A775="","",IFERROR(SUMIFS($H$5:$H$2001,$J$5:$J$2001,$J775,$B$5:$B$2001,$B775,$A$5:$A$2001,(MAXIFS($A$5:$A$2001,$J$5:$J$2001,$J775,$B$5:$B$2001,$B775,$A$5:$A$2001,"&lt;"&amp;$A775))),""))</f>
        <v/>
      </c>
      <c r="L775" s="14">
        <f>IF(OR('Data Entry'!A775="",$K775=""),"",$H775-$K775)</f>
        <v/>
      </c>
      <c r="M775" s="15">
        <f>IF(OR('Data Entry'!A775="",$K775="",$K775=0),"",$L775/$K775)</f>
        <v/>
      </c>
      <c r="N775" s="12">
        <f>IF('Data Entry'!A775="","",IF($L775="","New item",IF($L775&gt;0,"UP",IF($L775&lt;0,"down","same"))))</f>
        <v/>
      </c>
    </row>
    <row r="776">
      <c r="A776" s="11">
        <f>IF('Data Entry'!A776="","",'Data Entry'!A776)</f>
        <v/>
      </c>
      <c r="B776" s="12">
        <f>IF('Data Entry'!A776="","",'Data Entry'!B776)</f>
        <v/>
      </c>
      <c r="C776" s="12">
        <f>IF('Data Entry'!A776="","",'Data Entry'!C776)</f>
        <v/>
      </c>
      <c r="D776" s="12">
        <f>IF('Data Entry'!A776="","",'Data Entry'!D776)</f>
        <v/>
      </c>
      <c r="E776" s="12">
        <f>IF('Data Entry'!A776="","",'Data Entry'!E776)</f>
        <v/>
      </c>
      <c r="F776" s="12">
        <f>IF('Data Entry'!A776="","",'Data Entry'!F776)</f>
        <v/>
      </c>
      <c r="G776" s="13">
        <f>IF('Data Entry'!A776="","",'Data Entry'!G776)</f>
        <v/>
      </c>
      <c r="H776" s="10">
        <f>IF('Data Entry'!A776="","",'Data Entry'!H776)</f>
        <v/>
      </c>
      <c r="I776" s="10">
        <f>IF('Data Entry'!A776="","",'Data Entry'!I776)</f>
        <v/>
      </c>
      <c r="J776" s="12">
        <f>IF('Data Entry'!A776="","",IF('Data Entry'!D776&lt;&gt;"",'Data Entry'!D776,'Data Entry'!E776))</f>
        <v/>
      </c>
      <c r="K776" s="10">
        <f>IF('Data Entry'!A776="","",IFERROR(SUMIFS($H$5:$H$2001,$J$5:$J$2001,$J776,$B$5:$B$2001,$B776,$A$5:$A$2001,(MAXIFS($A$5:$A$2001,$J$5:$J$2001,$J776,$B$5:$B$2001,$B776,$A$5:$A$2001,"&lt;"&amp;$A776))),""))</f>
        <v/>
      </c>
      <c r="L776" s="14">
        <f>IF(OR('Data Entry'!A776="",$K776=""),"",$H776-$K776)</f>
        <v/>
      </c>
      <c r="M776" s="15">
        <f>IF(OR('Data Entry'!A776="",$K776="",$K776=0),"",$L776/$K776)</f>
        <v/>
      </c>
      <c r="N776" s="12">
        <f>IF('Data Entry'!A776="","",IF($L776="","New item",IF($L776&gt;0,"UP",IF($L776&lt;0,"down","same"))))</f>
        <v/>
      </c>
    </row>
    <row r="777">
      <c r="A777" s="11">
        <f>IF('Data Entry'!A777="","",'Data Entry'!A777)</f>
        <v/>
      </c>
      <c r="B777" s="12">
        <f>IF('Data Entry'!A777="","",'Data Entry'!B777)</f>
        <v/>
      </c>
      <c r="C777" s="12">
        <f>IF('Data Entry'!A777="","",'Data Entry'!C777)</f>
        <v/>
      </c>
      <c r="D777" s="12">
        <f>IF('Data Entry'!A777="","",'Data Entry'!D777)</f>
        <v/>
      </c>
      <c r="E777" s="12">
        <f>IF('Data Entry'!A777="","",'Data Entry'!E777)</f>
        <v/>
      </c>
      <c r="F777" s="12">
        <f>IF('Data Entry'!A777="","",'Data Entry'!F777)</f>
        <v/>
      </c>
      <c r="G777" s="13">
        <f>IF('Data Entry'!A777="","",'Data Entry'!G777)</f>
        <v/>
      </c>
      <c r="H777" s="10">
        <f>IF('Data Entry'!A777="","",'Data Entry'!H777)</f>
        <v/>
      </c>
      <c r="I777" s="10">
        <f>IF('Data Entry'!A777="","",'Data Entry'!I777)</f>
        <v/>
      </c>
      <c r="J777" s="12">
        <f>IF('Data Entry'!A777="","",IF('Data Entry'!D777&lt;&gt;"",'Data Entry'!D777,'Data Entry'!E777))</f>
        <v/>
      </c>
      <c r="K777" s="10">
        <f>IF('Data Entry'!A777="","",IFERROR(SUMIFS($H$5:$H$2001,$J$5:$J$2001,$J777,$B$5:$B$2001,$B777,$A$5:$A$2001,(MAXIFS($A$5:$A$2001,$J$5:$J$2001,$J777,$B$5:$B$2001,$B777,$A$5:$A$2001,"&lt;"&amp;$A777))),""))</f>
        <v/>
      </c>
      <c r="L777" s="14">
        <f>IF(OR('Data Entry'!A777="",$K777=""),"",$H777-$K777)</f>
        <v/>
      </c>
      <c r="M777" s="15">
        <f>IF(OR('Data Entry'!A777="",$K777="",$K777=0),"",$L777/$K777)</f>
        <v/>
      </c>
      <c r="N777" s="12">
        <f>IF('Data Entry'!A777="","",IF($L777="","New item",IF($L777&gt;0,"UP",IF($L777&lt;0,"down","same"))))</f>
        <v/>
      </c>
    </row>
    <row r="778">
      <c r="A778" s="11">
        <f>IF('Data Entry'!A778="","",'Data Entry'!A778)</f>
        <v/>
      </c>
      <c r="B778" s="12">
        <f>IF('Data Entry'!A778="","",'Data Entry'!B778)</f>
        <v/>
      </c>
      <c r="C778" s="12">
        <f>IF('Data Entry'!A778="","",'Data Entry'!C778)</f>
        <v/>
      </c>
      <c r="D778" s="12">
        <f>IF('Data Entry'!A778="","",'Data Entry'!D778)</f>
        <v/>
      </c>
      <c r="E778" s="12">
        <f>IF('Data Entry'!A778="","",'Data Entry'!E778)</f>
        <v/>
      </c>
      <c r="F778" s="12">
        <f>IF('Data Entry'!A778="","",'Data Entry'!F778)</f>
        <v/>
      </c>
      <c r="G778" s="13">
        <f>IF('Data Entry'!A778="","",'Data Entry'!G778)</f>
        <v/>
      </c>
      <c r="H778" s="10">
        <f>IF('Data Entry'!A778="","",'Data Entry'!H778)</f>
        <v/>
      </c>
      <c r="I778" s="10">
        <f>IF('Data Entry'!A778="","",'Data Entry'!I778)</f>
        <v/>
      </c>
      <c r="J778" s="12">
        <f>IF('Data Entry'!A778="","",IF('Data Entry'!D778&lt;&gt;"",'Data Entry'!D778,'Data Entry'!E778))</f>
        <v/>
      </c>
      <c r="K778" s="10">
        <f>IF('Data Entry'!A778="","",IFERROR(SUMIFS($H$5:$H$2001,$J$5:$J$2001,$J778,$B$5:$B$2001,$B778,$A$5:$A$2001,(MAXIFS($A$5:$A$2001,$J$5:$J$2001,$J778,$B$5:$B$2001,$B778,$A$5:$A$2001,"&lt;"&amp;$A778))),""))</f>
        <v/>
      </c>
      <c r="L778" s="14">
        <f>IF(OR('Data Entry'!A778="",$K778=""),"",$H778-$K778)</f>
        <v/>
      </c>
      <c r="M778" s="15">
        <f>IF(OR('Data Entry'!A778="",$K778="",$K778=0),"",$L778/$K778)</f>
        <v/>
      </c>
      <c r="N778" s="12">
        <f>IF('Data Entry'!A778="","",IF($L778="","New item",IF($L778&gt;0,"UP",IF($L778&lt;0,"down","same"))))</f>
        <v/>
      </c>
    </row>
    <row r="779">
      <c r="A779" s="11">
        <f>IF('Data Entry'!A779="","",'Data Entry'!A779)</f>
        <v/>
      </c>
      <c r="B779" s="12">
        <f>IF('Data Entry'!A779="","",'Data Entry'!B779)</f>
        <v/>
      </c>
      <c r="C779" s="12">
        <f>IF('Data Entry'!A779="","",'Data Entry'!C779)</f>
        <v/>
      </c>
      <c r="D779" s="12">
        <f>IF('Data Entry'!A779="","",'Data Entry'!D779)</f>
        <v/>
      </c>
      <c r="E779" s="12">
        <f>IF('Data Entry'!A779="","",'Data Entry'!E779)</f>
        <v/>
      </c>
      <c r="F779" s="12">
        <f>IF('Data Entry'!A779="","",'Data Entry'!F779)</f>
        <v/>
      </c>
      <c r="G779" s="13">
        <f>IF('Data Entry'!A779="","",'Data Entry'!G779)</f>
        <v/>
      </c>
      <c r="H779" s="10">
        <f>IF('Data Entry'!A779="","",'Data Entry'!H779)</f>
        <v/>
      </c>
      <c r="I779" s="10">
        <f>IF('Data Entry'!A779="","",'Data Entry'!I779)</f>
        <v/>
      </c>
      <c r="J779" s="12">
        <f>IF('Data Entry'!A779="","",IF('Data Entry'!D779&lt;&gt;"",'Data Entry'!D779,'Data Entry'!E779))</f>
        <v/>
      </c>
      <c r="K779" s="10">
        <f>IF('Data Entry'!A779="","",IFERROR(SUMIFS($H$5:$H$2001,$J$5:$J$2001,$J779,$B$5:$B$2001,$B779,$A$5:$A$2001,(MAXIFS($A$5:$A$2001,$J$5:$J$2001,$J779,$B$5:$B$2001,$B779,$A$5:$A$2001,"&lt;"&amp;$A779))),""))</f>
        <v/>
      </c>
      <c r="L779" s="14">
        <f>IF(OR('Data Entry'!A779="",$K779=""),"",$H779-$K779)</f>
        <v/>
      </c>
      <c r="M779" s="15">
        <f>IF(OR('Data Entry'!A779="",$K779="",$K779=0),"",$L779/$K779)</f>
        <v/>
      </c>
      <c r="N779" s="12">
        <f>IF('Data Entry'!A779="","",IF($L779="","New item",IF($L779&gt;0,"UP",IF($L779&lt;0,"down","same"))))</f>
        <v/>
      </c>
    </row>
    <row r="780">
      <c r="A780" s="11">
        <f>IF('Data Entry'!A780="","",'Data Entry'!A780)</f>
        <v/>
      </c>
      <c r="B780" s="12">
        <f>IF('Data Entry'!A780="","",'Data Entry'!B780)</f>
        <v/>
      </c>
      <c r="C780" s="12">
        <f>IF('Data Entry'!A780="","",'Data Entry'!C780)</f>
        <v/>
      </c>
      <c r="D780" s="12">
        <f>IF('Data Entry'!A780="","",'Data Entry'!D780)</f>
        <v/>
      </c>
      <c r="E780" s="12">
        <f>IF('Data Entry'!A780="","",'Data Entry'!E780)</f>
        <v/>
      </c>
      <c r="F780" s="12">
        <f>IF('Data Entry'!A780="","",'Data Entry'!F780)</f>
        <v/>
      </c>
      <c r="G780" s="13">
        <f>IF('Data Entry'!A780="","",'Data Entry'!G780)</f>
        <v/>
      </c>
      <c r="H780" s="10">
        <f>IF('Data Entry'!A780="","",'Data Entry'!H780)</f>
        <v/>
      </c>
      <c r="I780" s="10">
        <f>IF('Data Entry'!A780="","",'Data Entry'!I780)</f>
        <v/>
      </c>
      <c r="J780" s="12">
        <f>IF('Data Entry'!A780="","",IF('Data Entry'!D780&lt;&gt;"",'Data Entry'!D780,'Data Entry'!E780))</f>
        <v/>
      </c>
      <c r="K780" s="10">
        <f>IF('Data Entry'!A780="","",IFERROR(SUMIFS($H$5:$H$2001,$J$5:$J$2001,$J780,$B$5:$B$2001,$B780,$A$5:$A$2001,(MAXIFS($A$5:$A$2001,$J$5:$J$2001,$J780,$B$5:$B$2001,$B780,$A$5:$A$2001,"&lt;"&amp;$A780))),""))</f>
        <v/>
      </c>
      <c r="L780" s="14">
        <f>IF(OR('Data Entry'!A780="",$K780=""),"",$H780-$K780)</f>
        <v/>
      </c>
      <c r="M780" s="15">
        <f>IF(OR('Data Entry'!A780="",$K780="",$K780=0),"",$L780/$K780)</f>
        <v/>
      </c>
      <c r="N780" s="12">
        <f>IF('Data Entry'!A780="","",IF($L780="","New item",IF($L780&gt;0,"UP",IF($L780&lt;0,"down","same"))))</f>
        <v/>
      </c>
    </row>
    <row r="781">
      <c r="A781" s="11">
        <f>IF('Data Entry'!A781="","",'Data Entry'!A781)</f>
        <v/>
      </c>
      <c r="B781" s="12">
        <f>IF('Data Entry'!A781="","",'Data Entry'!B781)</f>
        <v/>
      </c>
      <c r="C781" s="12">
        <f>IF('Data Entry'!A781="","",'Data Entry'!C781)</f>
        <v/>
      </c>
      <c r="D781" s="12">
        <f>IF('Data Entry'!A781="","",'Data Entry'!D781)</f>
        <v/>
      </c>
      <c r="E781" s="12">
        <f>IF('Data Entry'!A781="","",'Data Entry'!E781)</f>
        <v/>
      </c>
      <c r="F781" s="12">
        <f>IF('Data Entry'!A781="","",'Data Entry'!F781)</f>
        <v/>
      </c>
      <c r="G781" s="13">
        <f>IF('Data Entry'!A781="","",'Data Entry'!G781)</f>
        <v/>
      </c>
      <c r="H781" s="10">
        <f>IF('Data Entry'!A781="","",'Data Entry'!H781)</f>
        <v/>
      </c>
      <c r="I781" s="10">
        <f>IF('Data Entry'!A781="","",'Data Entry'!I781)</f>
        <v/>
      </c>
      <c r="J781" s="12">
        <f>IF('Data Entry'!A781="","",IF('Data Entry'!D781&lt;&gt;"",'Data Entry'!D781,'Data Entry'!E781))</f>
        <v/>
      </c>
      <c r="K781" s="10">
        <f>IF('Data Entry'!A781="","",IFERROR(SUMIFS($H$5:$H$2001,$J$5:$J$2001,$J781,$B$5:$B$2001,$B781,$A$5:$A$2001,(MAXIFS($A$5:$A$2001,$J$5:$J$2001,$J781,$B$5:$B$2001,$B781,$A$5:$A$2001,"&lt;"&amp;$A781))),""))</f>
        <v/>
      </c>
      <c r="L781" s="14">
        <f>IF(OR('Data Entry'!A781="",$K781=""),"",$H781-$K781)</f>
        <v/>
      </c>
      <c r="M781" s="15">
        <f>IF(OR('Data Entry'!A781="",$K781="",$K781=0),"",$L781/$K781)</f>
        <v/>
      </c>
      <c r="N781" s="12">
        <f>IF('Data Entry'!A781="","",IF($L781="","New item",IF($L781&gt;0,"UP",IF($L781&lt;0,"down","same"))))</f>
        <v/>
      </c>
    </row>
    <row r="782">
      <c r="A782" s="11">
        <f>IF('Data Entry'!A782="","",'Data Entry'!A782)</f>
        <v/>
      </c>
      <c r="B782" s="12">
        <f>IF('Data Entry'!A782="","",'Data Entry'!B782)</f>
        <v/>
      </c>
      <c r="C782" s="12">
        <f>IF('Data Entry'!A782="","",'Data Entry'!C782)</f>
        <v/>
      </c>
      <c r="D782" s="12">
        <f>IF('Data Entry'!A782="","",'Data Entry'!D782)</f>
        <v/>
      </c>
      <c r="E782" s="12">
        <f>IF('Data Entry'!A782="","",'Data Entry'!E782)</f>
        <v/>
      </c>
      <c r="F782" s="12">
        <f>IF('Data Entry'!A782="","",'Data Entry'!F782)</f>
        <v/>
      </c>
      <c r="G782" s="13">
        <f>IF('Data Entry'!A782="","",'Data Entry'!G782)</f>
        <v/>
      </c>
      <c r="H782" s="10">
        <f>IF('Data Entry'!A782="","",'Data Entry'!H782)</f>
        <v/>
      </c>
      <c r="I782" s="10">
        <f>IF('Data Entry'!A782="","",'Data Entry'!I782)</f>
        <v/>
      </c>
      <c r="J782" s="12">
        <f>IF('Data Entry'!A782="","",IF('Data Entry'!D782&lt;&gt;"",'Data Entry'!D782,'Data Entry'!E782))</f>
        <v/>
      </c>
      <c r="K782" s="10">
        <f>IF('Data Entry'!A782="","",IFERROR(SUMIFS($H$5:$H$2001,$J$5:$J$2001,$J782,$B$5:$B$2001,$B782,$A$5:$A$2001,(MAXIFS($A$5:$A$2001,$J$5:$J$2001,$J782,$B$5:$B$2001,$B782,$A$5:$A$2001,"&lt;"&amp;$A782))),""))</f>
        <v/>
      </c>
      <c r="L782" s="14">
        <f>IF(OR('Data Entry'!A782="",$K782=""),"",$H782-$K782)</f>
        <v/>
      </c>
      <c r="M782" s="15">
        <f>IF(OR('Data Entry'!A782="",$K782="",$K782=0),"",$L782/$K782)</f>
        <v/>
      </c>
      <c r="N782" s="12">
        <f>IF('Data Entry'!A782="","",IF($L782="","New item",IF($L782&gt;0,"UP",IF($L782&lt;0,"down","same"))))</f>
        <v/>
      </c>
    </row>
    <row r="783">
      <c r="A783" s="11">
        <f>IF('Data Entry'!A783="","",'Data Entry'!A783)</f>
        <v/>
      </c>
      <c r="B783" s="12">
        <f>IF('Data Entry'!A783="","",'Data Entry'!B783)</f>
        <v/>
      </c>
      <c r="C783" s="12">
        <f>IF('Data Entry'!A783="","",'Data Entry'!C783)</f>
        <v/>
      </c>
      <c r="D783" s="12">
        <f>IF('Data Entry'!A783="","",'Data Entry'!D783)</f>
        <v/>
      </c>
      <c r="E783" s="12">
        <f>IF('Data Entry'!A783="","",'Data Entry'!E783)</f>
        <v/>
      </c>
      <c r="F783" s="12">
        <f>IF('Data Entry'!A783="","",'Data Entry'!F783)</f>
        <v/>
      </c>
      <c r="G783" s="13">
        <f>IF('Data Entry'!A783="","",'Data Entry'!G783)</f>
        <v/>
      </c>
      <c r="H783" s="10">
        <f>IF('Data Entry'!A783="","",'Data Entry'!H783)</f>
        <v/>
      </c>
      <c r="I783" s="10">
        <f>IF('Data Entry'!A783="","",'Data Entry'!I783)</f>
        <v/>
      </c>
      <c r="J783" s="12">
        <f>IF('Data Entry'!A783="","",IF('Data Entry'!D783&lt;&gt;"",'Data Entry'!D783,'Data Entry'!E783))</f>
        <v/>
      </c>
      <c r="K783" s="10">
        <f>IF('Data Entry'!A783="","",IFERROR(SUMIFS($H$5:$H$2001,$J$5:$J$2001,$J783,$B$5:$B$2001,$B783,$A$5:$A$2001,(MAXIFS($A$5:$A$2001,$J$5:$J$2001,$J783,$B$5:$B$2001,$B783,$A$5:$A$2001,"&lt;"&amp;$A783))),""))</f>
        <v/>
      </c>
      <c r="L783" s="14">
        <f>IF(OR('Data Entry'!A783="",$K783=""),"",$H783-$K783)</f>
        <v/>
      </c>
      <c r="M783" s="15">
        <f>IF(OR('Data Entry'!A783="",$K783="",$K783=0),"",$L783/$K783)</f>
        <v/>
      </c>
      <c r="N783" s="12">
        <f>IF('Data Entry'!A783="","",IF($L783="","New item",IF($L783&gt;0,"UP",IF($L783&lt;0,"down","same"))))</f>
        <v/>
      </c>
    </row>
    <row r="784">
      <c r="A784" s="11">
        <f>IF('Data Entry'!A784="","",'Data Entry'!A784)</f>
        <v/>
      </c>
      <c r="B784" s="12">
        <f>IF('Data Entry'!A784="","",'Data Entry'!B784)</f>
        <v/>
      </c>
      <c r="C784" s="12">
        <f>IF('Data Entry'!A784="","",'Data Entry'!C784)</f>
        <v/>
      </c>
      <c r="D784" s="12">
        <f>IF('Data Entry'!A784="","",'Data Entry'!D784)</f>
        <v/>
      </c>
      <c r="E784" s="12">
        <f>IF('Data Entry'!A784="","",'Data Entry'!E784)</f>
        <v/>
      </c>
      <c r="F784" s="12">
        <f>IF('Data Entry'!A784="","",'Data Entry'!F784)</f>
        <v/>
      </c>
      <c r="G784" s="13">
        <f>IF('Data Entry'!A784="","",'Data Entry'!G784)</f>
        <v/>
      </c>
      <c r="H784" s="10">
        <f>IF('Data Entry'!A784="","",'Data Entry'!H784)</f>
        <v/>
      </c>
      <c r="I784" s="10">
        <f>IF('Data Entry'!A784="","",'Data Entry'!I784)</f>
        <v/>
      </c>
      <c r="J784" s="12">
        <f>IF('Data Entry'!A784="","",IF('Data Entry'!D784&lt;&gt;"",'Data Entry'!D784,'Data Entry'!E784))</f>
        <v/>
      </c>
      <c r="K784" s="10">
        <f>IF('Data Entry'!A784="","",IFERROR(SUMIFS($H$5:$H$2001,$J$5:$J$2001,$J784,$B$5:$B$2001,$B784,$A$5:$A$2001,(MAXIFS($A$5:$A$2001,$J$5:$J$2001,$J784,$B$5:$B$2001,$B784,$A$5:$A$2001,"&lt;"&amp;$A784))),""))</f>
        <v/>
      </c>
      <c r="L784" s="14">
        <f>IF(OR('Data Entry'!A784="",$K784=""),"",$H784-$K784)</f>
        <v/>
      </c>
      <c r="M784" s="15">
        <f>IF(OR('Data Entry'!A784="",$K784="",$K784=0),"",$L784/$K784)</f>
        <v/>
      </c>
      <c r="N784" s="12">
        <f>IF('Data Entry'!A784="","",IF($L784="","New item",IF($L784&gt;0,"UP",IF($L784&lt;0,"down","same"))))</f>
        <v/>
      </c>
    </row>
    <row r="785">
      <c r="A785" s="11">
        <f>IF('Data Entry'!A785="","",'Data Entry'!A785)</f>
        <v/>
      </c>
      <c r="B785" s="12">
        <f>IF('Data Entry'!A785="","",'Data Entry'!B785)</f>
        <v/>
      </c>
      <c r="C785" s="12">
        <f>IF('Data Entry'!A785="","",'Data Entry'!C785)</f>
        <v/>
      </c>
      <c r="D785" s="12">
        <f>IF('Data Entry'!A785="","",'Data Entry'!D785)</f>
        <v/>
      </c>
      <c r="E785" s="12">
        <f>IF('Data Entry'!A785="","",'Data Entry'!E785)</f>
        <v/>
      </c>
      <c r="F785" s="12">
        <f>IF('Data Entry'!A785="","",'Data Entry'!F785)</f>
        <v/>
      </c>
      <c r="G785" s="13">
        <f>IF('Data Entry'!A785="","",'Data Entry'!G785)</f>
        <v/>
      </c>
      <c r="H785" s="10">
        <f>IF('Data Entry'!A785="","",'Data Entry'!H785)</f>
        <v/>
      </c>
      <c r="I785" s="10">
        <f>IF('Data Entry'!A785="","",'Data Entry'!I785)</f>
        <v/>
      </c>
      <c r="J785" s="12">
        <f>IF('Data Entry'!A785="","",IF('Data Entry'!D785&lt;&gt;"",'Data Entry'!D785,'Data Entry'!E785))</f>
        <v/>
      </c>
      <c r="K785" s="10">
        <f>IF('Data Entry'!A785="","",IFERROR(SUMIFS($H$5:$H$2001,$J$5:$J$2001,$J785,$B$5:$B$2001,$B785,$A$5:$A$2001,(MAXIFS($A$5:$A$2001,$J$5:$J$2001,$J785,$B$5:$B$2001,$B785,$A$5:$A$2001,"&lt;"&amp;$A785))),""))</f>
        <v/>
      </c>
      <c r="L785" s="14">
        <f>IF(OR('Data Entry'!A785="",$K785=""),"",$H785-$K785)</f>
        <v/>
      </c>
      <c r="M785" s="15">
        <f>IF(OR('Data Entry'!A785="",$K785="",$K785=0),"",$L785/$K785)</f>
        <v/>
      </c>
      <c r="N785" s="12">
        <f>IF('Data Entry'!A785="","",IF($L785="","New item",IF($L785&gt;0,"UP",IF($L785&lt;0,"down","same"))))</f>
        <v/>
      </c>
    </row>
    <row r="786">
      <c r="A786" s="11">
        <f>IF('Data Entry'!A786="","",'Data Entry'!A786)</f>
        <v/>
      </c>
      <c r="B786" s="12">
        <f>IF('Data Entry'!A786="","",'Data Entry'!B786)</f>
        <v/>
      </c>
      <c r="C786" s="12">
        <f>IF('Data Entry'!A786="","",'Data Entry'!C786)</f>
        <v/>
      </c>
      <c r="D786" s="12">
        <f>IF('Data Entry'!A786="","",'Data Entry'!D786)</f>
        <v/>
      </c>
      <c r="E786" s="12">
        <f>IF('Data Entry'!A786="","",'Data Entry'!E786)</f>
        <v/>
      </c>
      <c r="F786" s="12">
        <f>IF('Data Entry'!A786="","",'Data Entry'!F786)</f>
        <v/>
      </c>
      <c r="G786" s="13">
        <f>IF('Data Entry'!A786="","",'Data Entry'!G786)</f>
        <v/>
      </c>
      <c r="H786" s="10">
        <f>IF('Data Entry'!A786="","",'Data Entry'!H786)</f>
        <v/>
      </c>
      <c r="I786" s="10">
        <f>IF('Data Entry'!A786="","",'Data Entry'!I786)</f>
        <v/>
      </c>
      <c r="J786" s="12">
        <f>IF('Data Entry'!A786="","",IF('Data Entry'!D786&lt;&gt;"",'Data Entry'!D786,'Data Entry'!E786))</f>
        <v/>
      </c>
      <c r="K786" s="10">
        <f>IF('Data Entry'!A786="","",IFERROR(SUMIFS($H$5:$H$2001,$J$5:$J$2001,$J786,$B$5:$B$2001,$B786,$A$5:$A$2001,(MAXIFS($A$5:$A$2001,$J$5:$J$2001,$J786,$B$5:$B$2001,$B786,$A$5:$A$2001,"&lt;"&amp;$A786))),""))</f>
        <v/>
      </c>
      <c r="L786" s="14">
        <f>IF(OR('Data Entry'!A786="",$K786=""),"",$H786-$K786)</f>
        <v/>
      </c>
      <c r="M786" s="15">
        <f>IF(OR('Data Entry'!A786="",$K786="",$K786=0),"",$L786/$K786)</f>
        <v/>
      </c>
      <c r="N786" s="12">
        <f>IF('Data Entry'!A786="","",IF($L786="","New item",IF($L786&gt;0,"UP",IF($L786&lt;0,"down","same"))))</f>
        <v/>
      </c>
    </row>
    <row r="787">
      <c r="A787" s="11">
        <f>IF('Data Entry'!A787="","",'Data Entry'!A787)</f>
        <v/>
      </c>
      <c r="B787" s="12">
        <f>IF('Data Entry'!A787="","",'Data Entry'!B787)</f>
        <v/>
      </c>
      <c r="C787" s="12">
        <f>IF('Data Entry'!A787="","",'Data Entry'!C787)</f>
        <v/>
      </c>
      <c r="D787" s="12">
        <f>IF('Data Entry'!A787="","",'Data Entry'!D787)</f>
        <v/>
      </c>
      <c r="E787" s="12">
        <f>IF('Data Entry'!A787="","",'Data Entry'!E787)</f>
        <v/>
      </c>
      <c r="F787" s="12">
        <f>IF('Data Entry'!A787="","",'Data Entry'!F787)</f>
        <v/>
      </c>
      <c r="G787" s="13">
        <f>IF('Data Entry'!A787="","",'Data Entry'!G787)</f>
        <v/>
      </c>
      <c r="H787" s="10">
        <f>IF('Data Entry'!A787="","",'Data Entry'!H787)</f>
        <v/>
      </c>
      <c r="I787" s="10">
        <f>IF('Data Entry'!A787="","",'Data Entry'!I787)</f>
        <v/>
      </c>
      <c r="J787" s="12">
        <f>IF('Data Entry'!A787="","",IF('Data Entry'!D787&lt;&gt;"",'Data Entry'!D787,'Data Entry'!E787))</f>
        <v/>
      </c>
      <c r="K787" s="10">
        <f>IF('Data Entry'!A787="","",IFERROR(SUMIFS($H$5:$H$2001,$J$5:$J$2001,$J787,$B$5:$B$2001,$B787,$A$5:$A$2001,(MAXIFS($A$5:$A$2001,$J$5:$J$2001,$J787,$B$5:$B$2001,$B787,$A$5:$A$2001,"&lt;"&amp;$A787))),""))</f>
        <v/>
      </c>
      <c r="L787" s="14">
        <f>IF(OR('Data Entry'!A787="",$K787=""),"",$H787-$K787)</f>
        <v/>
      </c>
      <c r="M787" s="15">
        <f>IF(OR('Data Entry'!A787="",$K787="",$K787=0),"",$L787/$K787)</f>
        <v/>
      </c>
      <c r="N787" s="12">
        <f>IF('Data Entry'!A787="","",IF($L787="","New item",IF($L787&gt;0,"UP",IF($L787&lt;0,"down","same"))))</f>
        <v/>
      </c>
    </row>
    <row r="788">
      <c r="A788" s="11">
        <f>IF('Data Entry'!A788="","",'Data Entry'!A788)</f>
        <v/>
      </c>
      <c r="B788" s="12">
        <f>IF('Data Entry'!A788="","",'Data Entry'!B788)</f>
        <v/>
      </c>
      <c r="C788" s="12">
        <f>IF('Data Entry'!A788="","",'Data Entry'!C788)</f>
        <v/>
      </c>
      <c r="D788" s="12">
        <f>IF('Data Entry'!A788="","",'Data Entry'!D788)</f>
        <v/>
      </c>
      <c r="E788" s="12">
        <f>IF('Data Entry'!A788="","",'Data Entry'!E788)</f>
        <v/>
      </c>
      <c r="F788" s="12">
        <f>IF('Data Entry'!A788="","",'Data Entry'!F788)</f>
        <v/>
      </c>
      <c r="G788" s="13">
        <f>IF('Data Entry'!A788="","",'Data Entry'!G788)</f>
        <v/>
      </c>
      <c r="H788" s="10">
        <f>IF('Data Entry'!A788="","",'Data Entry'!H788)</f>
        <v/>
      </c>
      <c r="I788" s="10">
        <f>IF('Data Entry'!A788="","",'Data Entry'!I788)</f>
        <v/>
      </c>
      <c r="J788" s="12">
        <f>IF('Data Entry'!A788="","",IF('Data Entry'!D788&lt;&gt;"",'Data Entry'!D788,'Data Entry'!E788))</f>
        <v/>
      </c>
      <c r="K788" s="10">
        <f>IF('Data Entry'!A788="","",IFERROR(SUMIFS($H$5:$H$2001,$J$5:$J$2001,$J788,$B$5:$B$2001,$B788,$A$5:$A$2001,(MAXIFS($A$5:$A$2001,$J$5:$J$2001,$J788,$B$5:$B$2001,$B788,$A$5:$A$2001,"&lt;"&amp;$A788))),""))</f>
        <v/>
      </c>
      <c r="L788" s="14">
        <f>IF(OR('Data Entry'!A788="",$K788=""),"",$H788-$K788)</f>
        <v/>
      </c>
      <c r="M788" s="15">
        <f>IF(OR('Data Entry'!A788="",$K788="",$K788=0),"",$L788/$K788)</f>
        <v/>
      </c>
      <c r="N788" s="12">
        <f>IF('Data Entry'!A788="","",IF($L788="","New item",IF($L788&gt;0,"UP",IF($L788&lt;0,"down","same"))))</f>
        <v/>
      </c>
    </row>
    <row r="789">
      <c r="A789" s="11">
        <f>IF('Data Entry'!A789="","",'Data Entry'!A789)</f>
        <v/>
      </c>
      <c r="B789" s="12">
        <f>IF('Data Entry'!A789="","",'Data Entry'!B789)</f>
        <v/>
      </c>
      <c r="C789" s="12">
        <f>IF('Data Entry'!A789="","",'Data Entry'!C789)</f>
        <v/>
      </c>
      <c r="D789" s="12">
        <f>IF('Data Entry'!A789="","",'Data Entry'!D789)</f>
        <v/>
      </c>
      <c r="E789" s="12">
        <f>IF('Data Entry'!A789="","",'Data Entry'!E789)</f>
        <v/>
      </c>
      <c r="F789" s="12">
        <f>IF('Data Entry'!A789="","",'Data Entry'!F789)</f>
        <v/>
      </c>
      <c r="G789" s="13">
        <f>IF('Data Entry'!A789="","",'Data Entry'!G789)</f>
        <v/>
      </c>
      <c r="H789" s="10">
        <f>IF('Data Entry'!A789="","",'Data Entry'!H789)</f>
        <v/>
      </c>
      <c r="I789" s="10">
        <f>IF('Data Entry'!A789="","",'Data Entry'!I789)</f>
        <v/>
      </c>
      <c r="J789" s="12">
        <f>IF('Data Entry'!A789="","",IF('Data Entry'!D789&lt;&gt;"",'Data Entry'!D789,'Data Entry'!E789))</f>
        <v/>
      </c>
      <c r="K789" s="10">
        <f>IF('Data Entry'!A789="","",IFERROR(SUMIFS($H$5:$H$2001,$J$5:$J$2001,$J789,$B$5:$B$2001,$B789,$A$5:$A$2001,(MAXIFS($A$5:$A$2001,$J$5:$J$2001,$J789,$B$5:$B$2001,$B789,$A$5:$A$2001,"&lt;"&amp;$A789))),""))</f>
        <v/>
      </c>
      <c r="L789" s="14">
        <f>IF(OR('Data Entry'!A789="",$K789=""),"",$H789-$K789)</f>
        <v/>
      </c>
      <c r="M789" s="15">
        <f>IF(OR('Data Entry'!A789="",$K789="",$K789=0),"",$L789/$K789)</f>
        <v/>
      </c>
      <c r="N789" s="12">
        <f>IF('Data Entry'!A789="","",IF($L789="","New item",IF($L789&gt;0,"UP",IF($L789&lt;0,"down","same"))))</f>
        <v/>
      </c>
    </row>
    <row r="790">
      <c r="A790" s="11">
        <f>IF('Data Entry'!A790="","",'Data Entry'!A790)</f>
        <v/>
      </c>
      <c r="B790" s="12">
        <f>IF('Data Entry'!A790="","",'Data Entry'!B790)</f>
        <v/>
      </c>
      <c r="C790" s="12">
        <f>IF('Data Entry'!A790="","",'Data Entry'!C790)</f>
        <v/>
      </c>
      <c r="D790" s="12">
        <f>IF('Data Entry'!A790="","",'Data Entry'!D790)</f>
        <v/>
      </c>
      <c r="E790" s="12">
        <f>IF('Data Entry'!A790="","",'Data Entry'!E790)</f>
        <v/>
      </c>
      <c r="F790" s="12">
        <f>IF('Data Entry'!A790="","",'Data Entry'!F790)</f>
        <v/>
      </c>
      <c r="G790" s="13">
        <f>IF('Data Entry'!A790="","",'Data Entry'!G790)</f>
        <v/>
      </c>
      <c r="H790" s="10">
        <f>IF('Data Entry'!A790="","",'Data Entry'!H790)</f>
        <v/>
      </c>
      <c r="I790" s="10">
        <f>IF('Data Entry'!A790="","",'Data Entry'!I790)</f>
        <v/>
      </c>
      <c r="J790" s="12">
        <f>IF('Data Entry'!A790="","",IF('Data Entry'!D790&lt;&gt;"",'Data Entry'!D790,'Data Entry'!E790))</f>
        <v/>
      </c>
      <c r="K790" s="10">
        <f>IF('Data Entry'!A790="","",IFERROR(SUMIFS($H$5:$H$2001,$J$5:$J$2001,$J790,$B$5:$B$2001,$B790,$A$5:$A$2001,(MAXIFS($A$5:$A$2001,$J$5:$J$2001,$J790,$B$5:$B$2001,$B790,$A$5:$A$2001,"&lt;"&amp;$A790))),""))</f>
        <v/>
      </c>
      <c r="L790" s="14">
        <f>IF(OR('Data Entry'!A790="",$K790=""),"",$H790-$K790)</f>
        <v/>
      </c>
      <c r="M790" s="15">
        <f>IF(OR('Data Entry'!A790="",$K790="",$K790=0),"",$L790/$K790)</f>
        <v/>
      </c>
      <c r="N790" s="12">
        <f>IF('Data Entry'!A790="","",IF($L790="","New item",IF($L790&gt;0,"UP",IF($L790&lt;0,"down","same"))))</f>
        <v/>
      </c>
    </row>
    <row r="791">
      <c r="A791" s="11">
        <f>IF('Data Entry'!A791="","",'Data Entry'!A791)</f>
        <v/>
      </c>
      <c r="B791" s="12">
        <f>IF('Data Entry'!A791="","",'Data Entry'!B791)</f>
        <v/>
      </c>
      <c r="C791" s="12">
        <f>IF('Data Entry'!A791="","",'Data Entry'!C791)</f>
        <v/>
      </c>
      <c r="D791" s="12">
        <f>IF('Data Entry'!A791="","",'Data Entry'!D791)</f>
        <v/>
      </c>
      <c r="E791" s="12">
        <f>IF('Data Entry'!A791="","",'Data Entry'!E791)</f>
        <v/>
      </c>
      <c r="F791" s="12">
        <f>IF('Data Entry'!A791="","",'Data Entry'!F791)</f>
        <v/>
      </c>
      <c r="G791" s="13">
        <f>IF('Data Entry'!A791="","",'Data Entry'!G791)</f>
        <v/>
      </c>
      <c r="H791" s="10">
        <f>IF('Data Entry'!A791="","",'Data Entry'!H791)</f>
        <v/>
      </c>
      <c r="I791" s="10">
        <f>IF('Data Entry'!A791="","",'Data Entry'!I791)</f>
        <v/>
      </c>
      <c r="J791" s="12">
        <f>IF('Data Entry'!A791="","",IF('Data Entry'!D791&lt;&gt;"",'Data Entry'!D791,'Data Entry'!E791))</f>
        <v/>
      </c>
      <c r="K791" s="10">
        <f>IF('Data Entry'!A791="","",IFERROR(SUMIFS($H$5:$H$2001,$J$5:$J$2001,$J791,$B$5:$B$2001,$B791,$A$5:$A$2001,(MAXIFS($A$5:$A$2001,$J$5:$J$2001,$J791,$B$5:$B$2001,$B791,$A$5:$A$2001,"&lt;"&amp;$A791))),""))</f>
        <v/>
      </c>
      <c r="L791" s="14">
        <f>IF(OR('Data Entry'!A791="",$K791=""),"",$H791-$K791)</f>
        <v/>
      </c>
      <c r="M791" s="15">
        <f>IF(OR('Data Entry'!A791="",$K791="",$K791=0),"",$L791/$K791)</f>
        <v/>
      </c>
      <c r="N791" s="12">
        <f>IF('Data Entry'!A791="","",IF($L791="","New item",IF($L791&gt;0,"UP",IF($L791&lt;0,"down","same"))))</f>
        <v/>
      </c>
    </row>
    <row r="792">
      <c r="A792" s="11">
        <f>IF('Data Entry'!A792="","",'Data Entry'!A792)</f>
        <v/>
      </c>
      <c r="B792" s="12">
        <f>IF('Data Entry'!A792="","",'Data Entry'!B792)</f>
        <v/>
      </c>
      <c r="C792" s="12">
        <f>IF('Data Entry'!A792="","",'Data Entry'!C792)</f>
        <v/>
      </c>
      <c r="D792" s="12">
        <f>IF('Data Entry'!A792="","",'Data Entry'!D792)</f>
        <v/>
      </c>
      <c r="E792" s="12">
        <f>IF('Data Entry'!A792="","",'Data Entry'!E792)</f>
        <v/>
      </c>
      <c r="F792" s="12">
        <f>IF('Data Entry'!A792="","",'Data Entry'!F792)</f>
        <v/>
      </c>
      <c r="G792" s="13">
        <f>IF('Data Entry'!A792="","",'Data Entry'!G792)</f>
        <v/>
      </c>
      <c r="H792" s="10">
        <f>IF('Data Entry'!A792="","",'Data Entry'!H792)</f>
        <v/>
      </c>
      <c r="I792" s="10">
        <f>IF('Data Entry'!A792="","",'Data Entry'!I792)</f>
        <v/>
      </c>
      <c r="J792" s="12">
        <f>IF('Data Entry'!A792="","",IF('Data Entry'!D792&lt;&gt;"",'Data Entry'!D792,'Data Entry'!E792))</f>
        <v/>
      </c>
      <c r="K792" s="10">
        <f>IF('Data Entry'!A792="","",IFERROR(SUMIFS($H$5:$H$2001,$J$5:$J$2001,$J792,$B$5:$B$2001,$B792,$A$5:$A$2001,(MAXIFS($A$5:$A$2001,$J$5:$J$2001,$J792,$B$5:$B$2001,$B792,$A$5:$A$2001,"&lt;"&amp;$A792))),""))</f>
        <v/>
      </c>
      <c r="L792" s="14">
        <f>IF(OR('Data Entry'!A792="",$K792=""),"",$H792-$K792)</f>
        <v/>
      </c>
      <c r="M792" s="15">
        <f>IF(OR('Data Entry'!A792="",$K792="",$K792=0),"",$L792/$K792)</f>
        <v/>
      </c>
      <c r="N792" s="12">
        <f>IF('Data Entry'!A792="","",IF($L792="","New item",IF($L792&gt;0,"UP",IF($L792&lt;0,"down","same"))))</f>
        <v/>
      </c>
    </row>
    <row r="793">
      <c r="A793" s="11">
        <f>IF('Data Entry'!A793="","",'Data Entry'!A793)</f>
        <v/>
      </c>
      <c r="B793" s="12">
        <f>IF('Data Entry'!A793="","",'Data Entry'!B793)</f>
        <v/>
      </c>
      <c r="C793" s="12">
        <f>IF('Data Entry'!A793="","",'Data Entry'!C793)</f>
        <v/>
      </c>
      <c r="D793" s="12">
        <f>IF('Data Entry'!A793="","",'Data Entry'!D793)</f>
        <v/>
      </c>
      <c r="E793" s="12">
        <f>IF('Data Entry'!A793="","",'Data Entry'!E793)</f>
        <v/>
      </c>
      <c r="F793" s="12">
        <f>IF('Data Entry'!A793="","",'Data Entry'!F793)</f>
        <v/>
      </c>
      <c r="G793" s="13">
        <f>IF('Data Entry'!A793="","",'Data Entry'!G793)</f>
        <v/>
      </c>
      <c r="H793" s="10">
        <f>IF('Data Entry'!A793="","",'Data Entry'!H793)</f>
        <v/>
      </c>
      <c r="I793" s="10">
        <f>IF('Data Entry'!A793="","",'Data Entry'!I793)</f>
        <v/>
      </c>
      <c r="J793" s="12">
        <f>IF('Data Entry'!A793="","",IF('Data Entry'!D793&lt;&gt;"",'Data Entry'!D793,'Data Entry'!E793))</f>
        <v/>
      </c>
      <c r="K793" s="10">
        <f>IF('Data Entry'!A793="","",IFERROR(SUMIFS($H$5:$H$2001,$J$5:$J$2001,$J793,$B$5:$B$2001,$B793,$A$5:$A$2001,(MAXIFS($A$5:$A$2001,$J$5:$J$2001,$J793,$B$5:$B$2001,$B793,$A$5:$A$2001,"&lt;"&amp;$A793))),""))</f>
        <v/>
      </c>
      <c r="L793" s="14">
        <f>IF(OR('Data Entry'!A793="",$K793=""),"",$H793-$K793)</f>
        <v/>
      </c>
      <c r="M793" s="15">
        <f>IF(OR('Data Entry'!A793="",$K793="",$K793=0),"",$L793/$K793)</f>
        <v/>
      </c>
      <c r="N793" s="12">
        <f>IF('Data Entry'!A793="","",IF($L793="","New item",IF($L793&gt;0,"UP",IF($L793&lt;0,"down","same"))))</f>
        <v/>
      </c>
    </row>
    <row r="794">
      <c r="A794" s="11">
        <f>IF('Data Entry'!A794="","",'Data Entry'!A794)</f>
        <v/>
      </c>
      <c r="B794" s="12">
        <f>IF('Data Entry'!A794="","",'Data Entry'!B794)</f>
        <v/>
      </c>
      <c r="C794" s="12">
        <f>IF('Data Entry'!A794="","",'Data Entry'!C794)</f>
        <v/>
      </c>
      <c r="D794" s="12">
        <f>IF('Data Entry'!A794="","",'Data Entry'!D794)</f>
        <v/>
      </c>
      <c r="E794" s="12">
        <f>IF('Data Entry'!A794="","",'Data Entry'!E794)</f>
        <v/>
      </c>
      <c r="F794" s="12">
        <f>IF('Data Entry'!A794="","",'Data Entry'!F794)</f>
        <v/>
      </c>
      <c r="G794" s="13">
        <f>IF('Data Entry'!A794="","",'Data Entry'!G794)</f>
        <v/>
      </c>
      <c r="H794" s="10">
        <f>IF('Data Entry'!A794="","",'Data Entry'!H794)</f>
        <v/>
      </c>
      <c r="I794" s="10">
        <f>IF('Data Entry'!A794="","",'Data Entry'!I794)</f>
        <v/>
      </c>
      <c r="J794" s="12">
        <f>IF('Data Entry'!A794="","",IF('Data Entry'!D794&lt;&gt;"",'Data Entry'!D794,'Data Entry'!E794))</f>
        <v/>
      </c>
      <c r="K794" s="10">
        <f>IF('Data Entry'!A794="","",IFERROR(SUMIFS($H$5:$H$2001,$J$5:$J$2001,$J794,$B$5:$B$2001,$B794,$A$5:$A$2001,(MAXIFS($A$5:$A$2001,$J$5:$J$2001,$J794,$B$5:$B$2001,$B794,$A$5:$A$2001,"&lt;"&amp;$A794))),""))</f>
        <v/>
      </c>
      <c r="L794" s="14">
        <f>IF(OR('Data Entry'!A794="",$K794=""),"",$H794-$K794)</f>
        <v/>
      </c>
      <c r="M794" s="15">
        <f>IF(OR('Data Entry'!A794="",$K794="",$K794=0),"",$L794/$K794)</f>
        <v/>
      </c>
      <c r="N794" s="12">
        <f>IF('Data Entry'!A794="","",IF($L794="","New item",IF($L794&gt;0,"UP",IF($L794&lt;0,"down","same"))))</f>
        <v/>
      </c>
    </row>
    <row r="795">
      <c r="A795" s="11">
        <f>IF('Data Entry'!A795="","",'Data Entry'!A795)</f>
        <v/>
      </c>
      <c r="B795" s="12">
        <f>IF('Data Entry'!A795="","",'Data Entry'!B795)</f>
        <v/>
      </c>
      <c r="C795" s="12">
        <f>IF('Data Entry'!A795="","",'Data Entry'!C795)</f>
        <v/>
      </c>
      <c r="D795" s="12">
        <f>IF('Data Entry'!A795="","",'Data Entry'!D795)</f>
        <v/>
      </c>
      <c r="E795" s="12">
        <f>IF('Data Entry'!A795="","",'Data Entry'!E795)</f>
        <v/>
      </c>
      <c r="F795" s="12">
        <f>IF('Data Entry'!A795="","",'Data Entry'!F795)</f>
        <v/>
      </c>
      <c r="G795" s="13">
        <f>IF('Data Entry'!A795="","",'Data Entry'!G795)</f>
        <v/>
      </c>
      <c r="H795" s="10">
        <f>IF('Data Entry'!A795="","",'Data Entry'!H795)</f>
        <v/>
      </c>
      <c r="I795" s="10">
        <f>IF('Data Entry'!A795="","",'Data Entry'!I795)</f>
        <v/>
      </c>
      <c r="J795" s="12">
        <f>IF('Data Entry'!A795="","",IF('Data Entry'!D795&lt;&gt;"",'Data Entry'!D795,'Data Entry'!E795))</f>
        <v/>
      </c>
      <c r="K795" s="10">
        <f>IF('Data Entry'!A795="","",IFERROR(SUMIFS($H$5:$H$2001,$J$5:$J$2001,$J795,$B$5:$B$2001,$B795,$A$5:$A$2001,(MAXIFS($A$5:$A$2001,$J$5:$J$2001,$J795,$B$5:$B$2001,$B795,$A$5:$A$2001,"&lt;"&amp;$A795))),""))</f>
        <v/>
      </c>
      <c r="L795" s="14">
        <f>IF(OR('Data Entry'!A795="",$K795=""),"",$H795-$K795)</f>
        <v/>
      </c>
      <c r="M795" s="15">
        <f>IF(OR('Data Entry'!A795="",$K795="",$K795=0),"",$L795/$K795)</f>
        <v/>
      </c>
      <c r="N795" s="12">
        <f>IF('Data Entry'!A795="","",IF($L795="","New item",IF($L795&gt;0,"UP",IF($L795&lt;0,"down","same"))))</f>
        <v/>
      </c>
    </row>
    <row r="796">
      <c r="A796" s="11">
        <f>IF('Data Entry'!A796="","",'Data Entry'!A796)</f>
        <v/>
      </c>
      <c r="B796" s="12">
        <f>IF('Data Entry'!A796="","",'Data Entry'!B796)</f>
        <v/>
      </c>
      <c r="C796" s="12">
        <f>IF('Data Entry'!A796="","",'Data Entry'!C796)</f>
        <v/>
      </c>
      <c r="D796" s="12">
        <f>IF('Data Entry'!A796="","",'Data Entry'!D796)</f>
        <v/>
      </c>
      <c r="E796" s="12">
        <f>IF('Data Entry'!A796="","",'Data Entry'!E796)</f>
        <v/>
      </c>
      <c r="F796" s="12">
        <f>IF('Data Entry'!A796="","",'Data Entry'!F796)</f>
        <v/>
      </c>
      <c r="G796" s="13">
        <f>IF('Data Entry'!A796="","",'Data Entry'!G796)</f>
        <v/>
      </c>
      <c r="H796" s="10">
        <f>IF('Data Entry'!A796="","",'Data Entry'!H796)</f>
        <v/>
      </c>
      <c r="I796" s="10">
        <f>IF('Data Entry'!A796="","",'Data Entry'!I796)</f>
        <v/>
      </c>
      <c r="J796" s="12">
        <f>IF('Data Entry'!A796="","",IF('Data Entry'!D796&lt;&gt;"",'Data Entry'!D796,'Data Entry'!E796))</f>
        <v/>
      </c>
      <c r="K796" s="10">
        <f>IF('Data Entry'!A796="","",IFERROR(SUMIFS($H$5:$H$2001,$J$5:$J$2001,$J796,$B$5:$B$2001,$B796,$A$5:$A$2001,(MAXIFS($A$5:$A$2001,$J$5:$J$2001,$J796,$B$5:$B$2001,$B796,$A$5:$A$2001,"&lt;"&amp;$A796))),""))</f>
        <v/>
      </c>
      <c r="L796" s="14">
        <f>IF(OR('Data Entry'!A796="",$K796=""),"",$H796-$K796)</f>
        <v/>
      </c>
      <c r="M796" s="15">
        <f>IF(OR('Data Entry'!A796="",$K796="",$K796=0),"",$L796/$K796)</f>
        <v/>
      </c>
      <c r="N796" s="12">
        <f>IF('Data Entry'!A796="","",IF($L796="","New item",IF($L796&gt;0,"UP",IF($L796&lt;0,"down","same"))))</f>
        <v/>
      </c>
    </row>
    <row r="797">
      <c r="A797" s="11">
        <f>IF('Data Entry'!A797="","",'Data Entry'!A797)</f>
        <v/>
      </c>
      <c r="B797" s="12">
        <f>IF('Data Entry'!A797="","",'Data Entry'!B797)</f>
        <v/>
      </c>
      <c r="C797" s="12">
        <f>IF('Data Entry'!A797="","",'Data Entry'!C797)</f>
        <v/>
      </c>
      <c r="D797" s="12">
        <f>IF('Data Entry'!A797="","",'Data Entry'!D797)</f>
        <v/>
      </c>
      <c r="E797" s="12">
        <f>IF('Data Entry'!A797="","",'Data Entry'!E797)</f>
        <v/>
      </c>
      <c r="F797" s="12">
        <f>IF('Data Entry'!A797="","",'Data Entry'!F797)</f>
        <v/>
      </c>
      <c r="G797" s="13">
        <f>IF('Data Entry'!A797="","",'Data Entry'!G797)</f>
        <v/>
      </c>
      <c r="H797" s="10">
        <f>IF('Data Entry'!A797="","",'Data Entry'!H797)</f>
        <v/>
      </c>
      <c r="I797" s="10">
        <f>IF('Data Entry'!A797="","",'Data Entry'!I797)</f>
        <v/>
      </c>
      <c r="J797" s="12">
        <f>IF('Data Entry'!A797="","",IF('Data Entry'!D797&lt;&gt;"",'Data Entry'!D797,'Data Entry'!E797))</f>
        <v/>
      </c>
      <c r="K797" s="10">
        <f>IF('Data Entry'!A797="","",IFERROR(SUMIFS($H$5:$H$2001,$J$5:$J$2001,$J797,$B$5:$B$2001,$B797,$A$5:$A$2001,(MAXIFS($A$5:$A$2001,$J$5:$J$2001,$J797,$B$5:$B$2001,$B797,$A$5:$A$2001,"&lt;"&amp;$A797))),""))</f>
        <v/>
      </c>
      <c r="L797" s="14">
        <f>IF(OR('Data Entry'!A797="",$K797=""),"",$H797-$K797)</f>
        <v/>
      </c>
      <c r="M797" s="15">
        <f>IF(OR('Data Entry'!A797="",$K797="",$K797=0),"",$L797/$K797)</f>
        <v/>
      </c>
      <c r="N797" s="12">
        <f>IF('Data Entry'!A797="","",IF($L797="","New item",IF($L797&gt;0,"UP",IF($L797&lt;0,"down","same"))))</f>
        <v/>
      </c>
    </row>
    <row r="798">
      <c r="A798" s="11">
        <f>IF('Data Entry'!A798="","",'Data Entry'!A798)</f>
        <v/>
      </c>
      <c r="B798" s="12">
        <f>IF('Data Entry'!A798="","",'Data Entry'!B798)</f>
        <v/>
      </c>
      <c r="C798" s="12">
        <f>IF('Data Entry'!A798="","",'Data Entry'!C798)</f>
        <v/>
      </c>
      <c r="D798" s="12">
        <f>IF('Data Entry'!A798="","",'Data Entry'!D798)</f>
        <v/>
      </c>
      <c r="E798" s="12">
        <f>IF('Data Entry'!A798="","",'Data Entry'!E798)</f>
        <v/>
      </c>
      <c r="F798" s="12">
        <f>IF('Data Entry'!A798="","",'Data Entry'!F798)</f>
        <v/>
      </c>
      <c r="G798" s="13">
        <f>IF('Data Entry'!A798="","",'Data Entry'!G798)</f>
        <v/>
      </c>
      <c r="H798" s="10">
        <f>IF('Data Entry'!A798="","",'Data Entry'!H798)</f>
        <v/>
      </c>
      <c r="I798" s="10">
        <f>IF('Data Entry'!A798="","",'Data Entry'!I798)</f>
        <v/>
      </c>
      <c r="J798" s="12">
        <f>IF('Data Entry'!A798="","",IF('Data Entry'!D798&lt;&gt;"",'Data Entry'!D798,'Data Entry'!E798))</f>
        <v/>
      </c>
      <c r="K798" s="10">
        <f>IF('Data Entry'!A798="","",IFERROR(SUMIFS($H$5:$H$2001,$J$5:$J$2001,$J798,$B$5:$B$2001,$B798,$A$5:$A$2001,(MAXIFS($A$5:$A$2001,$J$5:$J$2001,$J798,$B$5:$B$2001,$B798,$A$5:$A$2001,"&lt;"&amp;$A798))),""))</f>
        <v/>
      </c>
      <c r="L798" s="14">
        <f>IF(OR('Data Entry'!A798="",$K798=""),"",$H798-$K798)</f>
        <v/>
      </c>
      <c r="M798" s="15">
        <f>IF(OR('Data Entry'!A798="",$K798="",$K798=0),"",$L798/$K798)</f>
        <v/>
      </c>
      <c r="N798" s="12">
        <f>IF('Data Entry'!A798="","",IF($L798="","New item",IF($L798&gt;0,"UP",IF($L798&lt;0,"down","same"))))</f>
        <v/>
      </c>
    </row>
    <row r="799">
      <c r="A799" s="11">
        <f>IF('Data Entry'!A799="","",'Data Entry'!A799)</f>
        <v/>
      </c>
      <c r="B799" s="12">
        <f>IF('Data Entry'!A799="","",'Data Entry'!B799)</f>
        <v/>
      </c>
      <c r="C799" s="12">
        <f>IF('Data Entry'!A799="","",'Data Entry'!C799)</f>
        <v/>
      </c>
      <c r="D799" s="12">
        <f>IF('Data Entry'!A799="","",'Data Entry'!D799)</f>
        <v/>
      </c>
      <c r="E799" s="12">
        <f>IF('Data Entry'!A799="","",'Data Entry'!E799)</f>
        <v/>
      </c>
      <c r="F799" s="12">
        <f>IF('Data Entry'!A799="","",'Data Entry'!F799)</f>
        <v/>
      </c>
      <c r="G799" s="13">
        <f>IF('Data Entry'!A799="","",'Data Entry'!G799)</f>
        <v/>
      </c>
      <c r="H799" s="10">
        <f>IF('Data Entry'!A799="","",'Data Entry'!H799)</f>
        <v/>
      </c>
      <c r="I799" s="10">
        <f>IF('Data Entry'!A799="","",'Data Entry'!I799)</f>
        <v/>
      </c>
      <c r="J799" s="12">
        <f>IF('Data Entry'!A799="","",IF('Data Entry'!D799&lt;&gt;"",'Data Entry'!D799,'Data Entry'!E799))</f>
        <v/>
      </c>
      <c r="K799" s="10">
        <f>IF('Data Entry'!A799="","",IFERROR(SUMIFS($H$5:$H$2001,$J$5:$J$2001,$J799,$B$5:$B$2001,$B799,$A$5:$A$2001,(MAXIFS($A$5:$A$2001,$J$5:$J$2001,$J799,$B$5:$B$2001,$B799,$A$5:$A$2001,"&lt;"&amp;$A799))),""))</f>
        <v/>
      </c>
      <c r="L799" s="14">
        <f>IF(OR('Data Entry'!A799="",$K799=""),"",$H799-$K799)</f>
        <v/>
      </c>
      <c r="M799" s="15">
        <f>IF(OR('Data Entry'!A799="",$K799="",$K799=0),"",$L799/$K799)</f>
        <v/>
      </c>
      <c r="N799" s="12">
        <f>IF('Data Entry'!A799="","",IF($L799="","New item",IF($L799&gt;0,"UP",IF($L799&lt;0,"down","same"))))</f>
        <v/>
      </c>
    </row>
    <row r="800">
      <c r="A800" s="11">
        <f>IF('Data Entry'!A800="","",'Data Entry'!A800)</f>
        <v/>
      </c>
      <c r="B800" s="12">
        <f>IF('Data Entry'!A800="","",'Data Entry'!B800)</f>
        <v/>
      </c>
      <c r="C800" s="12">
        <f>IF('Data Entry'!A800="","",'Data Entry'!C800)</f>
        <v/>
      </c>
      <c r="D800" s="12">
        <f>IF('Data Entry'!A800="","",'Data Entry'!D800)</f>
        <v/>
      </c>
      <c r="E800" s="12">
        <f>IF('Data Entry'!A800="","",'Data Entry'!E800)</f>
        <v/>
      </c>
      <c r="F800" s="12">
        <f>IF('Data Entry'!A800="","",'Data Entry'!F800)</f>
        <v/>
      </c>
      <c r="G800" s="13">
        <f>IF('Data Entry'!A800="","",'Data Entry'!G800)</f>
        <v/>
      </c>
      <c r="H800" s="10">
        <f>IF('Data Entry'!A800="","",'Data Entry'!H800)</f>
        <v/>
      </c>
      <c r="I800" s="10">
        <f>IF('Data Entry'!A800="","",'Data Entry'!I800)</f>
        <v/>
      </c>
      <c r="J800" s="12">
        <f>IF('Data Entry'!A800="","",IF('Data Entry'!D800&lt;&gt;"",'Data Entry'!D800,'Data Entry'!E800))</f>
        <v/>
      </c>
      <c r="K800" s="10">
        <f>IF('Data Entry'!A800="","",IFERROR(SUMIFS($H$5:$H$2001,$J$5:$J$2001,$J800,$B$5:$B$2001,$B800,$A$5:$A$2001,(MAXIFS($A$5:$A$2001,$J$5:$J$2001,$J800,$B$5:$B$2001,$B800,$A$5:$A$2001,"&lt;"&amp;$A800))),""))</f>
        <v/>
      </c>
      <c r="L800" s="14">
        <f>IF(OR('Data Entry'!A800="",$K800=""),"",$H800-$K800)</f>
        <v/>
      </c>
      <c r="M800" s="15">
        <f>IF(OR('Data Entry'!A800="",$K800="",$K800=0),"",$L800/$K800)</f>
        <v/>
      </c>
      <c r="N800" s="12">
        <f>IF('Data Entry'!A800="","",IF($L800="","New item",IF($L800&gt;0,"UP",IF($L800&lt;0,"down","same"))))</f>
        <v/>
      </c>
    </row>
    <row r="801">
      <c r="A801" s="11">
        <f>IF('Data Entry'!A801="","",'Data Entry'!A801)</f>
        <v/>
      </c>
      <c r="B801" s="12">
        <f>IF('Data Entry'!A801="","",'Data Entry'!B801)</f>
        <v/>
      </c>
      <c r="C801" s="12">
        <f>IF('Data Entry'!A801="","",'Data Entry'!C801)</f>
        <v/>
      </c>
      <c r="D801" s="12">
        <f>IF('Data Entry'!A801="","",'Data Entry'!D801)</f>
        <v/>
      </c>
      <c r="E801" s="12">
        <f>IF('Data Entry'!A801="","",'Data Entry'!E801)</f>
        <v/>
      </c>
      <c r="F801" s="12">
        <f>IF('Data Entry'!A801="","",'Data Entry'!F801)</f>
        <v/>
      </c>
      <c r="G801" s="13">
        <f>IF('Data Entry'!A801="","",'Data Entry'!G801)</f>
        <v/>
      </c>
      <c r="H801" s="10">
        <f>IF('Data Entry'!A801="","",'Data Entry'!H801)</f>
        <v/>
      </c>
      <c r="I801" s="10">
        <f>IF('Data Entry'!A801="","",'Data Entry'!I801)</f>
        <v/>
      </c>
      <c r="J801" s="12">
        <f>IF('Data Entry'!A801="","",IF('Data Entry'!D801&lt;&gt;"",'Data Entry'!D801,'Data Entry'!E801))</f>
        <v/>
      </c>
      <c r="K801" s="10">
        <f>IF('Data Entry'!A801="","",IFERROR(SUMIFS($H$5:$H$2001,$J$5:$J$2001,$J801,$B$5:$B$2001,$B801,$A$5:$A$2001,(MAXIFS($A$5:$A$2001,$J$5:$J$2001,$J801,$B$5:$B$2001,$B801,$A$5:$A$2001,"&lt;"&amp;$A801))),""))</f>
        <v/>
      </c>
      <c r="L801" s="14">
        <f>IF(OR('Data Entry'!A801="",$K801=""),"",$H801-$K801)</f>
        <v/>
      </c>
      <c r="M801" s="15">
        <f>IF(OR('Data Entry'!A801="",$K801="",$K801=0),"",$L801/$K801)</f>
        <v/>
      </c>
      <c r="N801" s="12">
        <f>IF('Data Entry'!A801="","",IF($L801="","New item",IF($L801&gt;0,"UP",IF($L801&lt;0,"down","same"))))</f>
        <v/>
      </c>
    </row>
    <row r="802">
      <c r="A802" s="11">
        <f>IF('Data Entry'!A802="","",'Data Entry'!A802)</f>
        <v/>
      </c>
      <c r="B802" s="12">
        <f>IF('Data Entry'!A802="","",'Data Entry'!B802)</f>
        <v/>
      </c>
      <c r="C802" s="12">
        <f>IF('Data Entry'!A802="","",'Data Entry'!C802)</f>
        <v/>
      </c>
      <c r="D802" s="12">
        <f>IF('Data Entry'!A802="","",'Data Entry'!D802)</f>
        <v/>
      </c>
      <c r="E802" s="12">
        <f>IF('Data Entry'!A802="","",'Data Entry'!E802)</f>
        <v/>
      </c>
      <c r="F802" s="12">
        <f>IF('Data Entry'!A802="","",'Data Entry'!F802)</f>
        <v/>
      </c>
      <c r="G802" s="13">
        <f>IF('Data Entry'!A802="","",'Data Entry'!G802)</f>
        <v/>
      </c>
      <c r="H802" s="10">
        <f>IF('Data Entry'!A802="","",'Data Entry'!H802)</f>
        <v/>
      </c>
      <c r="I802" s="10">
        <f>IF('Data Entry'!A802="","",'Data Entry'!I802)</f>
        <v/>
      </c>
      <c r="J802" s="12">
        <f>IF('Data Entry'!A802="","",IF('Data Entry'!D802&lt;&gt;"",'Data Entry'!D802,'Data Entry'!E802))</f>
        <v/>
      </c>
      <c r="K802" s="10">
        <f>IF('Data Entry'!A802="","",IFERROR(SUMIFS($H$5:$H$2001,$J$5:$J$2001,$J802,$B$5:$B$2001,$B802,$A$5:$A$2001,(MAXIFS($A$5:$A$2001,$J$5:$J$2001,$J802,$B$5:$B$2001,$B802,$A$5:$A$2001,"&lt;"&amp;$A802))),""))</f>
        <v/>
      </c>
      <c r="L802" s="14">
        <f>IF(OR('Data Entry'!A802="",$K802=""),"",$H802-$K802)</f>
        <v/>
      </c>
      <c r="M802" s="15">
        <f>IF(OR('Data Entry'!A802="",$K802="",$K802=0),"",$L802/$K802)</f>
        <v/>
      </c>
      <c r="N802" s="12">
        <f>IF('Data Entry'!A802="","",IF($L802="","New item",IF($L802&gt;0,"UP",IF($L802&lt;0,"down","same"))))</f>
        <v/>
      </c>
    </row>
    <row r="803">
      <c r="A803" s="11">
        <f>IF('Data Entry'!A803="","",'Data Entry'!A803)</f>
        <v/>
      </c>
      <c r="B803" s="12">
        <f>IF('Data Entry'!A803="","",'Data Entry'!B803)</f>
        <v/>
      </c>
      <c r="C803" s="12">
        <f>IF('Data Entry'!A803="","",'Data Entry'!C803)</f>
        <v/>
      </c>
      <c r="D803" s="12">
        <f>IF('Data Entry'!A803="","",'Data Entry'!D803)</f>
        <v/>
      </c>
      <c r="E803" s="12">
        <f>IF('Data Entry'!A803="","",'Data Entry'!E803)</f>
        <v/>
      </c>
      <c r="F803" s="12">
        <f>IF('Data Entry'!A803="","",'Data Entry'!F803)</f>
        <v/>
      </c>
      <c r="G803" s="13">
        <f>IF('Data Entry'!A803="","",'Data Entry'!G803)</f>
        <v/>
      </c>
      <c r="H803" s="10">
        <f>IF('Data Entry'!A803="","",'Data Entry'!H803)</f>
        <v/>
      </c>
      <c r="I803" s="10">
        <f>IF('Data Entry'!A803="","",'Data Entry'!I803)</f>
        <v/>
      </c>
      <c r="J803" s="12">
        <f>IF('Data Entry'!A803="","",IF('Data Entry'!D803&lt;&gt;"",'Data Entry'!D803,'Data Entry'!E803))</f>
        <v/>
      </c>
      <c r="K803" s="10">
        <f>IF('Data Entry'!A803="","",IFERROR(SUMIFS($H$5:$H$2001,$J$5:$J$2001,$J803,$B$5:$B$2001,$B803,$A$5:$A$2001,(MAXIFS($A$5:$A$2001,$J$5:$J$2001,$J803,$B$5:$B$2001,$B803,$A$5:$A$2001,"&lt;"&amp;$A803))),""))</f>
        <v/>
      </c>
      <c r="L803" s="14">
        <f>IF(OR('Data Entry'!A803="",$K803=""),"",$H803-$K803)</f>
        <v/>
      </c>
      <c r="M803" s="15">
        <f>IF(OR('Data Entry'!A803="",$K803="",$K803=0),"",$L803/$K803)</f>
        <v/>
      </c>
      <c r="N803" s="12">
        <f>IF('Data Entry'!A803="","",IF($L803="","New item",IF($L803&gt;0,"UP",IF($L803&lt;0,"down","same"))))</f>
        <v/>
      </c>
    </row>
    <row r="804">
      <c r="A804" s="11">
        <f>IF('Data Entry'!A804="","",'Data Entry'!A804)</f>
        <v/>
      </c>
      <c r="B804" s="12">
        <f>IF('Data Entry'!A804="","",'Data Entry'!B804)</f>
        <v/>
      </c>
      <c r="C804" s="12">
        <f>IF('Data Entry'!A804="","",'Data Entry'!C804)</f>
        <v/>
      </c>
      <c r="D804" s="12">
        <f>IF('Data Entry'!A804="","",'Data Entry'!D804)</f>
        <v/>
      </c>
      <c r="E804" s="12">
        <f>IF('Data Entry'!A804="","",'Data Entry'!E804)</f>
        <v/>
      </c>
      <c r="F804" s="12">
        <f>IF('Data Entry'!A804="","",'Data Entry'!F804)</f>
        <v/>
      </c>
      <c r="G804" s="13">
        <f>IF('Data Entry'!A804="","",'Data Entry'!G804)</f>
        <v/>
      </c>
      <c r="H804" s="10">
        <f>IF('Data Entry'!A804="","",'Data Entry'!H804)</f>
        <v/>
      </c>
      <c r="I804" s="10">
        <f>IF('Data Entry'!A804="","",'Data Entry'!I804)</f>
        <v/>
      </c>
      <c r="J804" s="12">
        <f>IF('Data Entry'!A804="","",IF('Data Entry'!D804&lt;&gt;"",'Data Entry'!D804,'Data Entry'!E804))</f>
        <v/>
      </c>
      <c r="K804" s="10">
        <f>IF('Data Entry'!A804="","",IFERROR(SUMIFS($H$5:$H$2001,$J$5:$J$2001,$J804,$B$5:$B$2001,$B804,$A$5:$A$2001,(MAXIFS($A$5:$A$2001,$J$5:$J$2001,$J804,$B$5:$B$2001,$B804,$A$5:$A$2001,"&lt;"&amp;$A804))),""))</f>
        <v/>
      </c>
      <c r="L804" s="14">
        <f>IF(OR('Data Entry'!A804="",$K804=""),"",$H804-$K804)</f>
        <v/>
      </c>
      <c r="M804" s="15">
        <f>IF(OR('Data Entry'!A804="",$K804="",$K804=0),"",$L804/$K804)</f>
        <v/>
      </c>
      <c r="N804" s="12">
        <f>IF('Data Entry'!A804="","",IF($L804="","New item",IF($L804&gt;0,"UP",IF($L804&lt;0,"down","same"))))</f>
        <v/>
      </c>
    </row>
    <row r="805">
      <c r="A805" s="11">
        <f>IF('Data Entry'!A805="","",'Data Entry'!A805)</f>
        <v/>
      </c>
      <c r="B805" s="12">
        <f>IF('Data Entry'!A805="","",'Data Entry'!B805)</f>
        <v/>
      </c>
      <c r="C805" s="12">
        <f>IF('Data Entry'!A805="","",'Data Entry'!C805)</f>
        <v/>
      </c>
      <c r="D805" s="12">
        <f>IF('Data Entry'!A805="","",'Data Entry'!D805)</f>
        <v/>
      </c>
      <c r="E805" s="12">
        <f>IF('Data Entry'!A805="","",'Data Entry'!E805)</f>
        <v/>
      </c>
      <c r="F805" s="12">
        <f>IF('Data Entry'!A805="","",'Data Entry'!F805)</f>
        <v/>
      </c>
      <c r="G805" s="13">
        <f>IF('Data Entry'!A805="","",'Data Entry'!G805)</f>
        <v/>
      </c>
      <c r="H805" s="10">
        <f>IF('Data Entry'!A805="","",'Data Entry'!H805)</f>
        <v/>
      </c>
      <c r="I805" s="10">
        <f>IF('Data Entry'!A805="","",'Data Entry'!I805)</f>
        <v/>
      </c>
      <c r="J805" s="12">
        <f>IF('Data Entry'!A805="","",IF('Data Entry'!D805&lt;&gt;"",'Data Entry'!D805,'Data Entry'!E805))</f>
        <v/>
      </c>
      <c r="K805" s="10">
        <f>IF('Data Entry'!A805="","",IFERROR(SUMIFS($H$5:$H$2001,$J$5:$J$2001,$J805,$B$5:$B$2001,$B805,$A$5:$A$2001,(MAXIFS($A$5:$A$2001,$J$5:$J$2001,$J805,$B$5:$B$2001,$B805,$A$5:$A$2001,"&lt;"&amp;$A805))),""))</f>
        <v/>
      </c>
      <c r="L805" s="14">
        <f>IF(OR('Data Entry'!A805="",$K805=""),"",$H805-$K805)</f>
        <v/>
      </c>
      <c r="M805" s="15">
        <f>IF(OR('Data Entry'!A805="",$K805="",$K805=0),"",$L805/$K805)</f>
        <v/>
      </c>
      <c r="N805" s="12">
        <f>IF('Data Entry'!A805="","",IF($L805="","New item",IF($L805&gt;0,"UP",IF($L805&lt;0,"down","same"))))</f>
        <v/>
      </c>
    </row>
    <row r="806">
      <c r="A806" s="11">
        <f>IF('Data Entry'!A806="","",'Data Entry'!A806)</f>
        <v/>
      </c>
      <c r="B806" s="12">
        <f>IF('Data Entry'!A806="","",'Data Entry'!B806)</f>
        <v/>
      </c>
      <c r="C806" s="12">
        <f>IF('Data Entry'!A806="","",'Data Entry'!C806)</f>
        <v/>
      </c>
      <c r="D806" s="12">
        <f>IF('Data Entry'!A806="","",'Data Entry'!D806)</f>
        <v/>
      </c>
      <c r="E806" s="12">
        <f>IF('Data Entry'!A806="","",'Data Entry'!E806)</f>
        <v/>
      </c>
      <c r="F806" s="12">
        <f>IF('Data Entry'!A806="","",'Data Entry'!F806)</f>
        <v/>
      </c>
      <c r="G806" s="13">
        <f>IF('Data Entry'!A806="","",'Data Entry'!G806)</f>
        <v/>
      </c>
      <c r="H806" s="10">
        <f>IF('Data Entry'!A806="","",'Data Entry'!H806)</f>
        <v/>
      </c>
      <c r="I806" s="10">
        <f>IF('Data Entry'!A806="","",'Data Entry'!I806)</f>
        <v/>
      </c>
      <c r="J806" s="12">
        <f>IF('Data Entry'!A806="","",IF('Data Entry'!D806&lt;&gt;"",'Data Entry'!D806,'Data Entry'!E806))</f>
        <v/>
      </c>
      <c r="K806" s="10">
        <f>IF('Data Entry'!A806="","",IFERROR(SUMIFS($H$5:$H$2001,$J$5:$J$2001,$J806,$B$5:$B$2001,$B806,$A$5:$A$2001,(MAXIFS($A$5:$A$2001,$J$5:$J$2001,$J806,$B$5:$B$2001,$B806,$A$5:$A$2001,"&lt;"&amp;$A806))),""))</f>
        <v/>
      </c>
      <c r="L806" s="14">
        <f>IF(OR('Data Entry'!A806="",$K806=""),"",$H806-$K806)</f>
        <v/>
      </c>
      <c r="M806" s="15">
        <f>IF(OR('Data Entry'!A806="",$K806="",$K806=0),"",$L806/$K806)</f>
        <v/>
      </c>
      <c r="N806" s="12">
        <f>IF('Data Entry'!A806="","",IF($L806="","New item",IF($L806&gt;0,"UP",IF($L806&lt;0,"down","same"))))</f>
        <v/>
      </c>
    </row>
    <row r="807">
      <c r="A807" s="11">
        <f>IF('Data Entry'!A807="","",'Data Entry'!A807)</f>
        <v/>
      </c>
      <c r="B807" s="12">
        <f>IF('Data Entry'!A807="","",'Data Entry'!B807)</f>
        <v/>
      </c>
      <c r="C807" s="12">
        <f>IF('Data Entry'!A807="","",'Data Entry'!C807)</f>
        <v/>
      </c>
      <c r="D807" s="12">
        <f>IF('Data Entry'!A807="","",'Data Entry'!D807)</f>
        <v/>
      </c>
      <c r="E807" s="12">
        <f>IF('Data Entry'!A807="","",'Data Entry'!E807)</f>
        <v/>
      </c>
      <c r="F807" s="12">
        <f>IF('Data Entry'!A807="","",'Data Entry'!F807)</f>
        <v/>
      </c>
      <c r="G807" s="13">
        <f>IF('Data Entry'!A807="","",'Data Entry'!G807)</f>
        <v/>
      </c>
      <c r="H807" s="10">
        <f>IF('Data Entry'!A807="","",'Data Entry'!H807)</f>
        <v/>
      </c>
      <c r="I807" s="10">
        <f>IF('Data Entry'!A807="","",'Data Entry'!I807)</f>
        <v/>
      </c>
      <c r="J807" s="12">
        <f>IF('Data Entry'!A807="","",IF('Data Entry'!D807&lt;&gt;"",'Data Entry'!D807,'Data Entry'!E807))</f>
        <v/>
      </c>
      <c r="K807" s="10">
        <f>IF('Data Entry'!A807="","",IFERROR(SUMIFS($H$5:$H$2001,$J$5:$J$2001,$J807,$B$5:$B$2001,$B807,$A$5:$A$2001,(MAXIFS($A$5:$A$2001,$J$5:$J$2001,$J807,$B$5:$B$2001,$B807,$A$5:$A$2001,"&lt;"&amp;$A807))),""))</f>
        <v/>
      </c>
      <c r="L807" s="14">
        <f>IF(OR('Data Entry'!A807="",$K807=""),"",$H807-$K807)</f>
        <v/>
      </c>
      <c r="M807" s="15">
        <f>IF(OR('Data Entry'!A807="",$K807="",$K807=0),"",$L807/$K807)</f>
        <v/>
      </c>
      <c r="N807" s="12">
        <f>IF('Data Entry'!A807="","",IF($L807="","New item",IF($L807&gt;0,"UP",IF($L807&lt;0,"down","same"))))</f>
        <v/>
      </c>
    </row>
    <row r="808">
      <c r="A808" s="11">
        <f>IF('Data Entry'!A808="","",'Data Entry'!A808)</f>
        <v/>
      </c>
      <c r="B808" s="12">
        <f>IF('Data Entry'!A808="","",'Data Entry'!B808)</f>
        <v/>
      </c>
      <c r="C808" s="12">
        <f>IF('Data Entry'!A808="","",'Data Entry'!C808)</f>
        <v/>
      </c>
      <c r="D808" s="12">
        <f>IF('Data Entry'!A808="","",'Data Entry'!D808)</f>
        <v/>
      </c>
      <c r="E808" s="12">
        <f>IF('Data Entry'!A808="","",'Data Entry'!E808)</f>
        <v/>
      </c>
      <c r="F808" s="12">
        <f>IF('Data Entry'!A808="","",'Data Entry'!F808)</f>
        <v/>
      </c>
      <c r="G808" s="13">
        <f>IF('Data Entry'!A808="","",'Data Entry'!G808)</f>
        <v/>
      </c>
      <c r="H808" s="10">
        <f>IF('Data Entry'!A808="","",'Data Entry'!H808)</f>
        <v/>
      </c>
      <c r="I808" s="10">
        <f>IF('Data Entry'!A808="","",'Data Entry'!I808)</f>
        <v/>
      </c>
      <c r="J808" s="12">
        <f>IF('Data Entry'!A808="","",IF('Data Entry'!D808&lt;&gt;"",'Data Entry'!D808,'Data Entry'!E808))</f>
        <v/>
      </c>
      <c r="K808" s="10">
        <f>IF('Data Entry'!A808="","",IFERROR(SUMIFS($H$5:$H$2001,$J$5:$J$2001,$J808,$B$5:$B$2001,$B808,$A$5:$A$2001,(MAXIFS($A$5:$A$2001,$J$5:$J$2001,$J808,$B$5:$B$2001,$B808,$A$5:$A$2001,"&lt;"&amp;$A808))),""))</f>
        <v/>
      </c>
      <c r="L808" s="14">
        <f>IF(OR('Data Entry'!A808="",$K808=""),"",$H808-$K808)</f>
        <v/>
      </c>
      <c r="M808" s="15">
        <f>IF(OR('Data Entry'!A808="",$K808="",$K808=0),"",$L808/$K808)</f>
        <v/>
      </c>
      <c r="N808" s="12">
        <f>IF('Data Entry'!A808="","",IF($L808="","New item",IF($L808&gt;0,"UP",IF($L808&lt;0,"down","same"))))</f>
        <v/>
      </c>
    </row>
    <row r="809">
      <c r="A809" s="11">
        <f>IF('Data Entry'!A809="","",'Data Entry'!A809)</f>
        <v/>
      </c>
      <c r="B809" s="12">
        <f>IF('Data Entry'!A809="","",'Data Entry'!B809)</f>
        <v/>
      </c>
      <c r="C809" s="12">
        <f>IF('Data Entry'!A809="","",'Data Entry'!C809)</f>
        <v/>
      </c>
      <c r="D809" s="12">
        <f>IF('Data Entry'!A809="","",'Data Entry'!D809)</f>
        <v/>
      </c>
      <c r="E809" s="12">
        <f>IF('Data Entry'!A809="","",'Data Entry'!E809)</f>
        <v/>
      </c>
      <c r="F809" s="12">
        <f>IF('Data Entry'!A809="","",'Data Entry'!F809)</f>
        <v/>
      </c>
      <c r="G809" s="13">
        <f>IF('Data Entry'!A809="","",'Data Entry'!G809)</f>
        <v/>
      </c>
      <c r="H809" s="10">
        <f>IF('Data Entry'!A809="","",'Data Entry'!H809)</f>
        <v/>
      </c>
      <c r="I809" s="10">
        <f>IF('Data Entry'!A809="","",'Data Entry'!I809)</f>
        <v/>
      </c>
      <c r="J809" s="12">
        <f>IF('Data Entry'!A809="","",IF('Data Entry'!D809&lt;&gt;"",'Data Entry'!D809,'Data Entry'!E809))</f>
        <v/>
      </c>
      <c r="K809" s="10">
        <f>IF('Data Entry'!A809="","",IFERROR(SUMIFS($H$5:$H$2001,$J$5:$J$2001,$J809,$B$5:$B$2001,$B809,$A$5:$A$2001,(MAXIFS($A$5:$A$2001,$J$5:$J$2001,$J809,$B$5:$B$2001,$B809,$A$5:$A$2001,"&lt;"&amp;$A809))),""))</f>
        <v/>
      </c>
      <c r="L809" s="14">
        <f>IF(OR('Data Entry'!A809="",$K809=""),"",$H809-$K809)</f>
        <v/>
      </c>
      <c r="M809" s="15">
        <f>IF(OR('Data Entry'!A809="",$K809="",$K809=0),"",$L809/$K809)</f>
        <v/>
      </c>
      <c r="N809" s="12">
        <f>IF('Data Entry'!A809="","",IF($L809="","New item",IF($L809&gt;0,"UP",IF($L809&lt;0,"down","same"))))</f>
        <v/>
      </c>
    </row>
    <row r="810">
      <c r="A810" s="11">
        <f>IF('Data Entry'!A810="","",'Data Entry'!A810)</f>
        <v/>
      </c>
      <c r="B810" s="12">
        <f>IF('Data Entry'!A810="","",'Data Entry'!B810)</f>
        <v/>
      </c>
      <c r="C810" s="12">
        <f>IF('Data Entry'!A810="","",'Data Entry'!C810)</f>
        <v/>
      </c>
      <c r="D810" s="12">
        <f>IF('Data Entry'!A810="","",'Data Entry'!D810)</f>
        <v/>
      </c>
      <c r="E810" s="12">
        <f>IF('Data Entry'!A810="","",'Data Entry'!E810)</f>
        <v/>
      </c>
      <c r="F810" s="12">
        <f>IF('Data Entry'!A810="","",'Data Entry'!F810)</f>
        <v/>
      </c>
      <c r="G810" s="13">
        <f>IF('Data Entry'!A810="","",'Data Entry'!G810)</f>
        <v/>
      </c>
      <c r="H810" s="10">
        <f>IF('Data Entry'!A810="","",'Data Entry'!H810)</f>
        <v/>
      </c>
      <c r="I810" s="10">
        <f>IF('Data Entry'!A810="","",'Data Entry'!I810)</f>
        <v/>
      </c>
      <c r="J810" s="12">
        <f>IF('Data Entry'!A810="","",IF('Data Entry'!D810&lt;&gt;"",'Data Entry'!D810,'Data Entry'!E810))</f>
        <v/>
      </c>
      <c r="K810" s="10">
        <f>IF('Data Entry'!A810="","",IFERROR(SUMIFS($H$5:$H$2001,$J$5:$J$2001,$J810,$B$5:$B$2001,$B810,$A$5:$A$2001,(MAXIFS($A$5:$A$2001,$J$5:$J$2001,$J810,$B$5:$B$2001,$B810,$A$5:$A$2001,"&lt;"&amp;$A810))),""))</f>
        <v/>
      </c>
      <c r="L810" s="14">
        <f>IF(OR('Data Entry'!A810="",$K810=""),"",$H810-$K810)</f>
        <v/>
      </c>
      <c r="M810" s="15">
        <f>IF(OR('Data Entry'!A810="",$K810="",$K810=0),"",$L810/$K810)</f>
        <v/>
      </c>
      <c r="N810" s="12">
        <f>IF('Data Entry'!A810="","",IF($L810="","New item",IF($L810&gt;0,"UP",IF($L810&lt;0,"down","same"))))</f>
        <v/>
      </c>
    </row>
    <row r="811">
      <c r="A811" s="11">
        <f>IF('Data Entry'!A811="","",'Data Entry'!A811)</f>
        <v/>
      </c>
      <c r="B811" s="12">
        <f>IF('Data Entry'!A811="","",'Data Entry'!B811)</f>
        <v/>
      </c>
      <c r="C811" s="12">
        <f>IF('Data Entry'!A811="","",'Data Entry'!C811)</f>
        <v/>
      </c>
      <c r="D811" s="12">
        <f>IF('Data Entry'!A811="","",'Data Entry'!D811)</f>
        <v/>
      </c>
      <c r="E811" s="12">
        <f>IF('Data Entry'!A811="","",'Data Entry'!E811)</f>
        <v/>
      </c>
      <c r="F811" s="12">
        <f>IF('Data Entry'!A811="","",'Data Entry'!F811)</f>
        <v/>
      </c>
      <c r="G811" s="13">
        <f>IF('Data Entry'!A811="","",'Data Entry'!G811)</f>
        <v/>
      </c>
      <c r="H811" s="10">
        <f>IF('Data Entry'!A811="","",'Data Entry'!H811)</f>
        <v/>
      </c>
      <c r="I811" s="10">
        <f>IF('Data Entry'!A811="","",'Data Entry'!I811)</f>
        <v/>
      </c>
      <c r="J811" s="12">
        <f>IF('Data Entry'!A811="","",IF('Data Entry'!D811&lt;&gt;"",'Data Entry'!D811,'Data Entry'!E811))</f>
        <v/>
      </c>
      <c r="K811" s="10">
        <f>IF('Data Entry'!A811="","",IFERROR(SUMIFS($H$5:$H$2001,$J$5:$J$2001,$J811,$B$5:$B$2001,$B811,$A$5:$A$2001,(MAXIFS($A$5:$A$2001,$J$5:$J$2001,$J811,$B$5:$B$2001,$B811,$A$5:$A$2001,"&lt;"&amp;$A811))),""))</f>
        <v/>
      </c>
      <c r="L811" s="14">
        <f>IF(OR('Data Entry'!A811="",$K811=""),"",$H811-$K811)</f>
        <v/>
      </c>
      <c r="M811" s="15">
        <f>IF(OR('Data Entry'!A811="",$K811="",$K811=0),"",$L811/$K811)</f>
        <v/>
      </c>
      <c r="N811" s="12">
        <f>IF('Data Entry'!A811="","",IF($L811="","New item",IF($L811&gt;0,"UP",IF($L811&lt;0,"down","same"))))</f>
        <v/>
      </c>
    </row>
    <row r="812">
      <c r="A812" s="11">
        <f>IF('Data Entry'!A812="","",'Data Entry'!A812)</f>
        <v/>
      </c>
      <c r="B812" s="12">
        <f>IF('Data Entry'!A812="","",'Data Entry'!B812)</f>
        <v/>
      </c>
      <c r="C812" s="12">
        <f>IF('Data Entry'!A812="","",'Data Entry'!C812)</f>
        <v/>
      </c>
      <c r="D812" s="12">
        <f>IF('Data Entry'!A812="","",'Data Entry'!D812)</f>
        <v/>
      </c>
      <c r="E812" s="12">
        <f>IF('Data Entry'!A812="","",'Data Entry'!E812)</f>
        <v/>
      </c>
      <c r="F812" s="12">
        <f>IF('Data Entry'!A812="","",'Data Entry'!F812)</f>
        <v/>
      </c>
      <c r="G812" s="13">
        <f>IF('Data Entry'!A812="","",'Data Entry'!G812)</f>
        <v/>
      </c>
      <c r="H812" s="10">
        <f>IF('Data Entry'!A812="","",'Data Entry'!H812)</f>
        <v/>
      </c>
      <c r="I812" s="10">
        <f>IF('Data Entry'!A812="","",'Data Entry'!I812)</f>
        <v/>
      </c>
      <c r="J812" s="12">
        <f>IF('Data Entry'!A812="","",IF('Data Entry'!D812&lt;&gt;"",'Data Entry'!D812,'Data Entry'!E812))</f>
        <v/>
      </c>
      <c r="K812" s="10">
        <f>IF('Data Entry'!A812="","",IFERROR(SUMIFS($H$5:$H$2001,$J$5:$J$2001,$J812,$B$5:$B$2001,$B812,$A$5:$A$2001,(MAXIFS($A$5:$A$2001,$J$5:$J$2001,$J812,$B$5:$B$2001,$B812,$A$5:$A$2001,"&lt;"&amp;$A812))),""))</f>
        <v/>
      </c>
      <c r="L812" s="14">
        <f>IF(OR('Data Entry'!A812="",$K812=""),"",$H812-$K812)</f>
        <v/>
      </c>
      <c r="M812" s="15">
        <f>IF(OR('Data Entry'!A812="",$K812="",$K812=0),"",$L812/$K812)</f>
        <v/>
      </c>
      <c r="N812" s="12">
        <f>IF('Data Entry'!A812="","",IF($L812="","New item",IF($L812&gt;0,"UP",IF($L812&lt;0,"down","same"))))</f>
        <v/>
      </c>
    </row>
    <row r="813">
      <c r="A813" s="11">
        <f>IF('Data Entry'!A813="","",'Data Entry'!A813)</f>
        <v/>
      </c>
      <c r="B813" s="12">
        <f>IF('Data Entry'!A813="","",'Data Entry'!B813)</f>
        <v/>
      </c>
      <c r="C813" s="12">
        <f>IF('Data Entry'!A813="","",'Data Entry'!C813)</f>
        <v/>
      </c>
      <c r="D813" s="12">
        <f>IF('Data Entry'!A813="","",'Data Entry'!D813)</f>
        <v/>
      </c>
      <c r="E813" s="12">
        <f>IF('Data Entry'!A813="","",'Data Entry'!E813)</f>
        <v/>
      </c>
      <c r="F813" s="12">
        <f>IF('Data Entry'!A813="","",'Data Entry'!F813)</f>
        <v/>
      </c>
      <c r="G813" s="13">
        <f>IF('Data Entry'!A813="","",'Data Entry'!G813)</f>
        <v/>
      </c>
      <c r="H813" s="10">
        <f>IF('Data Entry'!A813="","",'Data Entry'!H813)</f>
        <v/>
      </c>
      <c r="I813" s="10">
        <f>IF('Data Entry'!A813="","",'Data Entry'!I813)</f>
        <v/>
      </c>
      <c r="J813" s="12">
        <f>IF('Data Entry'!A813="","",IF('Data Entry'!D813&lt;&gt;"",'Data Entry'!D813,'Data Entry'!E813))</f>
        <v/>
      </c>
      <c r="K813" s="10">
        <f>IF('Data Entry'!A813="","",IFERROR(SUMIFS($H$5:$H$2001,$J$5:$J$2001,$J813,$B$5:$B$2001,$B813,$A$5:$A$2001,(MAXIFS($A$5:$A$2001,$J$5:$J$2001,$J813,$B$5:$B$2001,$B813,$A$5:$A$2001,"&lt;"&amp;$A813))),""))</f>
        <v/>
      </c>
      <c r="L813" s="14">
        <f>IF(OR('Data Entry'!A813="",$K813=""),"",$H813-$K813)</f>
        <v/>
      </c>
      <c r="M813" s="15">
        <f>IF(OR('Data Entry'!A813="",$K813="",$K813=0),"",$L813/$K813)</f>
        <v/>
      </c>
      <c r="N813" s="12">
        <f>IF('Data Entry'!A813="","",IF($L813="","New item",IF($L813&gt;0,"UP",IF($L813&lt;0,"down","same"))))</f>
        <v/>
      </c>
    </row>
    <row r="814">
      <c r="A814" s="11">
        <f>IF('Data Entry'!A814="","",'Data Entry'!A814)</f>
        <v/>
      </c>
      <c r="B814" s="12">
        <f>IF('Data Entry'!A814="","",'Data Entry'!B814)</f>
        <v/>
      </c>
      <c r="C814" s="12">
        <f>IF('Data Entry'!A814="","",'Data Entry'!C814)</f>
        <v/>
      </c>
      <c r="D814" s="12">
        <f>IF('Data Entry'!A814="","",'Data Entry'!D814)</f>
        <v/>
      </c>
      <c r="E814" s="12">
        <f>IF('Data Entry'!A814="","",'Data Entry'!E814)</f>
        <v/>
      </c>
      <c r="F814" s="12">
        <f>IF('Data Entry'!A814="","",'Data Entry'!F814)</f>
        <v/>
      </c>
      <c r="G814" s="13">
        <f>IF('Data Entry'!A814="","",'Data Entry'!G814)</f>
        <v/>
      </c>
      <c r="H814" s="10">
        <f>IF('Data Entry'!A814="","",'Data Entry'!H814)</f>
        <v/>
      </c>
      <c r="I814" s="10">
        <f>IF('Data Entry'!A814="","",'Data Entry'!I814)</f>
        <v/>
      </c>
      <c r="J814" s="12">
        <f>IF('Data Entry'!A814="","",IF('Data Entry'!D814&lt;&gt;"",'Data Entry'!D814,'Data Entry'!E814))</f>
        <v/>
      </c>
      <c r="K814" s="10">
        <f>IF('Data Entry'!A814="","",IFERROR(SUMIFS($H$5:$H$2001,$J$5:$J$2001,$J814,$B$5:$B$2001,$B814,$A$5:$A$2001,(MAXIFS($A$5:$A$2001,$J$5:$J$2001,$J814,$B$5:$B$2001,$B814,$A$5:$A$2001,"&lt;"&amp;$A814))),""))</f>
        <v/>
      </c>
      <c r="L814" s="14">
        <f>IF(OR('Data Entry'!A814="",$K814=""),"",$H814-$K814)</f>
        <v/>
      </c>
      <c r="M814" s="15">
        <f>IF(OR('Data Entry'!A814="",$K814="",$K814=0),"",$L814/$K814)</f>
        <v/>
      </c>
      <c r="N814" s="12">
        <f>IF('Data Entry'!A814="","",IF($L814="","New item",IF($L814&gt;0,"UP",IF($L814&lt;0,"down","same"))))</f>
        <v/>
      </c>
    </row>
    <row r="815">
      <c r="A815" s="11">
        <f>IF('Data Entry'!A815="","",'Data Entry'!A815)</f>
        <v/>
      </c>
      <c r="B815" s="12">
        <f>IF('Data Entry'!A815="","",'Data Entry'!B815)</f>
        <v/>
      </c>
      <c r="C815" s="12">
        <f>IF('Data Entry'!A815="","",'Data Entry'!C815)</f>
        <v/>
      </c>
      <c r="D815" s="12">
        <f>IF('Data Entry'!A815="","",'Data Entry'!D815)</f>
        <v/>
      </c>
      <c r="E815" s="12">
        <f>IF('Data Entry'!A815="","",'Data Entry'!E815)</f>
        <v/>
      </c>
      <c r="F815" s="12">
        <f>IF('Data Entry'!A815="","",'Data Entry'!F815)</f>
        <v/>
      </c>
      <c r="G815" s="13">
        <f>IF('Data Entry'!A815="","",'Data Entry'!G815)</f>
        <v/>
      </c>
      <c r="H815" s="10">
        <f>IF('Data Entry'!A815="","",'Data Entry'!H815)</f>
        <v/>
      </c>
      <c r="I815" s="10">
        <f>IF('Data Entry'!A815="","",'Data Entry'!I815)</f>
        <v/>
      </c>
      <c r="J815" s="12">
        <f>IF('Data Entry'!A815="","",IF('Data Entry'!D815&lt;&gt;"",'Data Entry'!D815,'Data Entry'!E815))</f>
        <v/>
      </c>
      <c r="K815" s="10">
        <f>IF('Data Entry'!A815="","",IFERROR(SUMIFS($H$5:$H$2001,$J$5:$J$2001,$J815,$B$5:$B$2001,$B815,$A$5:$A$2001,(MAXIFS($A$5:$A$2001,$J$5:$J$2001,$J815,$B$5:$B$2001,$B815,$A$5:$A$2001,"&lt;"&amp;$A815))),""))</f>
        <v/>
      </c>
      <c r="L815" s="14">
        <f>IF(OR('Data Entry'!A815="",$K815=""),"",$H815-$K815)</f>
        <v/>
      </c>
      <c r="M815" s="15">
        <f>IF(OR('Data Entry'!A815="",$K815="",$K815=0),"",$L815/$K815)</f>
        <v/>
      </c>
      <c r="N815" s="12">
        <f>IF('Data Entry'!A815="","",IF($L815="","New item",IF($L815&gt;0,"UP",IF($L815&lt;0,"down","same"))))</f>
        <v/>
      </c>
    </row>
    <row r="816">
      <c r="A816" s="11">
        <f>IF('Data Entry'!A816="","",'Data Entry'!A816)</f>
        <v/>
      </c>
      <c r="B816" s="12">
        <f>IF('Data Entry'!A816="","",'Data Entry'!B816)</f>
        <v/>
      </c>
      <c r="C816" s="12">
        <f>IF('Data Entry'!A816="","",'Data Entry'!C816)</f>
        <v/>
      </c>
      <c r="D816" s="12">
        <f>IF('Data Entry'!A816="","",'Data Entry'!D816)</f>
        <v/>
      </c>
      <c r="E816" s="12">
        <f>IF('Data Entry'!A816="","",'Data Entry'!E816)</f>
        <v/>
      </c>
      <c r="F816" s="12">
        <f>IF('Data Entry'!A816="","",'Data Entry'!F816)</f>
        <v/>
      </c>
      <c r="G816" s="13">
        <f>IF('Data Entry'!A816="","",'Data Entry'!G816)</f>
        <v/>
      </c>
      <c r="H816" s="10">
        <f>IF('Data Entry'!A816="","",'Data Entry'!H816)</f>
        <v/>
      </c>
      <c r="I816" s="10">
        <f>IF('Data Entry'!A816="","",'Data Entry'!I816)</f>
        <v/>
      </c>
      <c r="J816" s="12">
        <f>IF('Data Entry'!A816="","",IF('Data Entry'!D816&lt;&gt;"",'Data Entry'!D816,'Data Entry'!E816))</f>
        <v/>
      </c>
      <c r="K816" s="10">
        <f>IF('Data Entry'!A816="","",IFERROR(SUMIFS($H$5:$H$2001,$J$5:$J$2001,$J816,$B$5:$B$2001,$B816,$A$5:$A$2001,(MAXIFS($A$5:$A$2001,$J$5:$J$2001,$J816,$B$5:$B$2001,$B816,$A$5:$A$2001,"&lt;"&amp;$A816))),""))</f>
        <v/>
      </c>
      <c r="L816" s="14">
        <f>IF(OR('Data Entry'!A816="",$K816=""),"",$H816-$K816)</f>
        <v/>
      </c>
      <c r="M816" s="15">
        <f>IF(OR('Data Entry'!A816="",$K816="",$K816=0),"",$L816/$K816)</f>
        <v/>
      </c>
      <c r="N816" s="12">
        <f>IF('Data Entry'!A816="","",IF($L816="","New item",IF($L816&gt;0,"UP",IF($L816&lt;0,"down","same"))))</f>
        <v/>
      </c>
    </row>
    <row r="817">
      <c r="A817" s="11">
        <f>IF('Data Entry'!A817="","",'Data Entry'!A817)</f>
        <v/>
      </c>
      <c r="B817" s="12">
        <f>IF('Data Entry'!A817="","",'Data Entry'!B817)</f>
        <v/>
      </c>
      <c r="C817" s="12">
        <f>IF('Data Entry'!A817="","",'Data Entry'!C817)</f>
        <v/>
      </c>
      <c r="D817" s="12">
        <f>IF('Data Entry'!A817="","",'Data Entry'!D817)</f>
        <v/>
      </c>
      <c r="E817" s="12">
        <f>IF('Data Entry'!A817="","",'Data Entry'!E817)</f>
        <v/>
      </c>
      <c r="F817" s="12">
        <f>IF('Data Entry'!A817="","",'Data Entry'!F817)</f>
        <v/>
      </c>
      <c r="G817" s="13">
        <f>IF('Data Entry'!A817="","",'Data Entry'!G817)</f>
        <v/>
      </c>
      <c r="H817" s="10">
        <f>IF('Data Entry'!A817="","",'Data Entry'!H817)</f>
        <v/>
      </c>
      <c r="I817" s="10">
        <f>IF('Data Entry'!A817="","",'Data Entry'!I817)</f>
        <v/>
      </c>
      <c r="J817" s="12">
        <f>IF('Data Entry'!A817="","",IF('Data Entry'!D817&lt;&gt;"",'Data Entry'!D817,'Data Entry'!E817))</f>
        <v/>
      </c>
      <c r="K817" s="10">
        <f>IF('Data Entry'!A817="","",IFERROR(SUMIFS($H$5:$H$2001,$J$5:$J$2001,$J817,$B$5:$B$2001,$B817,$A$5:$A$2001,(MAXIFS($A$5:$A$2001,$J$5:$J$2001,$J817,$B$5:$B$2001,$B817,$A$5:$A$2001,"&lt;"&amp;$A817))),""))</f>
        <v/>
      </c>
      <c r="L817" s="14">
        <f>IF(OR('Data Entry'!A817="",$K817=""),"",$H817-$K817)</f>
        <v/>
      </c>
      <c r="M817" s="15">
        <f>IF(OR('Data Entry'!A817="",$K817="",$K817=0),"",$L817/$K817)</f>
        <v/>
      </c>
      <c r="N817" s="12">
        <f>IF('Data Entry'!A817="","",IF($L817="","New item",IF($L817&gt;0,"UP",IF($L817&lt;0,"down","same"))))</f>
        <v/>
      </c>
    </row>
    <row r="818">
      <c r="A818" s="11">
        <f>IF('Data Entry'!A818="","",'Data Entry'!A818)</f>
        <v/>
      </c>
      <c r="B818" s="12">
        <f>IF('Data Entry'!A818="","",'Data Entry'!B818)</f>
        <v/>
      </c>
      <c r="C818" s="12">
        <f>IF('Data Entry'!A818="","",'Data Entry'!C818)</f>
        <v/>
      </c>
      <c r="D818" s="12">
        <f>IF('Data Entry'!A818="","",'Data Entry'!D818)</f>
        <v/>
      </c>
      <c r="E818" s="12">
        <f>IF('Data Entry'!A818="","",'Data Entry'!E818)</f>
        <v/>
      </c>
      <c r="F818" s="12">
        <f>IF('Data Entry'!A818="","",'Data Entry'!F818)</f>
        <v/>
      </c>
      <c r="G818" s="13">
        <f>IF('Data Entry'!A818="","",'Data Entry'!G818)</f>
        <v/>
      </c>
      <c r="H818" s="10">
        <f>IF('Data Entry'!A818="","",'Data Entry'!H818)</f>
        <v/>
      </c>
      <c r="I818" s="10">
        <f>IF('Data Entry'!A818="","",'Data Entry'!I818)</f>
        <v/>
      </c>
      <c r="J818" s="12">
        <f>IF('Data Entry'!A818="","",IF('Data Entry'!D818&lt;&gt;"",'Data Entry'!D818,'Data Entry'!E818))</f>
        <v/>
      </c>
      <c r="K818" s="10">
        <f>IF('Data Entry'!A818="","",IFERROR(SUMIFS($H$5:$H$2001,$J$5:$J$2001,$J818,$B$5:$B$2001,$B818,$A$5:$A$2001,(MAXIFS($A$5:$A$2001,$J$5:$J$2001,$J818,$B$5:$B$2001,$B818,$A$5:$A$2001,"&lt;"&amp;$A818))),""))</f>
        <v/>
      </c>
      <c r="L818" s="14">
        <f>IF(OR('Data Entry'!A818="",$K818=""),"",$H818-$K818)</f>
        <v/>
      </c>
      <c r="M818" s="15">
        <f>IF(OR('Data Entry'!A818="",$K818="",$K818=0),"",$L818/$K818)</f>
        <v/>
      </c>
      <c r="N818" s="12">
        <f>IF('Data Entry'!A818="","",IF($L818="","New item",IF($L818&gt;0,"UP",IF($L818&lt;0,"down","same"))))</f>
        <v/>
      </c>
    </row>
    <row r="819">
      <c r="A819" s="11">
        <f>IF('Data Entry'!A819="","",'Data Entry'!A819)</f>
        <v/>
      </c>
      <c r="B819" s="12">
        <f>IF('Data Entry'!A819="","",'Data Entry'!B819)</f>
        <v/>
      </c>
      <c r="C819" s="12">
        <f>IF('Data Entry'!A819="","",'Data Entry'!C819)</f>
        <v/>
      </c>
      <c r="D819" s="12">
        <f>IF('Data Entry'!A819="","",'Data Entry'!D819)</f>
        <v/>
      </c>
      <c r="E819" s="12">
        <f>IF('Data Entry'!A819="","",'Data Entry'!E819)</f>
        <v/>
      </c>
      <c r="F819" s="12">
        <f>IF('Data Entry'!A819="","",'Data Entry'!F819)</f>
        <v/>
      </c>
      <c r="G819" s="13">
        <f>IF('Data Entry'!A819="","",'Data Entry'!G819)</f>
        <v/>
      </c>
      <c r="H819" s="10">
        <f>IF('Data Entry'!A819="","",'Data Entry'!H819)</f>
        <v/>
      </c>
      <c r="I819" s="10">
        <f>IF('Data Entry'!A819="","",'Data Entry'!I819)</f>
        <v/>
      </c>
      <c r="J819" s="12">
        <f>IF('Data Entry'!A819="","",IF('Data Entry'!D819&lt;&gt;"",'Data Entry'!D819,'Data Entry'!E819))</f>
        <v/>
      </c>
      <c r="K819" s="10">
        <f>IF('Data Entry'!A819="","",IFERROR(SUMIFS($H$5:$H$2001,$J$5:$J$2001,$J819,$B$5:$B$2001,$B819,$A$5:$A$2001,(MAXIFS($A$5:$A$2001,$J$5:$J$2001,$J819,$B$5:$B$2001,$B819,$A$5:$A$2001,"&lt;"&amp;$A819))),""))</f>
        <v/>
      </c>
      <c r="L819" s="14">
        <f>IF(OR('Data Entry'!A819="",$K819=""),"",$H819-$K819)</f>
        <v/>
      </c>
      <c r="M819" s="15">
        <f>IF(OR('Data Entry'!A819="",$K819="",$K819=0),"",$L819/$K819)</f>
        <v/>
      </c>
      <c r="N819" s="12">
        <f>IF('Data Entry'!A819="","",IF($L819="","New item",IF($L819&gt;0,"UP",IF($L819&lt;0,"down","same"))))</f>
        <v/>
      </c>
    </row>
    <row r="820">
      <c r="A820" s="11">
        <f>IF('Data Entry'!A820="","",'Data Entry'!A820)</f>
        <v/>
      </c>
      <c r="B820" s="12">
        <f>IF('Data Entry'!A820="","",'Data Entry'!B820)</f>
        <v/>
      </c>
      <c r="C820" s="12">
        <f>IF('Data Entry'!A820="","",'Data Entry'!C820)</f>
        <v/>
      </c>
      <c r="D820" s="12">
        <f>IF('Data Entry'!A820="","",'Data Entry'!D820)</f>
        <v/>
      </c>
      <c r="E820" s="12">
        <f>IF('Data Entry'!A820="","",'Data Entry'!E820)</f>
        <v/>
      </c>
      <c r="F820" s="12">
        <f>IF('Data Entry'!A820="","",'Data Entry'!F820)</f>
        <v/>
      </c>
      <c r="G820" s="13">
        <f>IF('Data Entry'!A820="","",'Data Entry'!G820)</f>
        <v/>
      </c>
      <c r="H820" s="10">
        <f>IF('Data Entry'!A820="","",'Data Entry'!H820)</f>
        <v/>
      </c>
      <c r="I820" s="10">
        <f>IF('Data Entry'!A820="","",'Data Entry'!I820)</f>
        <v/>
      </c>
      <c r="J820" s="12">
        <f>IF('Data Entry'!A820="","",IF('Data Entry'!D820&lt;&gt;"",'Data Entry'!D820,'Data Entry'!E820))</f>
        <v/>
      </c>
      <c r="K820" s="10">
        <f>IF('Data Entry'!A820="","",IFERROR(SUMIFS($H$5:$H$2001,$J$5:$J$2001,$J820,$B$5:$B$2001,$B820,$A$5:$A$2001,(MAXIFS($A$5:$A$2001,$J$5:$J$2001,$J820,$B$5:$B$2001,$B820,$A$5:$A$2001,"&lt;"&amp;$A820))),""))</f>
        <v/>
      </c>
      <c r="L820" s="14">
        <f>IF(OR('Data Entry'!A820="",$K820=""),"",$H820-$K820)</f>
        <v/>
      </c>
      <c r="M820" s="15">
        <f>IF(OR('Data Entry'!A820="",$K820="",$K820=0),"",$L820/$K820)</f>
        <v/>
      </c>
      <c r="N820" s="12">
        <f>IF('Data Entry'!A820="","",IF($L820="","New item",IF($L820&gt;0,"UP",IF($L820&lt;0,"down","same"))))</f>
        <v/>
      </c>
    </row>
    <row r="821">
      <c r="A821" s="11">
        <f>IF('Data Entry'!A821="","",'Data Entry'!A821)</f>
        <v/>
      </c>
      <c r="B821" s="12">
        <f>IF('Data Entry'!A821="","",'Data Entry'!B821)</f>
        <v/>
      </c>
      <c r="C821" s="12">
        <f>IF('Data Entry'!A821="","",'Data Entry'!C821)</f>
        <v/>
      </c>
      <c r="D821" s="12">
        <f>IF('Data Entry'!A821="","",'Data Entry'!D821)</f>
        <v/>
      </c>
      <c r="E821" s="12">
        <f>IF('Data Entry'!A821="","",'Data Entry'!E821)</f>
        <v/>
      </c>
      <c r="F821" s="12">
        <f>IF('Data Entry'!A821="","",'Data Entry'!F821)</f>
        <v/>
      </c>
      <c r="G821" s="13">
        <f>IF('Data Entry'!A821="","",'Data Entry'!G821)</f>
        <v/>
      </c>
      <c r="H821" s="10">
        <f>IF('Data Entry'!A821="","",'Data Entry'!H821)</f>
        <v/>
      </c>
      <c r="I821" s="10">
        <f>IF('Data Entry'!A821="","",'Data Entry'!I821)</f>
        <v/>
      </c>
      <c r="J821" s="12">
        <f>IF('Data Entry'!A821="","",IF('Data Entry'!D821&lt;&gt;"",'Data Entry'!D821,'Data Entry'!E821))</f>
        <v/>
      </c>
      <c r="K821" s="10">
        <f>IF('Data Entry'!A821="","",IFERROR(SUMIFS($H$5:$H$2001,$J$5:$J$2001,$J821,$B$5:$B$2001,$B821,$A$5:$A$2001,(MAXIFS($A$5:$A$2001,$J$5:$J$2001,$J821,$B$5:$B$2001,$B821,$A$5:$A$2001,"&lt;"&amp;$A821))),""))</f>
        <v/>
      </c>
      <c r="L821" s="14">
        <f>IF(OR('Data Entry'!A821="",$K821=""),"",$H821-$K821)</f>
        <v/>
      </c>
      <c r="M821" s="15">
        <f>IF(OR('Data Entry'!A821="",$K821="",$K821=0),"",$L821/$K821)</f>
        <v/>
      </c>
      <c r="N821" s="12">
        <f>IF('Data Entry'!A821="","",IF($L821="","New item",IF($L821&gt;0,"UP",IF($L821&lt;0,"down","same"))))</f>
        <v/>
      </c>
    </row>
    <row r="822">
      <c r="A822" s="11">
        <f>IF('Data Entry'!A822="","",'Data Entry'!A822)</f>
        <v/>
      </c>
      <c r="B822" s="12">
        <f>IF('Data Entry'!A822="","",'Data Entry'!B822)</f>
        <v/>
      </c>
      <c r="C822" s="12">
        <f>IF('Data Entry'!A822="","",'Data Entry'!C822)</f>
        <v/>
      </c>
      <c r="D822" s="12">
        <f>IF('Data Entry'!A822="","",'Data Entry'!D822)</f>
        <v/>
      </c>
      <c r="E822" s="12">
        <f>IF('Data Entry'!A822="","",'Data Entry'!E822)</f>
        <v/>
      </c>
      <c r="F822" s="12">
        <f>IF('Data Entry'!A822="","",'Data Entry'!F822)</f>
        <v/>
      </c>
      <c r="G822" s="13">
        <f>IF('Data Entry'!A822="","",'Data Entry'!G822)</f>
        <v/>
      </c>
      <c r="H822" s="10">
        <f>IF('Data Entry'!A822="","",'Data Entry'!H822)</f>
        <v/>
      </c>
      <c r="I822" s="10">
        <f>IF('Data Entry'!A822="","",'Data Entry'!I822)</f>
        <v/>
      </c>
      <c r="J822" s="12">
        <f>IF('Data Entry'!A822="","",IF('Data Entry'!D822&lt;&gt;"",'Data Entry'!D822,'Data Entry'!E822))</f>
        <v/>
      </c>
      <c r="K822" s="10">
        <f>IF('Data Entry'!A822="","",IFERROR(SUMIFS($H$5:$H$2001,$J$5:$J$2001,$J822,$B$5:$B$2001,$B822,$A$5:$A$2001,(MAXIFS($A$5:$A$2001,$J$5:$J$2001,$J822,$B$5:$B$2001,$B822,$A$5:$A$2001,"&lt;"&amp;$A822))),""))</f>
        <v/>
      </c>
      <c r="L822" s="14">
        <f>IF(OR('Data Entry'!A822="",$K822=""),"",$H822-$K822)</f>
        <v/>
      </c>
      <c r="M822" s="15">
        <f>IF(OR('Data Entry'!A822="",$K822="",$K822=0),"",$L822/$K822)</f>
        <v/>
      </c>
      <c r="N822" s="12">
        <f>IF('Data Entry'!A822="","",IF($L822="","New item",IF($L822&gt;0,"UP",IF($L822&lt;0,"down","same"))))</f>
        <v/>
      </c>
    </row>
    <row r="823">
      <c r="A823" s="11">
        <f>IF('Data Entry'!A823="","",'Data Entry'!A823)</f>
        <v/>
      </c>
      <c r="B823" s="12">
        <f>IF('Data Entry'!A823="","",'Data Entry'!B823)</f>
        <v/>
      </c>
      <c r="C823" s="12">
        <f>IF('Data Entry'!A823="","",'Data Entry'!C823)</f>
        <v/>
      </c>
      <c r="D823" s="12">
        <f>IF('Data Entry'!A823="","",'Data Entry'!D823)</f>
        <v/>
      </c>
      <c r="E823" s="12">
        <f>IF('Data Entry'!A823="","",'Data Entry'!E823)</f>
        <v/>
      </c>
      <c r="F823" s="12">
        <f>IF('Data Entry'!A823="","",'Data Entry'!F823)</f>
        <v/>
      </c>
      <c r="G823" s="13">
        <f>IF('Data Entry'!A823="","",'Data Entry'!G823)</f>
        <v/>
      </c>
      <c r="H823" s="10">
        <f>IF('Data Entry'!A823="","",'Data Entry'!H823)</f>
        <v/>
      </c>
      <c r="I823" s="10">
        <f>IF('Data Entry'!A823="","",'Data Entry'!I823)</f>
        <v/>
      </c>
      <c r="J823" s="12">
        <f>IF('Data Entry'!A823="","",IF('Data Entry'!D823&lt;&gt;"",'Data Entry'!D823,'Data Entry'!E823))</f>
        <v/>
      </c>
      <c r="K823" s="10">
        <f>IF('Data Entry'!A823="","",IFERROR(SUMIFS($H$5:$H$2001,$J$5:$J$2001,$J823,$B$5:$B$2001,$B823,$A$5:$A$2001,(MAXIFS($A$5:$A$2001,$J$5:$J$2001,$J823,$B$5:$B$2001,$B823,$A$5:$A$2001,"&lt;"&amp;$A823))),""))</f>
        <v/>
      </c>
      <c r="L823" s="14">
        <f>IF(OR('Data Entry'!A823="",$K823=""),"",$H823-$K823)</f>
        <v/>
      </c>
      <c r="M823" s="15">
        <f>IF(OR('Data Entry'!A823="",$K823="",$K823=0),"",$L823/$K823)</f>
        <v/>
      </c>
      <c r="N823" s="12">
        <f>IF('Data Entry'!A823="","",IF($L823="","New item",IF($L823&gt;0,"UP",IF($L823&lt;0,"down","same"))))</f>
        <v/>
      </c>
    </row>
    <row r="824">
      <c r="A824" s="11">
        <f>IF('Data Entry'!A824="","",'Data Entry'!A824)</f>
        <v/>
      </c>
      <c r="B824" s="12">
        <f>IF('Data Entry'!A824="","",'Data Entry'!B824)</f>
        <v/>
      </c>
      <c r="C824" s="12">
        <f>IF('Data Entry'!A824="","",'Data Entry'!C824)</f>
        <v/>
      </c>
      <c r="D824" s="12">
        <f>IF('Data Entry'!A824="","",'Data Entry'!D824)</f>
        <v/>
      </c>
      <c r="E824" s="12">
        <f>IF('Data Entry'!A824="","",'Data Entry'!E824)</f>
        <v/>
      </c>
      <c r="F824" s="12">
        <f>IF('Data Entry'!A824="","",'Data Entry'!F824)</f>
        <v/>
      </c>
      <c r="G824" s="13">
        <f>IF('Data Entry'!A824="","",'Data Entry'!G824)</f>
        <v/>
      </c>
      <c r="H824" s="10">
        <f>IF('Data Entry'!A824="","",'Data Entry'!H824)</f>
        <v/>
      </c>
      <c r="I824" s="10">
        <f>IF('Data Entry'!A824="","",'Data Entry'!I824)</f>
        <v/>
      </c>
      <c r="J824" s="12">
        <f>IF('Data Entry'!A824="","",IF('Data Entry'!D824&lt;&gt;"",'Data Entry'!D824,'Data Entry'!E824))</f>
        <v/>
      </c>
      <c r="K824" s="10">
        <f>IF('Data Entry'!A824="","",IFERROR(SUMIFS($H$5:$H$2001,$J$5:$J$2001,$J824,$B$5:$B$2001,$B824,$A$5:$A$2001,(MAXIFS($A$5:$A$2001,$J$5:$J$2001,$J824,$B$5:$B$2001,$B824,$A$5:$A$2001,"&lt;"&amp;$A824))),""))</f>
        <v/>
      </c>
      <c r="L824" s="14">
        <f>IF(OR('Data Entry'!A824="",$K824=""),"",$H824-$K824)</f>
        <v/>
      </c>
      <c r="M824" s="15">
        <f>IF(OR('Data Entry'!A824="",$K824="",$K824=0),"",$L824/$K824)</f>
        <v/>
      </c>
      <c r="N824" s="12">
        <f>IF('Data Entry'!A824="","",IF($L824="","New item",IF($L824&gt;0,"UP",IF($L824&lt;0,"down","same"))))</f>
        <v/>
      </c>
    </row>
    <row r="825">
      <c r="A825" s="11">
        <f>IF('Data Entry'!A825="","",'Data Entry'!A825)</f>
        <v/>
      </c>
      <c r="B825" s="12">
        <f>IF('Data Entry'!A825="","",'Data Entry'!B825)</f>
        <v/>
      </c>
      <c r="C825" s="12">
        <f>IF('Data Entry'!A825="","",'Data Entry'!C825)</f>
        <v/>
      </c>
      <c r="D825" s="12">
        <f>IF('Data Entry'!A825="","",'Data Entry'!D825)</f>
        <v/>
      </c>
      <c r="E825" s="12">
        <f>IF('Data Entry'!A825="","",'Data Entry'!E825)</f>
        <v/>
      </c>
      <c r="F825" s="12">
        <f>IF('Data Entry'!A825="","",'Data Entry'!F825)</f>
        <v/>
      </c>
      <c r="G825" s="13">
        <f>IF('Data Entry'!A825="","",'Data Entry'!G825)</f>
        <v/>
      </c>
      <c r="H825" s="10">
        <f>IF('Data Entry'!A825="","",'Data Entry'!H825)</f>
        <v/>
      </c>
      <c r="I825" s="10">
        <f>IF('Data Entry'!A825="","",'Data Entry'!I825)</f>
        <v/>
      </c>
      <c r="J825" s="12">
        <f>IF('Data Entry'!A825="","",IF('Data Entry'!D825&lt;&gt;"",'Data Entry'!D825,'Data Entry'!E825))</f>
        <v/>
      </c>
      <c r="K825" s="10">
        <f>IF('Data Entry'!A825="","",IFERROR(SUMIFS($H$5:$H$2001,$J$5:$J$2001,$J825,$B$5:$B$2001,$B825,$A$5:$A$2001,(MAXIFS($A$5:$A$2001,$J$5:$J$2001,$J825,$B$5:$B$2001,$B825,$A$5:$A$2001,"&lt;"&amp;$A825))),""))</f>
        <v/>
      </c>
      <c r="L825" s="14">
        <f>IF(OR('Data Entry'!A825="",$K825=""),"",$H825-$K825)</f>
        <v/>
      </c>
      <c r="M825" s="15">
        <f>IF(OR('Data Entry'!A825="",$K825="",$K825=0),"",$L825/$K825)</f>
        <v/>
      </c>
      <c r="N825" s="12">
        <f>IF('Data Entry'!A825="","",IF($L825="","New item",IF($L825&gt;0,"UP",IF($L825&lt;0,"down","same"))))</f>
        <v/>
      </c>
    </row>
    <row r="826">
      <c r="A826" s="11">
        <f>IF('Data Entry'!A826="","",'Data Entry'!A826)</f>
        <v/>
      </c>
      <c r="B826" s="12">
        <f>IF('Data Entry'!A826="","",'Data Entry'!B826)</f>
        <v/>
      </c>
      <c r="C826" s="12">
        <f>IF('Data Entry'!A826="","",'Data Entry'!C826)</f>
        <v/>
      </c>
      <c r="D826" s="12">
        <f>IF('Data Entry'!A826="","",'Data Entry'!D826)</f>
        <v/>
      </c>
      <c r="E826" s="12">
        <f>IF('Data Entry'!A826="","",'Data Entry'!E826)</f>
        <v/>
      </c>
      <c r="F826" s="12">
        <f>IF('Data Entry'!A826="","",'Data Entry'!F826)</f>
        <v/>
      </c>
      <c r="G826" s="13">
        <f>IF('Data Entry'!A826="","",'Data Entry'!G826)</f>
        <v/>
      </c>
      <c r="H826" s="10">
        <f>IF('Data Entry'!A826="","",'Data Entry'!H826)</f>
        <v/>
      </c>
      <c r="I826" s="10">
        <f>IF('Data Entry'!A826="","",'Data Entry'!I826)</f>
        <v/>
      </c>
      <c r="J826" s="12">
        <f>IF('Data Entry'!A826="","",IF('Data Entry'!D826&lt;&gt;"",'Data Entry'!D826,'Data Entry'!E826))</f>
        <v/>
      </c>
      <c r="K826" s="10">
        <f>IF('Data Entry'!A826="","",IFERROR(SUMIFS($H$5:$H$2001,$J$5:$J$2001,$J826,$B$5:$B$2001,$B826,$A$5:$A$2001,(MAXIFS($A$5:$A$2001,$J$5:$J$2001,$J826,$B$5:$B$2001,$B826,$A$5:$A$2001,"&lt;"&amp;$A826))),""))</f>
        <v/>
      </c>
      <c r="L826" s="14">
        <f>IF(OR('Data Entry'!A826="",$K826=""),"",$H826-$K826)</f>
        <v/>
      </c>
      <c r="M826" s="15">
        <f>IF(OR('Data Entry'!A826="",$K826="",$K826=0),"",$L826/$K826)</f>
        <v/>
      </c>
      <c r="N826" s="12">
        <f>IF('Data Entry'!A826="","",IF($L826="","New item",IF($L826&gt;0,"UP",IF($L826&lt;0,"down","same"))))</f>
        <v/>
      </c>
    </row>
    <row r="827">
      <c r="A827" s="11">
        <f>IF('Data Entry'!A827="","",'Data Entry'!A827)</f>
        <v/>
      </c>
      <c r="B827" s="12">
        <f>IF('Data Entry'!A827="","",'Data Entry'!B827)</f>
        <v/>
      </c>
      <c r="C827" s="12">
        <f>IF('Data Entry'!A827="","",'Data Entry'!C827)</f>
        <v/>
      </c>
      <c r="D827" s="12">
        <f>IF('Data Entry'!A827="","",'Data Entry'!D827)</f>
        <v/>
      </c>
      <c r="E827" s="12">
        <f>IF('Data Entry'!A827="","",'Data Entry'!E827)</f>
        <v/>
      </c>
      <c r="F827" s="12">
        <f>IF('Data Entry'!A827="","",'Data Entry'!F827)</f>
        <v/>
      </c>
      <c r="G827" s="13">
        <f>IF('Data Entry'!A827="","",'Data Entry'!G827)</f>
        <v/>
      </c>
      <c r="H827" s="10">
        <f>IF('Data Entry'!A827="","",'Data Entry'!H827)</f>
        <v/>
      </c>
      <c r="I827" s="10">
        <f>IF('Data Entry'!A827="","",'Data Entry'!I827)</f>
        <v/>
      </c>
      <c r="J827" s="12">
        <f>IF('Data Entry'!A827="","",IF('Data Entry'!D827&lt;&gt;"",'Data Entry'!D827,'Data Entry'!E827))</f>
        <v/>
      </c>
      <c r="K827" s="10">
        <f>IF('Data Entry'!A827="","",IFERROR(SUMIFS($H$5:$H$2001,$J$5:$J$2001,$J827,$B$5:$B$2001,$B827,$A$5:$A$2001,(MAXIFS($A$5:$A$2001,$J$5:$J$2001,$J827,$B$5:$B$2001,$B827,$A$5:$A$2001,"&lt;"&amp;$A827))),""))</f>
        <v/>
      </c>
      <c r="L827" s="14">
        <f>IF(OR('Data Entry'!A827="",$K827=""),"",$H827-$K827)</f>
        <v/>
      </c>
      <c r="M827" s="15">
        <f>IF(OR('Data Entry'!A827="",$K827="",$K827=0),"",$L827/$K827)</f>
        <v/>
      </c>
      <c r="N827" s="12">
        <f>IF('Data Entry'!A827="","",IF($L827="","New item",IF($L827&gt;0,"UP",IF($L827&lt;0,"down","same"))))</f>
        <v/>
      </c>
    </row>
    <row r="828">
      <c r="A828" s="11">
        <f>IF('Data Entry'!A828="","",'Data Entry'!A828)</f>
        <v/>
      </c>
      <c r="B828" s="12">
        <f>IF('Data Entry'!A828="","",'Data Entry'!B828)</f>
        <v/>
      </c>
      <c r="C828" s="12">
        <f>IF('Data Entry'!A828="","",'Data Entry'!C828)</f>
        <v/>
      </c>
      <c r="D828" s="12">
        <f>IF('Data Entry'!A828="","",'Data Entry'!D828)</f>
        <v/>
      </c>
      <c r="E828" s="12">
        <f>IF('Data Entry'!A828="","",'Data Entry'!E828)</f>
        <v/>
      </c>
      <c r="F828" s="12">
        <f>IF('Data Entry'!A828="","",'Data Entry'!F828)</f>
        <v/>
      </c>
      <c r="G828" s="13">
        <f>IF('Data Entry'!A828="","",'Data Entry'!G828)</f>
        <v/>
      </c>
      <c r="H828" s="10">
        <f>IF('Data Entry'!A828="","",'Data Entry'!H828)</f>
        <v/>
      </c>
      <c r="I828" s="10">
        <f>IF('Data Entry'!A828="","",'Data Entry'!I828)</f>
        <v/>
      </c>
      <c r="J828" s="12">
        <f>IF('Data Entry'!A828="","",IF('Data Entry'!D828&lt;&gt;"",'Data Entry'!D828,'Data Entry'!E828))</f>
        <v/>
      </c>
      <c r="K828" s="10">
        <f>IF('Data Entry'!A828="","",IFERROR(SUMIFS($H$5:$H$2001,$J$5:$J$2001,$J828,$B$5:$B$2001,$B828,$A$5:$A$2001,(MAXIFS($A$5:$A$2001,$J$5:$J$2001,$J828,$B$5:$B$2001,$B828,$A$5:$A$2001,"&lt;"&amp;$A828))),""))</f>
        <v/>
      </c>
      <c r="L828" s="14">
        <f>IF(OR('Data Entry'!A828="",$K828=""),"",$H828-$K828)</f>
        <v/>
      </c>
      <c r="M828" s="15">
        <f>IF(OR('Data Entry'!A828="",$K828="",$K828=0),"",$L828/$K828)</f>
        <v/>
      </c>
      <c r="N828" s="12">
        <f>IF('Data Entry'!A828="","",IF($L828="","New item",IF($L828&gt;0,"UP",IF($L828&lt;0,"down","same"))))</f>
        <v/>
      </c>
    </row>
    <row r="829">
      <c r="A829" s="11">
        <f>IF('Data Entry'!A829="","",'Data Entry'!A829)</f>
        <v/>
      </c>
      <c r="B829" s="12">
        <f>IF('Data Entry'!A829="","",'Data Entry'!B829)</f>
        <v/>
      </c>
      <c r="C829" s="12">
        <f>IF('Data Entry'!A829="","",'Data Entry'!C829)</f>
        <v/>
      </c>
      <c r="D829" s="12">
        <f>IF('Data Entry'!A829="","",'Data Entry'!D829)</f>
        <v/>
      </c>
      <c r="E829" s="12">
        <f>IF('Data Entry'!A829="","",'Data Entry'!E829)</f>
        <v/>
      </c>
      <c r="F829" s="12">
        <f>IF('Data Entry'!A829="","",'Data Entry'!F829)</f>
        <v/>
      </c>
      <c r="G829" s="13">
        <f>IF('Data Entry'!A829="","",'Data Entry'!G829)</f>
        <v/>
      </c>
      <c r="H829" s="10">
        <f>IF('Data Entry'!A829="","",'Data Entry'!H829)</f>
        <v/>
      </c>
      <c r="I829" s="10">
        <f>IF('Data Entry'!A829="","",'Data Entry'!I829)</f>
        <v/>
      </c>
      <c r="J829" s="12">
        <f>IF('Data Entry'!A829="","",IF('Data Entry'!D829&lt;&gt;"",'Data Entry'!D829,'Data Entry'!E829))</f>
        <v/>
      </c>
      <c r="K829" s="10">
        <f>IF('Data Entry'!A829="","",IFERROR(SUMIFS($H$5:$H$2001,$J$5:$J$2001,$J829,$B$5:$B$2001,$B829,$A$5:$A$2001,(MAXIFS($A$5:$A$2001,$J$5:$J$2001,$J829,$B$5:$B$2001,$B829,$A$5:$A$2001,"&lt;"&amp;$A829))),""))</f>
        <v/>
      </c>
      <c r="L829" s="14">
        <f>IF(OR('Data Entry'!A829="",$K829=""),"",$H829-$K829)</f>
        <v/>
      </c>
      <c r="M829" s="15">
        <f>IF(OR('Data Entry'!A829="",$K829="",$K829=0),"",$L829/$K829)</f>
        <v/>
      </c>
      <c r="N829" s="12">
        <f>IF('Data Entry'!A829="","",IF($L829="","New item",IF($L829&gt;0,"UP",IF($L829&lt;0,"down","same"))))</f>
        <v/>
      </c>
    </row>
    <row r="830">
      <c r="A830" s="11">
        <f>IF('Data Entry'!A830="","",'Data Entry'!A830)</f>
        <v/>
      </c>
      <c r="B830" s="12">
        <f>IF('Data Entry'!A830="","",'Data Entry'!B830)</f>
        <v/>
      </c>
      <c r="C830" s="12">
        <f>IF('Data Entry'!A830="","",'Data Entry'!C830)</f>
        <v/>
      </c>
      <c r="D830" s="12">
        <f>IF('Data Entry'!A830="","",'Data Entry'!D830)</f>
        <v/>
      </c>
      <c r="E830" s="12">
        <f>IF('Data Entry'!A830="","",'Data Entry'!E830)</f>
        <v/>
      </c>
      <c r="F830" s="12">
        <f>IF('Data Entry'!A830="","",'Data Entry'!F830)</f>
        <v/>
      </c>
      <c r="G830" s="13">
        <f>IF('Data Entry'!A830="","",'Data Entry'!G830)</f>
        <v/>
      </c>
      <c r="H830" s="10">
        <f>IF('Data Entry'!A830="","",'Data Entry'!H830)</f>
        <v/>
      </c>
      <c r="I830" s="10">
        <f>IF('Data Entry'!A830="","",'Data Entry'!I830)</f>
        <v/>
      </c>
      <c r="J830" s="12">
        <f>IF('Data Entry'!A830="","",IF('Data Entry'!D830&lt;&gt;"",'Data Entry'!D830,'Data Entry'!E830))</f>
        <v/>
      </c>
      <c r="K830" s="10">
        <f>IF('Data Entry'!A830="","",IFERROR(SUMIFS($H$5:$H$2001,$J$5:$J$2001,$J830,$B$5:$B$2001,$B830,$A$5:$A$2001,(MAXIFS($A$5:$A$2001,$J$5:$J$2001,$J830,$B$5:$B$2001,$B830,$A$5:$A$2001,"&lt;"&amp;$A830))),""))</f>
        <v/>
      </c>
      <c r="L830" s="14">
        <f>IF(OR('Data Entry'!A830="",$K830=""),"",$H830-$K830)</f>
        <v/>
      </c>
      <c r="M830" s="15">
        <f>IF(OR('Data Entry'!A830="",$K830="",$K830=0),"",$L830/$K830)</f>
        <v/>
      </c>
      <c r="N830" s="12">
        <f>IF('Data Entry'!A830="","",IF($L830="","New item",IF($L830&gt;0,"UP",IF($L830&lt;0,"down","same"))))</f>
        <v/>
      </c>
    </row>
    <row r="831">
      <c r="A831" s="11">
        <f>IF('Data Entry'!A831="","",'Data Entry'!A831)</f>
        <v/>
      </c>
      <c r="B831" s="12">
        <f>IF('Data Entry'!A831="","",'Data Entry'!B831)</f>
        <v/>
      </c>
      <c r="C831" s="12">
        <f>IF('Data Entry'!A831="","",'Data Entry'!C831)</f>
        <v/>
      </c>
      <c r="D831" s="12">
        <f>IF('Data Entry'!A831="","",'Data Entry'!D831)</f>
        <v/>
      </c>
      <c r="E831" s="12">
        <f>IF('Data Entry'!A831="","",'Data Entry'!E831)</f>
        <v/>
      </c>
      <c r="F831" s="12">
        <f>IF('Data Entry'!A831="","",'Data Entry'!F831)</f>
        <v/>
      </c>
      <c r="G831" s="13">
        <f>IF('Data Entry'!A831="","",'Data Entry'!G831)</f>
        <v/>
      </c>
      <c r="H831" s="10">
        <f>IF('Data Entry'!A831="","",'Data Entry'!H831)</f>
        <v/>
      </c>
      <c r="I831" s="10">
        <f>IF('Data Entry'!A831="","",'Data Entry'!I831)</f>
        <v/>
      </c>
      <c r="J831" s="12">
        <f>IF('Data Entry'!A831="","",IF('Data Entry'!D831&lt;&gt;"",'Data Entry'!D831,'Data Entry'!E831))</f>
        <v/>
      </c>
      <c r="K831" s="10">
        <f>IF('Data Entry'!A831="","",IFERROR(SUMIFS($H$5:$H$2001,$J$5:$J$2001,$J831,$B$5:$B$2001,$B831,$A$5:$A$2001,(MAXIFS($A$5:$A$2001,$J$5:$J$2001,$J831,$B$5:$B$2001,$B831,$A$5:$A$2001,"&lt;"&amp;$A831))),""))</f>
        <v/>
      </c>
      <c r="L831" s="14">
        <f>IF(OR('Data Entry'!A831="",$K831=""),"",$H831-$K831)</f>
        <v/>
      </c>
      <c r="M831" s="15">
        <f>IF(OR('Data Entry'!A831="",$K831="",$K831=0),"",$L831/$K831)</f>
        <v/>
      </c>
      <c r="N831" s="12">
        <f>IF('Data Entry'!A831="","",IF($L831="","New item",IF($L831&gt;0,"UP",IF($L831&lt;0,"down","same"))))</f>
        <v/>
      </c>
    </row>
    <row r="832">
      <c r="A832" s="11">
        <f>IF('Data Entry'!A832="","",'Data Entry'!A832)</f>
        <v/>
      </c>
      <c r="B832" s="12">
        <f>IF('Data Entry'!A832="","",'Data Entry'!B832)</f>
        <v/>
      </c>
      <c r="C832" s="12">
        <f>IF('Data Entry'!A832="","",'Data Entry'!C832)</f>
        <v/>
      </c>
      <c r="D832" s="12">
        <f>IF('Data Entry'!A832="","",'Data Entry'!D832)</f>
        <v/>
      </c>
      <c r="E832" s="12">
        <f>IF('Data Entry'!A832="","",'Data Entry'!E832)</f>
        <v/>
      </c>
      <c r="F832" s="12">
        <f>IF('Data Entry'!A832="","",'Data Entry'!F832)</f>
        <v/>
      </c>
      <c r="G832" s="13">
        <f>IF('Data Entry'!A832="","",'Data Entry'!G832)</f>
        <v/>
      </c>
      <c r="H832" s="10">
        <f>IF('Data Entry'!A832="","",'Data Entry'!H832)</f>
        <v/>
      </c>
      <c r="I832" s="10">
        <f>IF('Data Entry'!A832="","",'Data Entry'!I832)</f>
        <v/>
      </c>
      <c r="J832" s="12">
        <f>IF('Data Entry'!A832="","",IF('Data Entry'!D832&lt;&gt;"",'Data Entry'!D832,'Data Entry'!E832))</f>
        <v/>
      </c>
      <c r="K832" s="10">
        <f>IF('Data Entry'!A832="","",IFERROR(SUMIFS($H$5:$H$2001,$J$5:$J$2001,$J832,$B$5:$B$2001,$B832,$A$5:$A$2001,(MAXIFS($A$5:$A$2001,$J$5:$J$2001,$J832,$B$5:$B$2001,$B832,$A$5:$A$2001,"&lt;"&amp;$A832))),""))</f>
        <v/>
      </c>
      <c r="L832" s="14">
        <f>IF(OR('Data Entry'!A832="",$K832=""),"",$H832-$K832)</f>
        <v/>
      </c>
      <c r="M832" s="15">
        <f>IF(OR('Data Entry'!A832="",$K832="",$K832=0),"",$L832/$K832)</f>
        <v/>
      </c>
      <c r="N832" s="12">
        <f>IF('Data Entry'!A832="","",IF($L832="","New item",IF($L832&gt;0,"UP",IF($L832&lt;0,"down","same"))))</f>
        <v/>
      </c>
    </row>
    <row r="833">
      <c r="A833" s="11">
        <f>IF('Data Entry'!A833="","",'Data Entry'!A833)</f>
        <v/>
      </c>
      <c r="B833" s="12">
        <f>IF('Data Entry'!A833="","",'Data Entry'!B833)</f>
        <v/>
      </c>
      <c r="C833" s="12">
        <f>IF('Data Entry'!A833="","",'Data Entry'!C833)</f>
        <v/>
      </c>
      <c r="D833" s="12">
        <f>IF('Data Entry'!A833="","",'Data Entry'!D833)</f>
        <v/>
      </c>
      <c r="E833" s="12">
        <f>IF('Data Entry'!A833="","",'Data Entry'!E833)</f>
        <v/>
      </c>
      <c r="F833" s="12">
        <f>IF('Data Entry'!A833="","",'Data Entry'!F833)</f>
        <v/>
      </c>
      <c r="G833" s="13">
        <f>IF('Data Entry'!A833="","",'Data Entry'!G833)</f>
        <v/>
      </c>
      <c r="H833" s="10">
        <f>IF('Data Entry'!A833="","",'Data Entry'!H833)</f>
        <v/>
      </c>
      <c r="I833" s="10">
        <f>IF('Data Entry'!A833="","",'Data Entry'!I833)</f>
        <v/>
      </c>
      <c r="J833" s="12">
        <f>IF('Data Entry'!A833="","",IF('Data Entry'!D833&lt;&gt;"",'Data Entry'!D833,'Data Entry'!E833))</f>
        <v/>
      </c>
      <c r="K833" s="10">
        <f>IF('Data Entry'!A833="","",IFERROR(SUMIFS($H$5:$H$2001,$J$5:$J$2001,$J833,$B$5:$B$2001,$B833,$A$5:$A$2001,(MAXIFS($A$5:$A$2001,$J$5:$J$2001,$J833,$B$5:$B$2001,$B833,$A$5:$A$2001,"&lt;"&amp;$A833))),""))</f>
        <v/>
      </c>
      <c r="L833" s="14">
        <f>IF(OR('Data Entry'!A833="",$K833=""),"",$H833-$K833)</f>
        <v/>
      </c>
      <c r="M833" s="15">
        <f>IF(OR('Data Entry'!A833="",$K833="",$K833=0),"",$L833/$K833)</f>
        <v/>
      </c>
      <c r="N833" s="12">
        <f>IF('Data Entry'!A833="","",IF($L833="","New item",IF($L833&gt;0,"UP",IF($L833&lt;0,"down","same"))))</f>
        <v/>
      </c>
    </row>
    <row r="834">
      <c r="A834" s="11">
        <f>IF('Data Entry'!A834="","",'Data Entry'!A834)</f>
        <v/>
      </c>
      <c r="B834" s="12">
        <f>IF('Data Entry'!A834="","",'Data Entry'!B834)</f>
        <v/>
      </c>
      <c r="C834" s="12">
        <f>IF('Data Entry'!A834="","",'Data Entry'!C834)</f>
        <v/>
      </c>
      <c r="D834" s="12">
        <f>IF('Data Entry'!A834="","",'Data Entry'!D834)</f>
        <v/>
      </c>
      <c r="E834" s="12">
        <f>IF('Data Entry'!A834="","",'Data Entry'!E834)</f>
        <v/>
      </c>
      <c r="F834" s="12">
        <f>IF('Data Entry'!A834="","",'Data Entry'!F834)</f>
        <v/>
      </c>
      <c r="G834" s="13">
        <f>IF('Data Entry'!A834="","",'Data Entry'!G834)</f>
        <v/>
      </c>
      <c r="H834" s="10">
        <f>IF('Data Entry'!A834="","",'Data Entry'!H834)</f>
        <v/>
      </c>
      <c r="I834" s="10">
        <f>IF('Data Entry'!A834="","",'Data Entry'!I834)</f>
        <v/>
      </c>
      <c r="J834" s="12">
        <f>IF('Data Entry'!A834="","",IF('Data Entry'!D834&lt;&gt;"",'Data Entry'!D834,'Data Entry'!E834))</f>
        <v/>
      </c>
      <c r="K834" s="10">
        <f>IF('Data Entry'!A834="","",IFERROR(SUMIFS($H$5:$H$2001,$J$5:$J$2001,$J834,$B$5:$B$2001,$B834,$A$5:$A$2001,(MAXIFS($A$5:$A$2001,$J$5:$J$2001,$J834,$B$5:$B$2001,$B834,$A$5:$A$2001,"&lt;"&amp;$A834))),""))</f>
        <v/>
      </c>
      <c r="L834" s="14">
        <f>IF(OR('Data Entry'!A834="",$K834=""),"",$H834-$K834)</f>
        <v/>
      </c>
      <c r="M834" s="15">
        <f>IF(OR('Data Entry'!A834="",$K834="",$K834=0),"",$L834/$K834)</f>
        <v/>
      </c>
      <c r="N834" s="12">
        <f>IF('Data Entry'!A834="","",IF($L834="","New item",IF($L834&gt;0,"UP",IF($L834&lt;0,"down","same"))))</f>
        <v/>
      </c>
    </row>
    <row r="835">
      <c r="A835" s="11">
        <f>IF('Data Entry'!A835="","",'Data Entry'!A835)</f>
        <v/>
      </c>
      <c r="B835" s="12">
        <f>IF('Data Entry'!A835="","",'Data Entry'!B835)</f>
        <v/>
      </c>
      <c r="C835" s="12">
        <f>IF('Data Entry'!A835="","",'Data Entry'!C835)</f>
        <v/>
      </c>
      <c r="D835" s="12">
        <f>IF('Data Entry'!A835="","",'Data Entry'!D835)</f>
        <v/>
      </c>
      <c r="E835" s="12">
        <f>IF('Data Entry'!A835="","",'Data Entry'!E835)</f>
        <v/>
      </c>
      <c r="F835" s="12">
        <f>IF('Data Entry'!A835="","",'Data Entry'!F835)</f>
        <v/>
      </c>
      <c r="G835" s="13">
        <f>IF('Data Entry'!A835="","",'Data Entry'!G835)</f>
        <v/>
      </c>
      <c r="H835" s="10">
        <f>IF('Data Entry'!A835="","",'Data Entry'!H835)</f>
        <v/>
      </c>
      <c r="I835" s="10">
        <f>IF('Data Entry'!A835="","",'Data Entry'!I835)</f>
        <v/>
      </c>
      <c r="J835" s="12">
        <f>IF('Data Entry'!A835="","",IF('Data Entry'!D835&lt;&gt;"",'Data Entry'!D835,'Data Entry'!E835))</f>
        <v/>
      </c>
      <c r="K835" s="10">
        <f>IF('Data Entry'!A835="","",IFERROR(SUMIFS($H$5:$H$2001,$J$5:$J$2001,$J835,$B$5:$B$2001,$B835,$A$5:$A$2001,(MAXIFS($A$5:$A$2001,$J$5:$J$2001,$J835,$B$5:$B$2001,$B835,$A$5:$A$2001,"&lt;"&amp;$A835))),""))</f>
        <v/>
      </c>
      <c r="L835" s="14">
        <f>IF(OR('Data Entry'!A835="",$K835=""),"",$H835-$K835)</f>
        <v/>
      </c>
      <c r="M835" s="15">
        <f>IF(OR('Data Entry'!A835="",$K835="",$K835=0),"",$L835/$K835)</f>
        <v/>
      </c>
      <c r="N835" s="12">
        <f>IF('Data Entry'!A835="","",IF($L835="","New item",IF($L835&gt;0,"UP",IF($L835&lt;0,"down","same"))))</f>
        <v/>
      </c>
    </row>
    <row r="836">
      <c r="A836" s="11">
        <f>IF('Data Entry'!A836="","",'Data Entry'!A836)</f>
        <v/>
      </c>
      <c r="B836" s="12">
        <f>IF('Data Entry'!A836="","",'Data Entry'!B836)</f>
        <v/>
      </c>
      <c r="C836" s="12">
        <f>IF('Data Entry'!A836="","",'Data Entry'!C836)</f>
        <v/>
      </c>
      <c r="D836" s="12">
        <f>IF('Data Entry'!A836="","",'Data Entry'!D836)</f>
        <v/>
      </c>
      <c r="E836" s="12">
        <f>IF('Data Entry'!A836="","",'Data Entry'!E836)</f>
        <v/>
      </c>
      <c r="F836" s="12">
        <f>IF('Data Entry'!A836="","",'Data Entry'!F836)</f>
        <v/>
      </c>
      <c r="G836" s="13">
        <f>IF('Data Entry'!A836="","",'Data Entry'!G836)</f>
        <v/>
      </c>
      <c r="H836" s="10">
        <f>IF('Data Entry'!A836="","",'Data Entry'!H836)</f>
        <v/>
      </c>
      <c r="I836" s="10">
        <f>IF('Data Entry'!A836="","",'Data Entry'!I836)</f>
        <v/>
      </c>
      <c r="J836" s="12">
        <f>IF('Data Entry'!A836="","",IF('Data Entry'!D836&lt;&gt;"",'Data Entry'!D836,'Data Entry'!E836))</f>
        <v/>
      </c>
      <c r="K836" s="10">
        <f>IF('Data Entry'!A836="","",IFERROR(SUMIFS($H$5:$H$2001,$J$5:$J$2001,$J836,$B$5:$B$2001,$B836,$A$5:$A$2001,(MAXIFS($A$5:$A$2001,$J$5:$J$2001,$J836,$B$5:$B$2001,$B836,$A$5:$A$2001,"&lt;"&amp;$A836))),""))</f>
        <v/>
      </c>
      <c r="L836" s="14">
        <f>IF(OR('Data Entry'!A836="",$K836=""),"",$H836-$K836)</f>
        <v/>
      </c>
      <c r="M836" s="15">
        <f>IF(OR('Data Entry'!A836="",$K836="",$K836=0),"",$L836/$K836)</f>
        <v/>
      </c>
      <c r="N836" s="12">
        <f>IF('Data Entry'!A836="","",IF($L836="","New item",IF($L836&gt;0,"UP",IF($L836&lt;0,"down","same"))))</f>
        <v/>
      </c>
    </row>
    <row r="837">
      <c r="A837" s="11">
        <f>IF('Data Entry'!A837="","",'Data Entry'!A837)</f>
        <v/>
      </c>
      <c r="B837" s="12">
        <f>IF('Data Entry'!A837="","",'Data Entry'!B837)</f>
        <v/>
      </c>
      <c r="C837" s="12">
        <f>IF('Data Entry'!A837="","",'Data Entry'!C837)</f>
        <v/>
      </c>
      <c r="D837" s="12">
        <f>IF('Data Entry'!A837="","",'Data Entry'!D837)</f>
        <v/>
      </c>
      <c r="E837" s="12">
        <f>IF('Data Entry'!A837="","",'Data Entry'!E837)</f>
        <v/>
      </c>
      <c r="F837" s="12">
        <f>IF('Data Entry'!A837="","",'Data Entry'!F837)</f>
        <v/>
      </c>
      <c r="G837" s="13">
        <f>IF('Data Entry'!A837="","",'Data Entry'!G837)</f>
        <v/>
      </c>
      <c r="H837" s="10">
        <f>IF('Data Entry'!A837="","",'Data Entry'!H837)</f>
        <v/>
      </c>
      <c r="I837" s="10">
        <f>IF('Data Entry'!A837="","",'Data Entry'!I837)</f>
        <v/>
      </c>
      <c r="J837" s="12">
        <f>IF('Data Entry'!A837="","",IF('Data Entry'!D837&lt;&gt;"",'Data Entry'!D837,'Data Entry'!E837))</f>
        <v/>
      </c>
      <c r="K837" s="10">
        <f>IF('Data Entry'!A837="","",IFERROR(SUMIFS($H$5:$H$2001,$J$5:$J$2001,$J837,$B$5:$B$2001,$B837,$A$5:$A$2001,(MAXIFS($A$5:$A$2001,$J$5:$J$2001,$J837,$B$5:$B$2001,$B837,$A$5:$A$2001,"&lt;"&amp;$A837))),""))</f>
        <v/>
      </c>
      <c r="L837" s="14">
        <f>IF(OR('Data Entry'!A837="",$K837=""),"",$H837-$K837)</f>
        <v/>
      </c>
      <c r="M837" s="15">
        <f>IF(OR('Data Entry'!A837="",$K837="",$K837=0),"",$L837/$K837)</f>
        <v/>
      </c>
      <c r="N837" s="12">
        <f>IF('Data Entry'!A837="","",IF($L837="","New item",IF($L837&gt;0,"UP",IF($L837&lt;0,"down","same"))))</f>
        <v/>
      </c>
    </row>
    <row r="838">
      <c r="A838" s="11">
        <f>IF('Data Entry'!A838="","",'Data Entry'!A838)</f>
        <v/>
      </c>
      <c r="B838" s="12">
        <f>IF('Data Entry'!A838="","",'Data Entry'!B838)</f>
        <v/>
      </c>
      <c r="C838" s="12">
        <f>IF('Data Entry'!A838="","",'Data Entry'!C838)</f>
        <v/>
      </c>
      <c r="D838" s="12">
        <f>IF('Data Entry'!A838="","",'Data Entry'!D838)</f>
        <v/>
      </c>
      <c r="E838" s="12">
        <f>IF('Data Entry'!A838="","",'Data Entry'!E838)</f>
        <v/>
      </c>
      <c r="F838" s="12">
        <f>IF('Data Entry'!A838="","",'Data Entry'!F838)</f>
        <v/>
      </c>
      <c r="G838" s="13">
        <f>IF('Data Entry'!A838="","",'Data Entry'!G838)</f>
        <v/>
      </c>
      <c r="H838" s="10">
        <f>IF('Data Entry'!A838="","",'Data Entry'!H838)</f>
        <v/>
      </c>
      <c r="I838" s="10">
        <f>IF('Data Entry'!A838="","",'Data Entry'!I838)</f>
        <v/>
      </c>
      <c r="J838" s="12">
        <f>IF('Data Entry'!A838="","",IF('Data Entry'!D838&lt;&gt;"",'Data Entry'!D838,'Data Entry'!E838))</f>
        <v/>
      </c>
      <c r="K838" s="10">
        <f>IF('Data Entry'!A838="","",IFERROR(SUMIFS($H$5:$H$2001,$J$5:$J$2001,$J838,$B$5:$B$2001,$B838,$A$5:$A$2001,(MAXIFS($A$5:$A$2001,$J$5:$J$2001,$J838,$B$5:$B$2001,$B838,$A$5:$A$2001,"&lt;"&amp;$A838))),""))</f>
        <v/>
      </c>
      <c r="L838" s="14">
        <f>IF(OR('Data Entry'!A838="",$K838=""),"",$H838-$K838)</f>
        <v/>
      </c>
      <c r="M838" s="15">
        <f>IF(OR('Data Entry'!A838="",$K838="",$K838=0),"",$L838/$K838)</f>
        <v/>
      </c>
      <c r="N838" s="12">
        <f>IF('Data Entry'!A838="","",IF($L838="","New item",IF($L838&gt;0,"UP",IF($L838&lt;0,"down","same"))))</f>
        <v/>
      </c>
    </row>
    <row r="839">
      <c r="A839" s="11">
        <f>IF('Data Entry'!A839="","",'Data Entry'!A839)</f>
        <v/>
      </c>
      <c r="B839" s="12">
        <f>IF('Data Entry'!A839="","",'Data Entry'!B839)</f>
        <v/>
      </c>
      <c r="C839" s="12">
        <f>IF('Data Entry'!A839="","",'Data Entry'!C839)</f>
        <v/>
      </c>
      <c r="D839" s="12">
        <f>IF('Data Entry'!A839="","",'Data Entry'!D839)</f>
        <v/>
      </c>
      <c r="E839" s="12">
        <f>IF('Data Entry'!A839="","",'Data Entry'!E839)</f>
        <v/>
      </c>
      <c r="F839" s="12">
        <f>IF('Data Entry'!A839="","",'Data Entry'!F839)</f>
        <v/>
      </c>
      <c r="G839" s="13">
        <f>IF('Data Entry'!A839="","",'Data Entry'!G839)</f>
        <v/>
      </c>
      <c r="H839" s="10">
        <f>IF('Data Entry'!A839="","",'Data Entry'!H839)</f>
        <v/>
      </c>
      <c r="I839" s="10">
        <f>IF('Data Entry'!A839="","",'Data Entry'!I839)</f>
        <v/>
      </c>
      <c r="J839" s="12">
        <f>IF('Data Entry'!A839="","",IF('Data Entry'!D839&lt;&gt;"",'Data Entry'!D839,'Data Entry'!E839))</f>
        <v/>
      </c>
      <c r="K839" s="10">
        <f>IF('Data Entry'!A839="","",IFERROR(SUMIFS($H$5:$H$2001,$J$5:$J$2001,$J839,$B$5:$B$2001,$B839,$A$5:$A$2001,(MAXIFS($A$5:$A$2001,$J$5:$J$2001,$J839,$B$5:$B$2001,$B839,$A$5:$A$2001,"&lt;"&amp;$A839))),""))</f>
        <v/>
      </c>
      <c r="L839" s="14">
        <f>IF(OR('Data Entry'!A839="",$K839=""),"",$H839-$K839)</f>
        <v/>
      </c>
      <c r="M839" s="15">
        <f>IF(OR('Data Entry'!A839="",$K839="",$K839=0),"",$L839/$K839)</f>
        <v/>
      </c>
      <c r="N839" s="12">
        <f>IF('Data Entry'!A839="","",IF($L839="","New item",IF($L839&gt;0,"UP",IF($L839&lt;0,"down","same"))))</f>
        <v/>
      </c>
    </row>
    <row r="840">
      <c r="A840" s="11">
        <f>IF('Data Entry'!A840="","",'Data Entry'!A840)</f>
        <v/>
      </c>
      <c r="B840" s="12">
        <f>IF('Data Entry'!A840="","",'Data Entry'!B840)</f>
        <v/>
      </c>
      <c r="C840" s="12">
        <f>IF('Data Entry'!A840="","",'Data Entry'!C840)</f>
        <v/>
      </c>
      <c r="D840" s="12">
        <f>IF('Data Entry'!A840="","",'Data Entry'!D840)</f>
        <v/>
      </c>
      <c r="E840" s="12">
        <f>IF('Data Entry'!A840="","",'Data Entry'!E840)</f>
        <v/>
      </c>
      <c r="F840" s="12">
        <f>IF('Data Entry'!A840="","",'Data Entry'!F840)</f>
        <v/>
      </c>
      <c r="G840" s="13">
        <f>IF('Data Entry'!A840="","",'Data Entry'!G840)</f>
        <v/>
      </c>
      <c r="H840" s="10">
        <f>IF('Data Entry'!A840="","",'Data Entry'!H840)</f>
        <v/>
      </c>
      <c r="I840" s="10">
        <f>IF('Data Entry'!A840="","",'Data Entry'!I840)</f>
        <v/>
      </c>
      <c r="J840" s="12">
        <f>IF('Data Entry'!A840="","",IF('Data Entry'!D840&lt;&gt;"",'Data Entry'!D840,'Data Entry'!E840))</f>
        <v/>
      </c>
      <c r="K840" s="10">
        <f>IF('Data Entry'!A840="","",IFERROR(SUMIFS($H$5:$H$2001,$J$5:$J$2001,$J840,$B$5:$B$2001,$B840,$A$5:$A$2001,(MAXIFS($A$5:$A$2001,$J$5:$J$2001,$J840,$B$5:$B$2001,$B840,$A$5:$A$2001,"&lt;"&amp;$A840))),""))</f>
        <v/>
      </c>
      <c r="L840" s="14">
        <f>IF(OR('Data Entry'!A840="",$K840=""),"",$H840-$K840)</f>
        <v/>
      </c>
      <c r="M840" s="15">
        <f>IF(OR('Data Entry'!A840="",$K840="",$K840=0),"",$L840/$K840)</f>
        <v/>
      </c>
      <c r="N840" s="12">
        <f>IF('Data Entry'!A840="","",IF($L840="","New item",IF($L840&gt;0,"UP",IF($L840&lt;0,"down","same"))))</f>
        <v/>
      </c>
    </row>
    <row r="841">
      <c r="A841" s="11">
        <f>IF('Data Entry'!A841="","",'Data Entry'!A841)</f>
        <v/>
      </c>
      <c r="B841" s="12">
        <f>IF('Data Entry'!A841="","",'Data Entry'!B841)</f>
        <v/>
      </c>
      <c r="C841" s="12">
        <f>IF('Data Entry'!A841="","",'Data Entry'!C841)</f>
        <v/>
      </c>
      <c r="D841" s="12">
        <f>IF('Data Entry'!A841="","",'Data Entry'!D841)</f>
        <v/>
      </c>
      <c r="E841" s="12">
        <f>IF('Data Entry'!A841="","",'Data Entry'!E841)</f>
        <v/>
      </c>
      <c r="F841" s="12">
        <f>IF('Data Entry'!A841="","",'Data Entry'!F841)</f>
        <v/>
      </c>
      <c r="G841" s="13">
        <f>IF('Data Entry'!A841="","",'Data Entry'!G841)</f>
        <v/>
      </c>
      <c r="H841" s="10">
        <f>IF('Data Entry'!A841="","",'Data Entry'!H841)</f>
        <v/>
      </c>
      <c r="I841" s="10">
        <f>IF('Data Entry'!A841="","",'Data Entry'!I841)</f>
        <v/>
      </c>
      <c r="J841" s="12">
        <f>IF('Data Entry'!A841="","",IF('Data Entry'!D841&lt;&gt;"",'Data Entry'!D841,'Data Entry'!E841))</f>
        <v/>
      </c>
      <c r="K841" s="10">
        <f>IF('Data Entry'!A841="","",IFERROR(SUMIFS($H$5:$H$2001,$J$5:$J$2001,$J841,$B$5:$B$2001,$B841,$A$5:$A$2001,(MAXIFS($A$5:$A$2001,$J$5:$J$2001,$J841,$B$5:$B$2001,$B841,$A$5:$A$2001,"&lt;"&amp;$A841))),""))</f>
        <v/>
      </c>
      <c r="L841" s="14">
        <f>IF(OR('Data Entry'!A841="",$K841=""),"",$H841-$K841)</f>
        <v/>
      </c>
      <c r="M841" s="15">
        <f>IF(OR('Data Entry'!A841="",$K841="",$K841=0),"",$L841/$K841)</f>
        <v/>
      </c>
      <c r="N841" s="12">
        <f>IF('Data Entry'!A841="","",IF($L841="","New item",IF($L841&gt;0,"UP",IF($L841&lt;0,"down","same"))))</f>
        <v/>
      </c>
    </row>
    <row r="842">
      <c r="A842" s="11">
        <f>IF('Data Entry'!A842="","",'Data Entry'!A842)</f>
        <v/>
      </c>
      <c r="B842" s="12">
        <f>IF('Data Entry'!A842="","",'Data Entry'!B842)</f>
        <v/>
      </c>
      <c r="C842" s="12">
        <f>IF('Data Entry'!A842="","",'Data Entry'!C842)</f>
        <v/>
      </c>
      <c r="D842" s="12">
        <f>IF('Data Entry'!A842="","",'Data Entry'!D842)</f>
        <v/>
      </c>
      <c r="E842" s="12">
        <f>IF('Data Entry'!A842="","",'Data Entry'!E842)</f>
        <v/>
      </c>
      <c r="F842" s="12">
        <f>IF('Data Entry'!A842="","",'Data Entry'!F842)</f>
        <v/>
      </c>
      <c r="G842" s="13">
        <f>IF('Data Entry'!A842="","",'Data Entry'!G842)</f>
        <v/>
      </c>
      <c r="H842" s="10">
        <f>IF('Data Entry'!A842="","",'Data Entry'!H842)</f>
        <v/>
      </c>
      <c r="I842" s="10">
        <f>IF('Data Entry'!A842="","",'Data Entry'!I842)</f>
        <v/>
      </c>
      <c r="J842" s="12">
        <f>IF('Data Entry'!A842="","",IF('Data Entry'!D842&lt;&gt;"",'Data Entry'!D842,'Data Entry'!E842))</f>
        <v/>
      </c>
      <c r="K842" s="10">
        <f>IF('Data Entry'!A842="","",IFERROR(SUMIFS($H$5:$H$2001,$J$5:$J$2001,$J842,$B$5:$B$2001,$B842,$A$5:$A$2001,(MAXIFS($A$5:$A$2001,$J$5:$J$2001,$J842,$B$5:$B$2001,$B842,$A$5:$A$2001,"&lt;"&amp;$A842))),""))</f>
        <v/>
      </c>
      <c r="L842" s="14">
        <f>IF(OR('Data Entry'!A842="",$K842=""),"",$H842-$K842)</f>
        <v/>
      </c>
      <c r="M842" s="15">
        <f>IF(OR('Data Entry'!A842="",$K842="",$K842=0),"",$L842/$K842)</f>
        <v/>
      </c>
      <c r="N842" s="12">
        <f>IF('Data Entry'!A842="","",IF($L842="","New item",IF($L842&gt;0,"UP",IF($L842&lt;0,"down","same"))))</f>
        <v/>
      </c>
    </row>
    <row r="843">
      <c r="A843" s="11">
        <f>IF('Data Entry'!A843="","",'Data Entry'!A843)</f>
        <v/>
      </c>
      <c r="B843" s="12">
        <f>IF('Data Entry'!A843="","",'Data Entry'!B843)</f>
        <v/>
      </c>
      <c r="C843" s="12">
        <f>IF('Data Entry'!A843="","",'Data Entry'!C843)</f>
        <v/>
      </c>
      <c r="D843" s="12">
        <f>IF('Data Entry'!A843="","",'Data Entry'!D843)</f>
        <v/>
      </c>
      <c r="E843" s="12">
        <f>IF('Data Entry'!A843="","",'Data Entry'!E843)</f>
        <v/>
      </c>
      <c r="F843" s="12">
        <f>IF('Data Entry'!A843="","",'Data Entry'!F843)</f>
        <v/>
      </c>
      <c r="G843" s="13">
        <f>IF('Data Entry'!A843="","",'Data Entry'!G843)</f>
        <v/>
      </c>
      <c r="H843" s="10">
        <f>IF('Data Entry'!A843="","",'Data Entry'!H843)</f>
        <v/>
      </c>
      <c r="I843" s="10">
        <f>IF('Data Entry'!A843="","",'Data Entry'!I843)</f>
        <v/>
      </c>
      <c r="J843" s="12">
        <f>IF('Data Entry'!A843="","",IF('Data Entry'!D843&lt;&gt;"",'Data Entry'!D843,'Data Entry'!E843))</f>
        <v/>
      </c>
      <c r="K843" s="10">
        <f>IF('Data Entry'!A843="","",IFERROR(SUMIFS($H$5:$H$2001,$J$5:$J$2001,$J843,$B$5:$B$2001,$B843,$A$5:$A$2001,(MAXIFS($A$5:$A$2001,$J$5:$J$2001,$J843,$B$5:$B$2001,$B843,$A$5:$A$2001,"&lt;"&amp;$A843))),""))</f>
        <v/>
      </c>
      <c r="L843" s="14">
        <f>IF(OR('Data Entry'!A843="",$K843=""),"",$H843-$K843)</f>
        <v/>
      </c>
      <c r="M843" s="15">
        <f>IF(OR('Data Entry'!A843="",$K843="",$K843=0),"",$L843/$K843)</f>
        <v/>
      </c>
      <c r="N843" s="12">
        <f>IF('Data Entry'!A843="","",IF($L843="","New item",IF($L843&gt;0,"UP",IF($L843&lt;0,"down","same"))))</f>
        <v/>
      </c>
    </row>
    <row r="844">
      <c r="A844" s="11">
        <f>IF('Data Entry'!A844="","",'Data Entry'!A844)</f>
        <v/>
      </c>
      <c r="B844" s="12">
        <f>IF('Data Entry'!A844="","",'Data Entry'!B844)</f>
        <v/>
      </c>
      <c r="C844" s="12">
        <f>IF('Data Entry'!A844="","",'Data Entry'!C844)</f>
        <v/>
      </c>
      <c r="D844" s="12">
        <f>IF('Data Entry'!A844="","",'Data Entry'!D844)</f>
        <v/>
      </c>
      <c r="E844" s="12">
        <f>IF('Data Entry'!A844="","",'Data Entry'!E844)</f>
        <v/>
      </c>
      <c r="F844" s="12">
        <f>IF('Data Entry'!A844="","",'Data Entry'!F844)</f>
        <v/>
      </c>
      <c r="G844" s="13">
        <f>IF('Data Entry'!A844="","",'Data Entry'!G844)</f>
        <v/>
      </c>
      <c r="H844" s="10">
        <f>IF('Data Entry'!A844="","",'Data Entry'!H844)</f>
        <v/>
      </c>
      <c r="I844" s="10">
        <f>IF('Data Entry'!A844="","",'Data Entry'!I844)</f>
        <v/>
      </c>
      <c r="J844" s="12">
        <f>IF('Data Entry'!A844="","",IF('Data Entry'!D844&lt;&gt;"",'Data Entry'!D844,'Data Entry'!E844))</f>
        <v/>
      </c>
      <c r="K844" s="10">
        <f>IF('Data Entry'!A844="","",IFERROR(SUMIFS($H$5:$H$2001,$J$5:$J$2001,$J844,$B$5:$B$2001,$B844,$A$5:$A$2001,(MAXIFS($A$5:$A$2001,$J$5:$J$2001,$J844,$B$5:$B$2001,$B844,$A$5:$A$2001,"&lt;"&amp;$A844))),""))</f>
        <v/>
      </c>
      <c r="L844" s="14">
        <f>IF(OR('Data Entry'!A844="",$K844=""),"",$H844-$K844)</f>
        <v/>
      </c>
      <c r="M844" s="15">
        <f>IF(OR('Data Entry'!A844="",$K844="",$K844=0),"",$L844/$K844)</f>
        <v/>
      </c>
      <c r="N844" s="12">
        <f>IF('Data Entry'!A844="","",IF($L844="","New item",IF($L844&gt;0,"UP",IF($L844&lt;0,"down","same"))))</f>
        <v/>
      </c>
    </row>
    <row r="845">
      <c r="A845" s="11">
        <f>IF('Data Entry'!A845="","",'Data Entry'!A845)</f>
        <v/>
      </c>
      <c r="B845" s="12">
        <f>IF('Data Entry'!A845="","",'Data Entry'!B845)</f>
        <v/>
      </c>
      <c r="C845" s="12">
        <f>IF('Data Entry'!A845="","",'Data Entry'!C845)</f>
        <v/>
      </c>
      <c r="D845" s="12">
        <f>IF('Data Entry'!A845="","",'Data Entry'!D845)</f>
        <v/>
      </c>
      <c r="E845" s="12">
        <f>IF('Data Entry'!A845="","",'Data Entry'!E845)</f>
        <v/>
      </c>
      <c r="F845" s="12">
        <f>IF('Data Entry'!A845="","",'Data Entry'!F845)</f>
        <v/>
      </c>
      <c r="G845" s="13">
        <f>IF('Data Entry'!A845="","",'Data Entry'!G845)</f>
        <v/>
      </c>
      <c r="H845" s="10">
        <f>IF('Data Entry'!A845="","",'Data Entry'!H845)</f>
        <v/>
      </c>
      <c r="I845" s="10">
        <f>IF('Data Entry'!A845="","",'Data Entry'!I845)</f>
        <v/>
      </c>
      <c r="J845" s="12">
        <f>IF('Data Entry'!A845="","",IF('Data Entry'!D845&lt;&gt;"",'Data Entry'!D845,'Data Entry'!E845))</f>
        <v/>
      </c>
      <c r="K845" s="10">
        <f>IF('Data Entry'!A845="","",IFERROR(SUMIFS($H$5:$H$2001,$J$5:$J$2001,$J845,$B$5:$B$2001,$B845,$A$5:$A$2001,(MAXIFS($A$5:$A$2001,$J$5:$J$2001,$J845,$B$5:$B$2001,$B845,$A$5:$A$2001,"&lt;"&amp;$A845))),""))</f>
        <v/>
      </c>
      <c r="L845" s="14">
        <f>IF(OR('Data Entry'!A845="",$K845=""),"",$H845-$K845)</f>
        <v/>
      </c>
      <c r="M845" s="15">
        <f>IF(OR('Data Entry'!A845="",$K845="",$K845=0),"",$L845/$K845)</f>
        <v/>
      </c>
      <c r="N845" s="12">
        <f>IF('Data Entry'!A845="","",IF($L845="","New item",IF($L845&gt;0,"UP",IF($L845&lt;0,"down","same"))))</f>
        <v/>
      </c>
    </row>
    <row r="846">
      <c r="A846" s="11">
        <f>IF('Data Entry'!A846="","",'Data Entry'!A846)</f>
        <v/>
      </c>
      <c r="B846" s="12">
        <f>IF('Data Entry'!A846="","",'Data Entry'!B846)</f>
        <v/>
      </c>
      <c r="C846" s="12">
        <f>IF('Data Entry'!A846="","",'Data Entry'!C846)</f>
        <v/>
      </c>
      <c r="D846" s="12">
        <f>IF('Data Entry'!A846="","",'Data Entry'!D846)</f>
        <v/>
      </c>
      <c r="E846" s="12">
        <f>IF('Data Entry'!A846="","",'Data Entry'!E846)</f>
        <v/>
      </c>
      <c r="F846" s="12">
        <f>IF('Data Entry'!A846="","",'Data Entry'!F846)</f>
        <v/>
      </c>
      <c r="G846" s="13">
        <f>IF('Data Entry'!A846="","",'Data Entry'!G846)</f>
        <v/>
      </c>
      <c r="H846" s="10">
        <f>IF('Data Entry'!A846="","",'Data Entry'!H846)</f>
        <v/>
      </c>
      <c r="I846" s="10">
        <f>IF('Data Entry'!A846="","",'Data Entry'!I846)</f>
        <v/>
      </c>
      <c r="J846" s="12">
        <f>IF('Data Entry'!A846="","",IF('Data Entry'!D846&lt;&gt;"",'Data Entry'!D846,'Data Entry'!E846))</f>
        <v/>
      </c>
      <c r="K846" s="10">
        <f>IF('Data Entry'!A846="","",IFERROR(SUMIFS($H$5:$H$2001,$J$5:$J$2001,$J846,$B$5:$B$2001,$B846,$A$5:$A$2001,(MAXIFS($A$5:$A$2001,$J$5:$J$2001,$J846,$B$5:$B$2001,$B846,$A$5:$A$2001,"&lt;"&amp;$A846))),""))</f>
        <v/>
      </c>
      <c r="L846" s="14">
        <f>IF(OR('Data Entry'!A846="",$K846=""),"",$H846-$K846)</f>
        <v/>
      </c>
      <c r="M846" s="15">
        <f>IF(OR('Data Entry'!A846="",$K846="",$K846=0),"",$L846/$K846)</f>
        <v/>
      </c>
      <c r="N846" s="12">
        <f>IF('Data Entry'!A846="","",IF($L846="","New item",IF($L846&gt;0,"UP",IF($L846&lt;0,"down","same"))))</f>
        <v/>
      </c>
    </row>
    <row r="847">
      <c r="A847" s="11">
        <f>IF('Data Entry'!A847="","",'Data Entry'!A847)</f>
        <v/>
      </c>
      <c r="B847" s="12">
        <f>IF('Data Entry'!A847="","",'Data Entry'!B847)</f>
        <v/>
      </c>
      <c r="C847" s="12">
        <f>IF('Data Entry'!A847="","",'Data Entry'!C847)</f>
        <v/>
      </c>
      <c r="D847" s="12">
        <f>IF('Data Entry'!A847="","",'Data Entry'!D847)</f>
        <v/>
      </c>
      <c r="E847" s="12">
        <f>IF('Data Entry'!A847="","",'Data Entry'!E847)</f>
        <v/>
      </c>
      <c r="F847" s="12">
        <f>IF('Data Entry'!A847="","",'Data Entry'!F847)</f>
        <v/>
      </c>
      <c r="G847" s="13">
        <f>IF('Data Entry'!A847="","",'Data Entry'!G847)</f>
        <v/>
      </c>
      <c r="H847" s="10">
        <f>IF('Data Entry'!A847="","",'Data Entry'!H847)</f>
        <v/>
      </c>
      <c r="I847" s="10">
        <f>IF('Data Entry'!A847="","",'Data Entry'!I847)</f>
        <v/>
      </c>
      <c r="J847" s="12">
        <f>IF('Data Entry'!A847="","",IF('Data Entry'!D847&lt;&gt;"",'Data Entry'!D847,'Data Entry'!E847))</f>
        <v/>
      </c>
      <c r="K847" s="10">
        <f>IF('Data Entry'!A847="","",IFERROR(SUMIFS($H$5:$H$2001,$J$5:$J$2001,$J847,$B$5:$B$2001,$B847,$A$5:$A$2001,(MAXIFS($A$5:$A$2001,$J$5:$J$2001,$J847,$B$5:$B$2001,$B847,$A$5:$A$2001,"&lt;"&amp;$A847))),""))</f>
        <v/>
      </c>
      <c r="L847" s="14">
        <f>IF(OR('Data Entry'!A847="",$K847=""),"",$H847-$K847)</f>
        <v/>
      </c>
      <c r="M847" s="15">
        <f>IF(OR('Data Entry'!A847="",$K847="",$K847=0),"",$L847/$K847)</f>
        <v/>
      </c>
      <c r="N847" s="12">
        <f>IF('Data Entry'!A847="","",IF($L847="","New item",IF($L847&gt;0,"UP",IF($L847&lt;0,"down","same"))))</f>
        <v/>
      </c>
    </row>
    <row r="848">
      <c r="A848" s="11">
        <f>IF('Data Entry'!A848="","",'Data Entry'!A848)</f>
        <v/>
      </c>
      <c r="B848" s="12">
        <f>IF('Data Entry'!A848="","",'Data Entry'!B848)</f>
        <v/>
      </c>
      <c r="C848" s="12">
        <f>IF('Data Entry'!A848="","",'Data Entry'!C848)</f>
        <v/>
      </c>
      <c r="D848" s="12">
        <f>IF('Data Entry'!A848="","",'Data Entry'!D848)</f>
        <v/>
      </c>
      <c r="E848" s="12">
        <f>IF('Data Entry'!A848="","",'Data Entry'!E848)</f>
        <v/>
      </c>
      <c r="F848" s="12">
        <f>IF('Data Entry'!A848="","",'Data Entry'!F848)</f>
        <v/>
      </c>
      <c r="G848" s="13">
        <f>IF('Data Entry'!A848="","",'Data Entry'!G848)</f>
        <v/>
      </c>
      <c r="H848" s="10">
        <f>IF('Data Entry'!A848="","",'Data Entry'!H848)</f>
        <v/>
      </c>
      <c r="I848" s="10">
        <f>IF('Data Entry'!A848="","",'Data Entry'!I848)</f>
        <v/>
      </c>
      <c r="J848" s="12">
        <f>IF('Data Entry'!A848="","",IF('Data Entry'!D848&lt;&gt;"",'Data Entry'!D848,'Data Entry'!E848))</f>
        <v/>
      </c>
      <c r="K848" s="10">
        <f>IF('Data Entry'!A848="","",IFERROR(SUMIFS($H$5:$H$2001,$J$5:$J$2001,$J848,$B$5:$B$2001,$B848,$A$5:$A$2001,(MAXIFS($A$5:$A$2001,$J$5:$J$2001,$J848,$B$5:$B$2001,$B848,$A$5:$A$2001,"&lt;"&amp;$A848))),""))</f>
        <v/>
      </c>
      <c r="L848" s="14">
        <f>IF(OR('Data Entry'!A848="",$K848=""),"",$H848-$K848)</f>
        <v/>
      </c>
      <c r="M848" s="15">
        <f>IF(OR('Data Entry'!A848="",$K848="",$K848=0),"",$L848/$K848)</f>
        <v/>
      </c>
      <c r="N848" s="12">
        <f>IF('Data Entry'!A848="","",IF($L848="","New item",IF($L848&gt;0,"UP",IF($L848&lt;0,"down","same"))))</f>
        <v/>
      </c>
    </row>
    <row r="849">
      <c r="A849" s="11">
        <f>IF('Data Entry'!A849="","",'Data Entry'!A849)</f>
        <v/>
      </c>
      <c r="B849" s="12">
        <f>IF('Data Entry'!A849="","",'Data Entry'!B849)</f>
        <v/>
      </c>
      <c r="C849" s="12">
        <f>IF('Data Entry'!A849="","",'Data Entry'!C849)</f>
        <v/>
      </c>
      <c r="D849" s="12">
        <f>IF('Data Entry'!A849="","",'Data Entry'!D849)</f>
        <v/>
      </c>
      <c r="E849" s="12">
        <f>IF('Data Entry'!A849="","",'Data Entry'!E849)</f>
        <v/>
      </c>
      <c r="F849" s="12">
        <f>IF('Data Entry'!A849="","",'Data Entry'!F849)</f>
        <v/>
      </c>
      <c r="G849" s="13">
        <f>IF('Data Entry'!A849="","",'Data Entry'!G849)</f>
        <v/>
      </c>
      <c r="H849" s="10">
        <f>IF('Data Entry'!A849="","",'Data Entry'!H849)</f>
        <v/>
      </c>
      <c r="I849" s="10">
        <f>IF('Data Entry'!A849="","",'Data Entry'!I849)</f>
        <v/>
      </c>
      <c r="J849" s="12">
        <f>IF('Data Entry'!A849="","",IF('Data Entry'!D849&lt;&gt;"",'Data Entry'!D849,'Data Entry'!E849))</f>
        <v/>
      </c>
      <c r="K849" s="10">
        <f>IF('Data Entry'!A849="","",IFERROR(SUMIFS($H$5:$H$2001,$J$5:$J$2001,$J849,$B$5:$B$2001,$B849,$A$5:$A$2001,(MAXIFS($A$5:$A$2001,$J$5:$J$2001,$J849,$B$5:$B$2001,$B849,$A$5:$A$2001,"&lt;"&amp;$A849))),""))</f>
        <v/>
      </c>
      <c r="L849" s="14">
        <f>IF(OR('Data Entry'!A849="",$K849=""),"",$H849-$K849)</f>
        <v/>
      </c>
      <c r="M849" s="15">
        <f>IF(OR('Data Entry'!A849="",$K849="",$K849=0),"",$L849/$K849)</f>
        <v/>
      </c>
      <c r="N849" s="12">
        <f>IF('Data Entry'!A849="","",IF($L849="","New item",IF($L849&gt;0,"UP",IF($L849&lt;0,"down","same"))))</f>
        <v/>
      </c>
    </row>
    <row r="850">
      <c r="A850" s="11">
        <f>IF('Data Entry'!A850="","",'Data Entry'!A850)</f>
        <v/>
      </c>
      <c r="B850" s="12">
        <f>IF('Data Entry'!A850="","",'Data Entry'!B850)</f>
        <v/>
      </c>
      <c r="C850" s="12">
        <f>IF('Data Entry'!A850="","",'Data Entry'!C850)</f>
        <v/>
      </c>
      <c r="D850" s="12">
        <f>IF('Data Entry'!A850="","",'Data Entry'!D850)</f>
        <v/>
      </c>
      <c r="E850" s="12">
        <f>IF('Data Entry'!A850="","",'Data Entry'!E850)</f>
        <v/>
      </c>
      <c r="F850" s="12">
        <f>IF('Data Entry'!A850="","",'Data Entry'!F850)</f>
        <v/>
      </c>
      <c r="G850" s="13">
        <f>IF('Data Entry'!A850="","",'Data Entry'!G850)</f>
        <v/>
      </c>
      <c r="H850" s="10">
        <f>IF('Data Entry'!A850="","",'Data Entry'!H850)</f>
        <v/>
      </c>
      <c r="I850" s="10">
        <f>IF('Data Entry'!A850="","",'Data Entry'!I850)</f>
        <v/>
      </c>
      <c r="J850" s="12">
        <f>IF('Data Entry'!A850="","",IF('Data Entry'!D850&lt;&gt;"",'Data Entry'!D850,'Data Entry'!E850))</f>
        <v/>
      </c>
      <c r="K850" s="10">
        <f>IF('Data Entry'!A850="","",IFERROR(SUMIFS($H$5:$H$2001,$J$5:$J$2001,$J850,$B$5:$B$2001,$B850,$A$5:$A$2001,(MAXIFS($A$5:$A$2001,$J$5:$J$2001,$J850,$B$5:$B$2001,$B850,$A$5:$A$2001,"&lt;"&amp;$A850))),""))</f>
        <v/>
      </c>
      <c r="L850" s="14">
        <f>IF(OR('Data Entry'!A850="",$K850=""),"",$H850-$K850)</f>
        <v/>
      </c>
      <c r="M850" s="15">
        <f>IF(OR('Data Entry'!A850="",$K850="",$K850=0),"",$L850/$K850)</f>
        <v/>
      </c>
      <c r="N850" s="12">
        <f>IF('Data Entry'!A850="","",IF($L850="","New item",IF($L850&gt;0,"UP",IF($L850&lt;0,"down","same"))))</f>
        <v/>
      </c>
    </row>
    <row r="851">
      <c r="A851" s="11">
        <f>IF('Data Entry'!A851="","",'Data Entry'!A851)</f>
        <v/>
      </c>
      <c r="B851" s="12">
        <f>IF('Data Entry'!A851="","",'Data Entry'!B851)</f>
        <v/>
      </c>
      <c r="C851" s="12">
        <f>IF('Data Entry'!A851="","",'Data Entry'!C851)</f>
        <v/>
      </c>
      <c r="D851" s="12">
        <f>IF('Data Entry'!A851="","",'Data Entry'!D851)</f>
        <v/>
      </c>
      <c r="E851" s="12">
        <f>IF('Data Entry'!A851="","",'Data Entry'!E851)</f>
        <v/>
      </c>
      <c r="F851" s="12">
        <f>IF('Data Entry'!A851="","",'Data Entry'!F851)</f>
        <v/>
      </c>
      <c r="G851" s="13">
        <f>IF('Data Entry'!A851="","",'Data Entry'!G851)</f>
        <v/>
      </c>
      <c r="H851" s="10">
        <f>IF('Data Entry'!A851="","",'Data Entry'!H851)</f>
        <v/>
      </c>
      <c r="I851" s="10">
        <f>IF('Data Entry'!A851="","",'Data Entry'!I851)</f>
        <v/>
      </c>
      <c r="J851" s="12">
        <f>IF('Data Entry'!A851="","",IF('Data Entry'!D851&lt;&gt;"",'Data Entry'!D851,'Data Entry'!E851))</f>
        <v/>
      </c>
      <c r="K851" s="10">
        <f>IF('Data Entry'!A851="","",IFERROR(SUMIFS($H$5:$H$2001,$J$5:$J$2001,$J851,$B$5:$B$2001,$B851,$A$5:$A$2001,(MAXIFS($A$5:$A$2001,$J$5:$J$2001,$J851,$B$5:$B$2001,$B851,$A$5:$A$2001,"&lt;"&amp;$A851))),""))</f>
        <v/>
      </c>
      <c r="L851" s="14">
        <f>IF(OR('Data Entry'!A851="",$K851=""),"",$H851-$K851)</f>
        <v/>
      </c>
      <c r="M851" s="15">
        <f>IF(OR('Data Entry'!A851="",$K851="",$K851=0),"",$L851/$K851)</f>
        <v/>
      </c>
      <c r="N851" s="12">
        <f>IF('Data Entry'!A851="","",IF($L851="","New item",IF($L851&gt;0,"UP",IF($L851&lt;0,"down","same"))))</f>
        <v/>
      </c>
    </row>
    <row r="852">
      <c r="A852" s="11">
        <f>IF('Data Entry'!A852="","",'Data Entry'!A852)</f>
        <v/>
      </c>
      <c r="B852" s="12">
        <f>IF('Data Entry'!A852="","",'Data Entry'!B852)</f>
        <v/>
      </c>
      <c r="C852" s="12">
        <f>IF('Data Entry'!A852="","",'Data Entry'!C852)</f>
        <v/>
      </c>
      <c r="D852" s="12">
        <f>IF('Data Entry'!A852="","",'Data Entry'!D852)</f>
        <v/>
      </c>
      <c r="E852" s="12">
        <f>IF('Data Entry'!A852="","",'Data Entry'!E852)</f>
        <v/>
      </c>
      <c r="F852" s="12">
        <f>IF('Data Entry'!A852="","",'Data Entry'!F852)</f>
        <v/>
      </c>
      <c r="G852" s="13">
        <f>IF('Data Entry'!A852="","",'Data Entry'!G852)</f>
        <v/>
      </c>
      <c r="H852" s="10">
        <f>IF('Data Entry'!A852="","",'Data Entry'!H852)</f>
        <v/>
      </c>
      <c r="I852" s="10">
        <f>IF('Data Entry'!A852="","",'Data Entry'!I852)</f>
        <v/>
      </c>
      <c r="J852" s="12">
        <f>IF('Data Entry'!A852="","",IF('Data Entry'!D852&lt;&gt;"",'Data Entry'!D852,'Data Entry'!E852))</f>
        <v/>
      </c>
      <c r="K852" s="10">
        <f>IF('Data Entry'!A852="","",IFERROR(SUMIFS($H$5:$H$2001,$J$5:$J$2001,$J852,$B$5:$B$2001,$B852,$A$5:$A$2001,(MAXIFS($A$5:$A$2001,$J$5:$J$2001,$J852,$B$5:$B$2001,$B852,$A$5:$A$2001,"&lt;"&amp;$A852))),""))</f>
        <v/>
      </c>
      <c r="L852" s="14">
        <f>IF(OR('Data Entry'!A852="",$K852=""),"",$H852-$K852)</f>
        <v/>
      </c>
      <c r="M852" s="15">
        <f>IF(OR('Data Entry'!A852="",$K852="",$K852=0),"",$L852/$K852)</f>
        <v/>
      </c>
      <c r="N852" s="12">
        <f>IF('Data Entry'!A852="","",IF($L852="","New item",IF($L852&gt;0,"UP",IF($L852&lt;0,"down","same"))))</f>
        <v/>
      </c>
    </row>
    <row r="853">
      <c r="A853" s="11">
        <f>IF('Data Entry'!A853="","",'Data Entry'!A853)</f>
        <v/>
      </c>
      <c r="B853" s="12">
        <f>IF('Data Entry'!A853="","",'Data Entry'!B853)</f>
        <v/>
      </c>
      <c r="C853" s="12">
        <f>IF('Data Entry'!A853="","",'Data Entry'!C853)</f>
        <v/>
      </c>
      <c r="D853" s="12">
        <f>IF('Data Entry'!A853="","",'Data Entry'!D853)</f>
        <v/>
      </c>
      <c r="E853" s="12">
        <f>IF('Data Entry'!A853="","",'Data Entry'!E853)</f>
        <v/>
      </c>
      <c r="F853" s="12">
        <f>IF('Data Entry'!A853="","",'Data Entry'!F853)</f>
        <v/>
      </c>
      <c r="G853" s="13">
        <f>IF('Data Entry'!A853="","",'Data Entry'!G853)</f>
        <v/>
      </c>
      <c r="H853" s="10">
        <f>IF('Data Entry'!A853="","",'Data Entry'!H853)</f>
        <v/>
      </c>
      <c r="I853" s="10">
        <f>IF('Data Entry'!A853="","",'Data Entry'!I853)</f>
        <v/>
      </c>
      <c r="J853" s="12">
        <f>IF('Data Entry'!A853="","",IF('Data Entry'!D853&lt;&gt;"",'Data Entry'!D853,'Data Entry'!E853))</f>
        <v/>
      </c>
      <c r="K853" s="10">
        <f>IF('Data Entry'!A853="","",IFERROR(SUMIFS($H$5:$H$2001,$J$5:$J$2001,$J853,$B$5:$B$2001,$B853,$A$5:$A$2001,(MAXIFS($A$5:$A$2001,$J$5:$J$2001,$J853,$B$5:$B$2001,$B853,$A$5:$A$2001,"&lt;"&amp;$A853))),""))</f>
        <v/>
      </c>
      <c r="L853" s="14">
        <f>IF(OR('Data Entry'!A853="",$K853=""),"",$H853-$K853)</f>
        <v/>
      </c>
      <c r="M853" s="15">
        <f>IF(OR('Data Entry'!A853="",$K853="",$K853=0),"",$L853/$K853)</f>
        <v/>
      </c>
      <c r="N853" s="12">
        <f>IF('Data Entry'!A853="","",IF($L853="","New item",IF($L853&gt;0,"UP",IF($L853&lt;0,"down","same"))))</f>
        <v/>
      </c>
    </row>
    <row r="854">
      <c r="A854" s="11">
        <f>IF('Data Entry'!A854="","",'Data Entry'!A854)</f>
        <v/>
      </c>
      <c r="B854" s="12">
        <f>IF('Data Entry'!A854="","",'Data Entry'!B854)</f>
        <v/>
      </c>
      <c r="C854" s="12">
        <f>IF('Data Entry'!A854="","",'Data Entry'!C854)</f>
        <v/>
      </c>
      <c r="D854" s="12">
        <f>IF('Data Entry'!A854="","",'Data Entry'!D854)</f>
        <v/>
      </c>
      <c r="E854" s="12">
        <f>IF('Data Entry'!A854="","",'Data Entry'!E854)</f>
        <v/>
      </c>
      <c r="F854" s="12">
        <f>IF('Data Entry'!A854="","",'Data Entry'!F854)</f>
        <v/>
      </c>
      <c r="G854" s="13">
        <f>IF('Data Entry'!A854="","",'Data Entry'!G854)</f>
        <v/>
      </c>
      <c r="H854" s="10">
        <f>IF('Data Entry'!A854="","",'Data Entry'!H854)</f>
        <v/>
      </c>
      <c r="I854" s="10">
        <f>IF('Data Entry'!A854="","",'Data Entry'!I854)</f>
        <v/>
      </c>
      <c r="J854" s="12">
        <f>IF('Data Entry'!A854="","",IF('Data Entry'!D854&lt;&gt;"",'Data Entry'!D854,'Data Entry'!E854))</f>
        <v/>
      </c>
      <c r="K854" s="10">
        <f>IF('Data Entry'!A854="","",IFERROR(SUMIFS($H$5:$H$2001,$J$5:$J$2001,$J854,$B$5:$B$2001,$B854,$A$5:$A$2001,(MAXIFS($A$5:$A$2001,$J$5:$J$2001,$J854,$B$5:$B$2001,$B854,$A$5:$A$2001,"&lt;"&amp;$A854))),""))</f>
        <v/>
      </c>
      <c r="L854" s="14">
        <f>IF(OR('Data Entry'!A854="",$K854=""),"",$H854-$K854)</f>
        <v/>
      </c>
      <c r="M854" s="15">
        <f>IF(OR('Data Entry'!A854="",$K854="",$K854=0),"",$L854/$K854)</f>
        <v/>
      </c>
      <c r="N854" s="12">
        <f>IF('Data Entry'!A854="","",IF($L854="","New item",IF($L854&gt;0,"UP",IF($L854&lt;0,"down","same"))))</f>
        <v/>
      </c>
    </row>
    <row r="855">
      <c r="A855" s="11">
        <f>IF('Data Entry'!A855="","",'Data Entry'!A855)</f>
        <v/>
      </c>
      <c r="B855" s="12">
        <f>IF('Data Entry'!A855="","",'Data Entry'!B855)</f>
        <v/>
      </c>
      <c r="C855" s="12">
        <f>IF('Data Entry'!A855="","",'Data Entry'!C855)</f>
        <v/>
      </c>
      <c r="D855" s="12">
        <f>IF('Data Entry'!A855="","",'Data Entry'!D855)</f>
        <v/>
      </c>
      <c r="E855" s="12">
        <f>IF('Data Entry'!A855="","",'Data Entry'!E855)</f>
        <v/>
      </c>
      <c r="F855" s="12">
        <f>IF('Data Entry'!A855="","",'Data Entry'!F855)</f>
        <v/>
      </c>
      <c r="G855" s="13">
        <f>IF('Data Entry'!A855="","",'Data Entry'!G855)</f>
        <v/>
      </c>
      <c r="H855" s="10">
        <f>IF('Data Entry'!A855="","",'Data Entry'!H855)</f>
        <v/>
      </c>
      <c r="I855" s="10">
        <f>IF('Data Entry'!A855="","",'Data Entry'!I855)</f>
        <v/>
      </c>
      <c r="J855" s="12">
        <f>IF('Data Entry'!A855="","",IF('Data Entry'!D855&lt;&gt;"",'Data Entry'!D855,'Data Entry'!E855))</f>
        <v/>
      </c>
      <c r="K855" s="10">
        <f>IF('Data Entry'!A855="","",IFERROR(SUMIFS($H$5:$H$2001,$J$5:$J$2001,$J855,$B$5:$B$2001,$B855,$A$5:$A$2001,(MAXIFS($A$5:$A$2001,$J$5:$J$2001,$J855,$B$5:$B$2001,$B855,$A$5:$A$2001,"&lt;"&amp;$A855))),""))</f>
        <v/>
      </c>
      <c r="L855" s="14">
        <f>IF(OR('Data Entry'!A855="",$K855=""),"",$H855-$K855)</f>
        <v/>
      </c>
      <c r="M855" s="15">
        <f>IF(OR('Data Entry'!A855="",$K855="",$K855=0),"",$L855/$K855)</f>
        <v/>
      </c>
      <c r="N855" s="12">
        <f>IF('Data Entry'!A855="","",IF($L855="","New item",IF($L855&gt;0,"UP",IF($L855&lt;0,"down","same"))))</f>
        <v/>
      </c>
    </row>
    <row r="856">
      <c r="A856" s="11">
        <f>IF('Data Entry'!A856="","",'Data Entry'!A856)</f>
        <v/>
      </c>
      <c r="B856" s="12">
        <f>IF('Data Entry'!A856="","",'Data Entry'!B856)</f>
        <v/>
      </c>
      <c r="C856" s="12">
        <f>IF('Data Entry'!A856="","",'Data Entry'!C856)</f>
        <v/>
      </c>
      <c r="D856" s="12">
        <f>IF('Data Entry'!A856="","",'Data Entry'!D856)</f>
        <v/>
      </c>
      <c r="E856" s="12">
        <f>IF('Data Entry'!A856="","",'Data Entry'!E856)</f>
        <v/>
      </c>
      <c r="F856" s="12">
        <f>IF('Data Entry'!A856="","",'Data Entry'!F856)</f>
        <v/>
      </c>
      <c r="G856" s="13">
        <f>IF('Data Entry'!A856="","",'Data Entry'!G856)</f>
        <v/>
      </c>
      <c r="H856" s="10">
        <f>IF('Data Entry'!A856="","",'Data Entry'!H856)</f>
        <v/>
      </c>
      <c r="I856" s="10">
        <f>IF('Data Entry'!A856="","",'Data Entry'!I856)</f>
        <v/>
      </c>
      <c r="J856" s="12">
        <f>IF('Data Entry'!A856="","",IF('Data Entry'!D856&lt;&gt;"",'Data Entry'!D856,'Data Entry'!E856))</f>
        <v/>
      </c>
      <c r="K856" s="10">
        <f>IF('Data Entry'!A856="","",IFERROR(SUMIFS($H$5:$H$2001,$J$5:$J$2001,$J856,$B$5:$B$2001,$B856,$A$5:$A$2001,(MAXIFS($A$5:$A$2001,$J$5:$J$2001,$J856,$B$5:$B$2001,$B856,$A$5:$A$2001,"&lt;"&amp;$A856))),""))</f>
        <v/>
      </c>
      <c r="L856" s="14">
        <f>IF(OR('Data Entry'!A856="",$K856=""),"",$H856-$K856)</f>
        <v/>
      </c>
      <c r="M856" s="15">
        <f>IF(OR('Data Entry'!A856="",$K856="",$K856=0),"",$L856/$K856)</f>
        <v/>
      </c>
      <c r="N856" s="12">
        <f>IF('Data Entry'!A856="","",IF($L856="","New item",IF($L856&gt;0,"UP",IF($L856&lt;0,"down","same"))))</f>
        <v/>
      </c>
    </row>
    <row r="857">
      <c r="A857" s="11">
        <f>IF('Data Entry'!A857="","",'Data Entry'!A857)</f>
        <v/>
      </c>
      <c r="B857" s="12">
        <f>IF('Data Entry'!A857="","",'Data Entry'!B857)</f>
        <v/>
      </c>
      <c r="C857" s="12">
        <f>IF('Data Entry'!A857="","",'Data Entry'!C857)</f>
        <v/>
      </c>
      <c r="D857" s="12">
        <f>IF('Data Entry'!A857="","",'Data Entry'!D857)</f>
        <v/>
      </c>
      <c r="E857" s="12">
        <f>IF('Data Entry'!A857="","",'Data Entry'!E857)</f>
        <v/>
      </c>
      <c r="F857" s="12">
        <f>IF('Data Entry'!A857="","",'Data Entry'!F857)</f>
        <v/>
      </c>
      <c r="G857" s="13">
        <f>IF('Data Entry'!A857="","",'Data Entry'!G857)</f>
        <v/>
      </c>
      <c r="H857" s="10">
        <f>IF('Data Entry'!A857="","",'Data Entry'!H857)</f>
        <v/>
      </c>
      <c r="I857" s="10">
        <f>IF('Data Entry'!A857="","",'Data Entry'!I857)</f>
        <v/>
      </c>
      <c r="J857" s="12">
        <f>IF('Data Entry'!A857="","",IF('Data Entry'!D857&lt;&gt;"",'Data Entry'!D857,'Data Entry'!E857))</f>
        <v/>
      </c>
      <c r="K857" s="10">
        <f>IF('Data Entry'!A857="","",IFERROR(SUMIFS($H$5:$H$2001,$J$5:$J$2001,$J857,$B$5:$B$2001,$B857,$A$5:$A$2001,(MAXIFS($A$5:$A$2001,$J$5:$J$2001,$J857,$B$5:$B$2001,$B857,$A$5:$A$2001,"&lt;"&amp;$A857))),""))</f>
        <v/>
      </c>
      <c r="L857" s="14">
        <f>IF(OR('Data Entry'!A857="",$K857=""),"",$H857-$K857)</f>
        <v/>
      </c>
      <c r="M857" s="15">
        <f>IF(OR('Data Entry'!A857="",$K857="",$K857=0),"",$L857/$K857)</f>
        <v/>
      </c>
      <c r="N857" s="12">
        <f>IF('Data Entry'!A857="","",IF($L857="","New item",IF($L857&gt;0,"UP",IF($L857&lt;0,"down","same"))))</f>
        <v/>
      </c>
    </row>
    <row r="858">
      <c r="A858" s="11">
        <f>IF('Data Entry'!A858="","",'Data Entry'!A858)</f>
        <v/>
      </c>
      <c r="B858" s="12">
        <f>IF('Data Entry'!A858="","",'Data Entry'!B858)</f>
        <v/>
      </c>
      <c r="C858" s="12">
        <f>IF('Data Entry'!A858="","",'Data Entry'!C858)</f>
        <v/>
      </c>
      <c r="D858" s="12">
        <f>IF('Data Entry'!A858="","",'Data Entry'!D858)</f>
        <v/>
      </c>
      <c r="E858" s="12">
        <f>IF('Data Entry'!A858="","",'Data Entry'!E858)</f>
        <v/>
      </c>
      <c r="F858" s="12">
        <f>IF('Data Entry'!A858="","",'Data Entry'!F858)</f>
        <v/>
      </c>
      <c r="G858" s="13">
        <f>IF('Data Entry'!A858="","",'Data Entry'!G858)</f>
        <v/>
      </c>
      <c r="H858" s="10">
        <f>IF('Data Entry'!A858="","",'Data Entry'!H858)</f>
        <v/>
      </c>
      <c r="I858" s="10">
        <f>IF('Data Entry'!A858="","",'Data Entry'!I858)</f>
        <v/>
      </c>
      <c r="J858" s="12">
        <f>IF('Data Entry'!A858="","",IF('Data Entry'!D858&lt;&gt;"",'Data Entry'!D858,'Data Entry'!E858))</f>
        <v/>
      </c>
      <c r="K858" s="10">
        <f>IF('Data Entry'!A858="","",IFERROR(SUMIFS($H$5:$H$2001,$J$5:$J$2001,$J858,$B$5:$B$2001,$B858,$A$5:$A$2001,(MAXIFS($A$5:$A$2001,$J$5:$J$2001,$J858,$B$5:$B$2001,$B858,$A$5:$A$2001,"&lt;"&amp;$A858))),""))</f>
        <v/>
      </c>
      <c r="L858" s="14">
        <f>IF(OR('Data Entry'!A858="",$K858=""),"",$H858-$K858)</f>
        <v/>
      </c>
      <c r="M858" s="15">
        <f>IF(OR('Data Entry'!A858="",$K858="",$K858=0),"",$L858/$K858)</f>
        <v/>
      </c>
      <c r="N858" s="12">
        <f>IF('Data Entry'!A858="","",IF($L858="","New item",IF($L858&gt;0,"UP",IF($L858&lt;0,"down","same"))))</f>
        <v/>
      </c>
    </row>
    <row r="859">
      <c r="A859" s="11">
        <f>IF('Data Entry'!A859="","",'Data Entry'!A859)</f>
        <v/>
      </c>
      <c r="B859" s="12">
        <f>IF('Data Entry'!A859="","",'Data Entry'!B859)</f>
        <v/>
      </c>
      <c r="C859" s="12">
        <f>IF('Data Entry'!A859="","",'Data Entry'!C859)</f>
        <v/>
      </c>
      <c r="D859" s="12">
        <f>IF('Data Entry'!A859="","",'Data Entry'!D859)</f>
        <v/>
      </c>
      <c r="E859" s="12">
        <f>IF('Data Entry'!A859="","",'Data Entry'!E859)</f>
        <v/>
      </c>
      <c r="F859" s="12">
        <f>IF('Data Entry'!A859="","",'Data Entry'!F859)</f>
        <v/>
      </c>
      <c r="G859" s="13">
        <f>IF('Data Entry'!A859="","",'Data Entry'!G859)</f>
        <v/>
      </c>
      <c r="H859" s="10">
        <f>IF('Data Entry'!A859="","",'Data Entry'!H859)</f>
        <v/>
      </c>
      <c r="I859" s="10">
        <f>IF('Data Entry'!A859="","",'Data Entry'!I859)</f>
        <v/>
      </c>
      <c r="J859" s="12">
        <f>IF('Data Entry'!A859="","",IF('Data Entry'!D859&lt;&gt;"",'Data Entry'!D859,'Data Entry'!E859))</f>
        <v/>
      </c>
      <c r="K859" s="10">
        <f>IF('Data Entry'!A859="","",IFERROR(SUMIFS($H$5:$H$2001,$J$5:$J$2001,$J859,$B$5:$B$2001,$B859,$A$5:$A$2001,(MAXIFS($A$5:$A$2001,$J$5:$J$2001,$J859,$B$5:$B$2001,$B859,$A$5:$A$2001,"&lt;"&amp;$A859))),""))</f>
        <v/>
      </c>
      <c r="L859" s="14">
        <f>IF(OR('Data Entry'!A859="",$K859=""),"",$H859-$K859)</f>
        <v/>
      </c>
      <c r="M859" s="15">
        <f>IF(OR('Data Entry'!A859="",$K859="",$K859=0),"",$L859/$K859)</f>
        <v/>
      </c>
      <c r="N859" s="12">
        <f>IF('Data Entry'!A859="","",IF($L859="","New item",IF($L859&gt;0,"UP",IF($L859&lt;0,"down","same"))))</f>
        <v/>
      </c>
    </row>
    <row r="860">
      <c r="A860" s="11">
        <f>IF('Data Entry'!A860="","",'Data Entry'!A860)</f>
        <v/>
      </c>
      <c r="B860" s="12">
        <f>IF('Data Entry'!A860="","",'Data Entry'!B860)</f>
        <v/>
      </c>
      <c r="C860" s="12">
        <f>IF('Data Entry'!A860="","",'Data Entry'!C860)</f>
        <v/>
      </c>
      <c r="D860" s="12">
        <f>IF('Data Entry'!A860="","",'Data Entry'!D860)</f>
        <v/>
      </c>
      <c r="E860" s="12">
        <f>IF('Data Entry'!A860="","",'Data Entry'!E860)</f>
        <v/>
      </c>
      <c r="F860" s="12">
        <f>IF('Data Entry'!A860="","",'Data Entry'!F860)</f>
        <v/>
      </c>
      <c r="G860" s="13">
        <f>IF('Data Entry'!A860="","",'Data Entry'!G860)</f>
        <v/>
      </c>
      <c r="H860" s="10">
        <f>IF('Data Entry'!A860="","",'Data Entry'!H860)</f>
        <v/>
      </c>
      <c r="I860" s="10">
        <f>IF('Data Entry'!A860="","",'Data Entry'!I860)</f>
        <v/>
      </c>
      <c r="J860" s="12">
        <f>IF('Data Entry'!A860="","",IF('Data Entry'!D860&lt;&gt;"",'Data Entry'!D860,'Data Entry'!E860))</f>
        <v/>
      </c>
      <c r="K860" s="10">
        <f>IF('Data Entry'!A860="","",IFERROR(SUMIFS($H$5:$H$2001,$J$5:$J$2001,$J860,$B$5:$B$2001,$B860,$A$5:$A$2001,(MAXIFS($A$5:$A$2001,$J$5:$J$2001,$J860,$B$5:$B$2001,$B860,$A$5:$A$2001,"&lt;"&amp;$A860))),""))</f>
        <v/>
      </c>
      <c r="L860" s="14">
        <f>IF(OR('Data Entry'!A860="",$K860=""),"",$H860-$K860)</f>
        <v/>
      </c>
      <c r="M860" s="15">
        <f>IF(OR('Data Entry'!A860="",$K860="",$K860=0),"",$L860/$K860)</f>
        <v/>
      </c>
      <c r="N860" s="12">
        <f>IF('Data Entry'!A860="","",IF($L860="","New item",IF($L860&gt;0,"UP",IF($L860&lt;0,"down","same"))))</f>
        <v/>
      </c>
    </row>
    <row r="861">
      <c r="A861" s="11">
        <f>IF('Data Entry'!A861="","",'Data Entry'!A861)</f>
        <v/>
      </c>
      <c r="B861" s="12">
        <f>IF('Data Entry'!A861="","",'Data Entry'!B861)</f>
        <v/>
      </c>
      <c r="C861" s="12">
        <f>IF('Data Entry'!A861="","",'Data Entry'!C861)</f>
        <v/>
      </c>
      <c r="D861" s="12">
        <f>IF('Data Entry'!A861="","",'Data Entry'!D861)</f>
        <v/>
      </c>
      <c r="E861" s="12">
        <f>IF('Data Entry'!A861="","",'Data Entry'!E861)</f>
        <v/>
      </c>
      <c r="F861" s="12">
        <f>IF('Data Entry'!A861="","",'Data Entry'!F861)</f>
        <v/>
      </c>
      <c r="G861" s="13">
        <f>IF('Data Entry'!A861="","",'Data Entry'!G861)</f>
        <v/>
      </c>
      <c r="H861" s="10">
        <f>IF('Data Entry'!A861="","",'Data Entry'!H861)</f>
        <v/>
      </c>
      <c r="I861" s="10">
        <f>IF('Data Entry'!A861="","",'Data Entry'!I861)</f>
        <v/>
      </c>
      <c r="J861" s="12">
        <f>IF('Data Entry'!A861="","",IF('Data Entry'!D861&lt;&gt;"",'Data Entry'!D861,'Data Entry'!E861))</f>
        <v/>
      </c>
      <c r="K861" s="10">
        <f>IF('Data Entry'!A861="","",IFERROR(SUMIFS($H$5:$H$2001,$J$5:$J$2001,$J861,$B$5:$B$2001,$B861,$A$5:$A$2001,(MAXIFS($A$5:$A$2001,$J$5:$J$2001,$J861,$B$5:$B$2001,$B861,$A$5:$A$2001,"&lt;"&amp;$A861))),""))</f>
        <v/>
      </c>
      <c r="L861" s="14">
        <f>IF(OR('Data Entry'!A861="",$K861=""),"",$H861-$K861)</f>
        <v/>
      </c>
      <c r="M861" s="15">
        <f>IF(OR('Data Entry'!A861="",$K861="",$K861=0),"",$L861/$K861)</f>
        <v/>
      </c>
      <c r="N861" s="12">
        <f>IF('Data Entry'!A861="","",IF($L861="","New item",IF($L861&gt;0,"UP",IF($L861&lt;0,"down","same"))))</f>
        <v/>
      </c>
    </row>
    <row r="862">
      <c r="A862" s="11">
        <f>IF('Data Entry'!A862="","",'Data Entry'!A862)</f>
        <v/>
      </c>
      <c r="B862" s="12">
        <f>IF('Data Entry'!A862="","",'Data Entry'!B862)</f>
        <v/>
      </c>
      <c r="C862" s="12">
        <f>IF('Data Entry'!A862="","",'Data Entry'!C862)</f>
        <v/>
      </c>
      <c r="D862" s="12">
        <f>IF('Data Entry'!A862="","",'Data Entry'!D862)</f>
        <v/>
      </c>
      <c r="E862" s="12">
        <f>IF('Data Entry'!A862="","",'Data Entry'!E862)</f>
        <v/>
      </c>
      <c r="F862" s="12">
        <f>IF('Data Entry'!A862="","",'Data Entry'!F862)</f>
        <v/>
      </c>
      <c r="G862" s="13">
        <f>IF('Data Entry'!A862="","",'Data Entry'!G862)</f>
        <v/>
      </c>
      <c r="H862" s="10">
        <f>IF('Data Entry'!A862="","",'Data Entry'!H862)</f>
        <v/>
      </c>
      <c r="I862" s="10">
        <f>IF('Data Entry'!A862="","",'Data Entry'!I862)</f>
        <v/>
      </c>
      <c r="J862" s="12">
        <f>IF('Data Entry'!A862="","",IF('Data Entry'!D862&lt;&gt;"",'Data Entry'!D862,'Data Entry'!E862))</f>
        <v/>
      </c>
      <c r="K862" s="10">
        <f>IF('Data Entry'!A862="","",IFERROR(SUMIFS($H$5:$H$2001,$J$5:$J$2001,$J862,$B$5:$B$2001,$B862,$A$5:$A$2001,(MAXIFS($A$5:$A$2001,$J$5:$J$2001,$J862,$B$5:$B$2001,$B862,$A$5:$A$2001,"&lt;"&amp;$A862))),""))</f>
        <v/>
      </c>
      <c r="L862" s="14">
        <f>IF(OR('Data Entry'!A862="",$K862=""),"",$H862-$K862)</f>
        <v/>
      </c>
      <c r="M862" s="15">
        <f>IF(OR('Data Entry'!A862="",$K862="",$K862=0),"",$L862/$K862)</f>
        <v/>
      </c>
      <c r="N862" s="12">
        <f>IF('Data Entry'!A862="","",IF($L862="","New item",IF($L862&gt;0,"UP",IF($L862&lt;0,"down","same"))))</f>
        <v/>
      </c>
    </row>
    <row r="863">
      <c r="A863" s="11">
        <f>IF('Data Entry'!A863="","",'Data Entry'!A863)</f>
        <v/>
      </c>
      <c r="B863" s="12">
        <f>IF('Data Entry'!A863="","",'Data Entry'!B863)</f>
        <v/>
      </c>
      <c r="C863" s="12">
        <f>IF('Data Entry'!A863="","",'Data Entry'!C863)</f>
        <v/>
      </c>
      <c r="D863" s="12">
        <f>IF('Data Entry'!A863="","",'Data Entry'!D863)</f>
        <v/>
      </c>
      <c r="E863" s="12">
        <f>IF('Data Entry'!A863="","",'Data Entry'!E863)</f>
        <v/>
      </c>
      <c r="F863" s="12">
        <f>IF('Data Entry'!A863="","",'Data Entry'!F863)</f>
        <v/>
      </c>
      <c r="G863" s="13">
        <f>IF('Data Entry'!A863="","",'Data Entry'!G863)</f>
        <v/>
      </c>
      <c r="H863" s="10">
        <f>IF('Data Entry'!A863="","",'Data Entry'!H863)</f>
        <v/>
      </c>
      <c r="I863" s="10">
        <f>IF('Data Entry'!A863="","",'Data Entry'!I863)</f>
        <v/>
      </c>
      <c r="J863" s="12">
        <f>IF('Data Entry'!A863="","",IF('Data Entry'!D863&lt;&gt;"",'Data Entry'!D863,'Data Entry'!E863))</f>
        <v/>
      </c>
      <c r="K863" s="10">
        <f>IF('Data Entry'!A863="","",IFERROR(SUMIFS($H$5:$H$2001,$J$5:$J$2001,$J863,$B$5:$B$2001,$B863,$A$5:$A$2001,(MAXIFS($A$5:$A$2001,$J$5:$J$2001,$J863,$B$5:$B$2001,$B863,$A$5:$A$2001,"&lt;"&amp;$A863))),""))</f>
        <v/>
      </c>
      <c r="L863" s="14">
        <f>IF(OR('Data Entry'!A863="",$K863=""),"",$H863-$K863)</f>
        <v/>
      </c>
      <c r="M863" s="15">
        <f>IF(OR('Data Entry'!A863="",$K863="",$K863=0),"",$L863/$K863)</f>
        <v/>
      </c>
      <c r="N863" s="12">
        <f>IF('Data Entry'!A863="","",IF($L863="","New item",IF($L863&gt;0,"UP",IF($L863&lt;0,"down","same"))))</f>
        <v/>
      </c>
    </row>
    <row r="864">
      <c r="A864" s="11">
        <f>IF('Data Entry'!A864="","",'Data Entry'!A864)</f>
        <v/>
      </c>
      <c r="B864" s="12">
        <f>IF('Data Entry'!A864="","",'Data Entry'!B864)</f>
        <v/>
      </c>
      <c r="C864" s="12">
        <f>IF('Data Entry'!A864="","",'Data Entry'!C864)</f>
        <v/>
      </c>
      <c r="D864" s="12">
        <f>IF('Data Entry'!A864="","",'Data Entry'!D864)</f>
        <v/>
      </c>
      <c r="E864" s="12">
        <f>IF('Data Entry'!A864="","",'Data Entry'!E864)</f>
        <v/>
      </c>
      <c r="F864" s="12">
        <f>IF('Data Entry'!A864="","",'Data Entry'!F864)</f>
        <v/>
      </c>
      <c r="G864" s="13">
        <f>IF('Data Entry'!A864="","",'Data Entry'!G864)</f>
        <v/>
      </c>
      <c r="H864" s="10">
        <f>IF('Data Entry'!A864="","",'Data Entry'!H864)</f>
        <v/>
      </c>
      <c r="I864" s="10">
        <f>IF('Data Entry'!A864="","",'Data Entry'!I864)</f>
        <v/>
      </c>
      <c r="J864" s="12">
        <f>IF('Data Entry'!A864="","",IF('Data Entry'!D864&lt;&gt;"",'Data Entry'!D864,'Data Entry'!E864))</f>
        <v/>
      </c>
      <c r="K864" s="10">
        <f>IF('Data Entry'!A864="","",IFERROR(SUMIFS($H$5:$H$2001,$J$5:$J$2001,$J864,$B$5:$B$2001,$B864,$A$5:$A$2001,(MAXIFS($A$5:$A$2001,$J$5:$J$2001,$J864,$B$5:$B$2001,$B864,$A$5:$A$2001,"&lt;"&amp;$A864))),""))</f>
        <v/>
      </c>
      <c r="L864" s="14">
        <f>IF(OR('Data Entry'!A864="",$K864=""),"",$H864-$K864)</f>
        <v/>
      </c>
      <c r="M864" s="15">
        <f>IF(OR('Data Entry'!A864="",$K864="",$K864=0),"",$L864/$K864)</f>
        <v/>
      </c>
      <c r="N864" s="12">
        <f>IF('Data Entry'!A864="","",IF($L864="","New item",IF($L864&gt;0,"UP",IF($L864&lt;0,"down","same"))))</f>
        <v/>
      </c>
    </row>
    <row r="865">
      <c r="A865" s="11">
        <f>IF('Data Entry'!A865="","",'Data Entry'!A865)</f>
        <v/>
      </c>
      <c r="B865" s="12">
        <f>IF('Data Entry'!A865="","",'Data Entry'!B865)</f>
        <v/>
      </c>
      <c r="C865" s="12">
        <f>IF('Data Entry'!A865="","",'Data Entry'!C865)</f>
        <v/>
      </c>
      <c r="D865" s="12">
        <f>IF('Data Entry'!A865="","",'Data Entry'!D865)</f>
        <v/>
      </c>
      <c r="E865" s="12">
        <f>IF('Data Entry'!A865="","",'Data Entry'!E865)</f>
        <v/>
      </c>
      <c r="F865" s="12">
        <f>IF('Data Entry'!A865="","",'Data Entry'!F865)</f>
        <v/>
      </c>
      <c r="G865" s="13">
        <f>IF('Data Entry'!A865="","",'Data Entry'!G865)</f>
        <v/>
      </c>
      <c r="H865" s="10">
        <f>IF('Data Entry'!A865="","",'Data Entry'!H865)</f>
        <v/>
      </c>
      <c r="I865" s="10">
        <f>IF('Data Entry'!A865="","",'Data Entry'!I865)</f>
        <v/>
      </c>
      <c r="J865" s="12">
        <f>IF('Data Entry'!A865="","",IF('Data Entry'!D865&lt;&gt;"",'Data Entry'!D865,'Data Entry'!E865))</f>
        <v/>
      </c>
      <c r="K865" s="10">
        <f>IF('Data Entry'!A865="","",IFERROR(SUMIFS($H$5:$H$2001,$J$5:$J$2001,$J865,$B$5:$B$2001,$B865,$A$5:$A$2001,(MAXIFS($A$5:$A$2001,$J$5:$J$2001,$J865,$B$5:$B$2001,$B865,$A$5:$A$2001,"&lt;"&amp;$A865))),""))</f>
        <v/>
      </c>
      <c r="L865" s="14">
        <f>IF(OR('Data Entry'!A865="",$K865=""),"",$H865-$K865)</f>
        <v/>
      </c>
      <c r="M865" s="15">
        <f>IF(OR('Data Entry'!A865="",$K865="",$K865=0),"",$L865/$K865)</f>
        <v/>
      </c>
      <c r="N865" s="12">
        <f>IF('Data Entry'!A865="","",IF($L865="","New item",IF($L865&gt;0,"UP",IF($L865&lt;0,"down","same"))))</f>
        <v/>
      </c>
    </row>
    <row r="866">
      <c r="A866" s="11">
        <f>IF('Data Entry'!A866="","",'Data Entry'!A866)</f>
        <v/>
      </c>
      <c r="B866" s="12">
        <f>IF('Data Entry'!A866="","",'Data Entry'!B866)</f>
        <v/>
      </c>
      <c r="C866" s="12">
        <f>IF('Data Entry'!A866="","",'Data Entry'!C866)</f>
        <v/>
      </c>
      <c r="D866" s="12">
        <f>IF('Data Entry'!A866="","",'Data Entry'!D866)</f>
        <v/>
      </c>
      <c r="E866" s="12">
        <f>IF('Data Entry'!A866="","",'Data Entry'!E866)</f>
        <v/>
      </c>
      <c r="F866" s="12">
        <f>IF('Data Entry'!A866="","",'Data Entry'!F866)</f>
        <v/>
      </c>
      <c r="G866" s="13">
        <f>IF('Data Entry'!A866="","",'Data Entry'!G866)</f>
        <v/>
      </c>
      <c r="H866" s="10">
        <f>IF('Data Entry'!A866="","",'Data Entry'!H866)</f>
        <v/>
      </c>
      <c r="I866" s="10">
        <f>IF('Data Entry'!A866="","",'Data Entry'!I866)</f>
        <v/>
      </c>
      <c r="J866" s="12">
        <f>IF('Data Entry'!A866="","",IF('Data Entry'!D866&lt;&gt;"",'Data Entry'!D866,'Data Entry'!E866))</f>
        <v/>
      </c>
      <c r="K866" s="10">
        <f>IF('Data Entry'!A866="","",IFERROR(SUMIFS($H$5:$H$2001,$J$5:$J$2001,$J866,$B$5:$B$2001,$B866,$A$5:$A$2001,(MAXIFS($A$5:$A$2001,$J$5:$J$2001,$J866,$B$5:$B$2001,$B866,$A$5:$A$2001,"&lt;"&amp;$A866))),""))</f>
        <v/>
      </c>
      <c r="L866" s="14">
        <f>IF(OR('Data Entry'!A866="",$K866=""),"",$H866-$K866)</f>
        <v/>
      </c>
      <c r="M866" s="15">
        <f>IF(OR('Data Entry'!A866="",$K866="",$K866=0),"",$L866/$K866)</f>
        <v/>
      </c>
      <c r="N866" s="12">
        <f>IF('Data Entry'!A866="","",IF($L866="","New item",IF($L866&gt;0,"UP",IF($L866&lt;0,"down","same"))))</f>
        <v/>
      </c>
    </row>
    <row r="867">
      <c r="A867" s="11">
        <f>IF('Data Entry'!A867="","",'Data Entry'!A867)</f>
        <v/>
      </c>
      <c r="B867" s="12">
        <f>IF('Data Entry'!A867="","",'Data Entry'!B867)</f>
        <v/>
      </c>
      <c r="C867" s="12">
        <f>IF('Data Entry'!A867="","",'Data Entry'!C867)</f>
        <v/>
      </c>
      <c r="D867" s="12">
        <f>IF('Data Entry'!A867="","",'Data Entry'!D867)</f>
        <v/>
      </c>
      <c r="E867" s="12">
        <f>IF('Data Entry'!A867="","",'Data Entry'!E867)</f>
        <v/>
      </c>
      <c r="F867" s="12">
        <f>IF('Data Entry'!A867="","",'Data Entry'!F867)</f>
        <v/>
      </c>
      <c r="G867" s="13">
        <f>IF('Data Entry'!A867="","",'Data Entry'!G867)</f>
        <v/>
      </c>
      <c r="H867" s="10">
        <f>IF('Data Entry'!A867="","",'Data Entry'!H867)</f>
        <v/>
      </c>
      <c r="I867" s="10">
        <f>IF('Data Entry'!A867="","",'Data Entry'!I867)</f>
        <v/>
      </c>
      <c r="J867" s="12">
        <f>IF('Data Entry'!A867="","",IF('Data Entry'!D867&lt;&gt;"",'Data Entry'!D867,'Data Entry'!E867))</f>
        <v/>
      </c>
      <c r="K867" s="10">
        <f>IF('Data Entry'!A867="","",IFERROR(SUMIFS($H$5:$H$2001,$J$5:$J$2001,$J867,$B$5:$B$2001,$B867,$A$5:$A$2001,(MAXIFS($A$5:$A$2001,$J$5:$J$2001,$J867,$B$5:$B$2001,$B867,$A$5:$A$2001,"&lt;"&amp;$A867))),""))</f>
        <v/>
      </c>
      <c r="L867" s="14">
        <f>IF(OR('Data Entry'!A867="",$K867=""),"",$H867-$K867)</f>
        <v/>
      </c>
      <c r="M867" s="15">
        <f>IF(OR('Data Entry'!A867="",$K867="",$K867=0),"",$L867/$K867)</f>
        <v/>
      </c>
      <c r="N867" s="12">
        <f>IF('Data Entry'!A867="","",IF($L867="","New item",IF($L867&gt;0,"UP",IF($L867&lt;0,"down","same"))))</f>
        <v/>
      </c>
    </row>
    <row r="868">
      <c r="A868" s="11">
        <f>IF('Data Entry'!A868="","",'Data Entry'!A868)</f>
        <v/>
      </c>
      <c r="B868" s="12">
        <f>IF('Data Entry'!A868="","",'Data Entry'!B868)</f>
        <v/>
      </c>
      <c r="C868" s="12">
        <f>IF('Data Entry'!A868="","",'Data Entry'!C868)</f>
        <v/>
      </c>
      <c r="D868" s="12">
        <f>IF('Data Entry'!A868="","",'Data Entry'!D868)</f>
        <v/>
      </c>
      <c r="E868" s="12">
        <f>IF('Data Entry'!A868="","",'Data Entry'!E868)</f>
        <v/>
      </c>
      <c r="F868" s="12">
        <f>IF('Data Entry'!A868="","",'Data Entry'!F868)</f>
        <v/>
      </c>
      <c r="G868" s="13">
        <f>IF('Data Entry'!A868="","",'Data Entry'!G868)</f>
        <v/>
      </c>
      <c r="H868" s="10">
        <f>IF('Data Entry'!A868="","",'Data Entry'!H868)</f>
        <v/>
      </c>
      <c r="I868" s="10">
        <f>IF('Data Entry'!A868="","",'Data Entry'!I868)</f>
        <v/>
      </c>
      <c r="J868" s="12">
        <f>IF('Data Entry'!A868="","",IF('Data Entry'!D868&lt;&gt;"",'Data Entry'!D868,'Data Entry'!E868))</f>
        <v/>
      </c>
      <c r="K868" s="10">
        <f>IF('Data Entry'!A868="","",IFERROR(SUMIFS($H$5:$H$2001,$J$5:$J$2001,$J868,$B$5:$B$2001,$B868,$A$5:$A$2001,(MAXIFS($A$5:$A$2001,$J$5:$J$2001,$J868,$B$5:$B$2001,$B868,$A$5:$A$2001,"&lt;"&amp;$A868))),""))</f>
        <v/>
      </c>
      <c r="L868" s="14">
        <f>IF(OR('Data Entry'!A868="",$K868=""),"",$H868-$K868)</f>
        <v/>
      </c>
      <c r="M868" s="15">
        <f>IF(OR('Data Entry'!A868="",$K868="",$K868=0),"",$L868/$K868)</f>
        <v/>
      </c>
      <c r="N868" s="12">
        <f>IF('Data Entry'!A868="","",IF($L868="","New item",IF($L868&gt;0,"UP",IF($L868&lt;0,"down","same"))))</f>
        <v/>
      </c>
    </row>
    <row r="869">
      <c r="A869" s="11">
        <f>IF('Data Entry'!A869="","",'Data Entry'!A869)</f>
        <v/>
      </c>
      <c r="B869" s="12">
        <f>IF('Data Entry'!A869="","",'Data Entry'!B869)</f>
        <v/>
      </c>
      <c r="C869" s="12">
        <f>IF('Data Entry'!A869="","",'Data Entry'!C869)</f>
        <v/>
      </c>
      <c r="D869" s="12">
        <f>IF('Data Entry'!A869="","",'Data Entry'!D869)</f>
        <v/>
      </c>
      <c r="E869" s="12">
        <f>IF('Data Entry'!A869="","",'Data Entry'!E869)</f>
        <v/>
      </c>
      <c r="F869" s="12">
        <f>IF('Data Entry'!A869="","",'Data Entry'!F869)</f>
        <v/>
      </c>
      <c r="G869" s="13">
        <f>IF('Data Entry'!A869="","",'Data Entry'!G869)</f>
        <v/>
      </c>
      <c r="H869" s="10">
        <f>IF('Data Entry'!A869="","",'Data Entry'!H869)</f>
        <v/>
      </c>
      <c r="I869" s="10">
        <f>IF('Data Entry'!A869="","",'Data Entry'!I869)</f>
        <v/>
      </c>
      <c r="J869" s="12">
        <f>IF('Data Entry'!A869="","",IF('Data Entry'!D869&lt;&gt;"",'Data Entry'!D869,'Data Entry'!E869))</f>
        <v/>
      </c>
      <c r="K869" s="10">
        <f>IF('Data Entry'!A869="","",IFERROR(SUMIFS($H$5:$H$2001,$J$5:$J$2001,$J869,$B$5:$B$2001,$B869,$A$5:$A$2001,(MAXIFS($A$5:$A$2001,$J$5:$J$2001,$J869,$B$5:$B$2001,$B869,$A$5:$A$2001,"&lt;"&amp;$A869))),""))</f>
        <v/>
      </c>
      <c r="L869" s="14">
        <f>IF(OR('Data Entry'!A869="",$K869=""),"",$H869-$K869)</f>
        <v/>
      </c>
      <c r="M869" s="15">
        <f>IF(OR('Data Entry'!A869="",$K869="",$K869=0),"",$L869/$K869)</f>
        <v/>
      </c>
      <c r="N869" s="12">
        <f>IF('Data Entry'!A869="","",IF($L869="","New item",IF($L869&gt;0,"UP",IF($L869&lt;0,"down","same"))))</f>
        <v/>
      </c>
    </row>
    <row r="870">
      <c r="A870" s="11">
        <f>IF('Data Entry'!A870="","",'Data Entry'!A870)</f>
        <v/>
      </c>
      <c r="B870" s="12">
        <f>IF('Data Entry'!A870="","",'Data Entry'!B870)</f>
        <v/>
      </c>
      <c r="C870" s="12">
        <f>IF('Data Entry'!A870="","",'Data Entry'!C870)</f>
        <v/>
      </c>
      <c r="D870" s="12">
        <f>IF('Data Entry'!A870="","",'Data Entry'!D870)</f>
        <v/>
      </c>
      <c r="E870" s="12">
        <f>IF('Data Entry'!A870="","",'Data Entry'!E870)</f>
        <v/>
      </c>
      <c r="F870" s="12">
        <f>IF('Data Entry'!A870="","",'Data Entry'!F870)</f>
        <v/>
      </c>
      <c r="G870" s="13">
        <f>IF('Data Entry'!A870="","",'Data Entry'!G870)</f>
        <v/>
      </c>
      <c r="H870" s="10">
        <f>IF('Data Entry'!A870="","",'Data Entry'!H870)</f>
        <v/>
      </c>
      <c r="I870" s="10">
        <f>IF('Data Entry'!A870="","",'Data Entry'!I870)</f>
        <v/>
      </c>
      <c r="J870" s="12">
        <f>IF('Data Entry'!A870="","",IF('Data Entry'!D870&lt;&gt;"",'Data Entry'!D870,'Data Entry'!E870))</f>
        <v/>
      </c>
      <c r="K870" s="10">
        <f>IF('Data Entry'!A870="","",IFERROR(SUMIFS($H$5:$H$2001,$J$5:$J$2001,$J870,$B$5:$B$2001,$B870,$A$5:$A$2001,(MAXIFS($A$5:$A$2001,$J$5:$J$2001,$J870,$B$5:$B$2001,$B870,$A$5:$A$2001,"&lt;"&amp;$A870))),""))</f>
        <v/>
      </c>
      <c r="L870" s="14">
        <f>IF(OR('Data Entry'!A870="",$K870=""),"",$H870-$K870)</f>
        <v/>
      </c>
      <c r="M870" s="15">
        <f>IF(OR('Data Entry'!A870="",$K870="",$K870=0),"",$L870/$K870)</f>
        <v/>
      </c>
      <c r="N870" s="12">
        <f>IF('Data Entry'!A870="","",IF($L870="","New item",IF($L870&gt;0,"UP",IF($L870&lt;0,"down","same"))))</f>
        <v/>
      </c>
    </row>
    <row r="871">
      <c r="A871" s="11">
        <f>IF('Data Entry'!A871="","",'Data Entry'!A871)</f>
        <v/>
      </c>
      <c r="B871" s="12">
        <f>IF('Data Entry'!A871="","",'Data Entry'!B871)</f>
        <v/>
      </c>
      <c r="C871" s="12">
        <f>IF('Data Entry'!A871="","",'Data Entry'!C871)</f>
        <v/>
      </c>
      <c r="D871" s="12">
        <f>IF('Data Entry'!A871="","",'Data Entry'!D871)</f>
        <v/>
      </c>
      <c r="E871" s="12">
        <f>IF('Data Entry'!A871="","",'Data Entry'!E871)</f>
        <v/>
      </c>
      <c r="F871" s="12">
        <f>IF('Data Entry'!A871="","",'Data Entry'!F871)</f>
        <v/>
      </c>
      <c r="G871" s="13">
        <f>IF('Data Entry'!A871="","",'Data Entry'!G871)</f>
        <v/>
      </c>
      <c r="H871" s="10">
        <f>IF('Data Entry'!A871="","",'Data Entry'!H871)</f>
        <v/>
      </c>
      <c r="I871" s="10">
        <f>IF('Data Entry'!A871="","",'Data Entry'!I871)</f>
        <v/>
      </c>
      <c r="J871" s="12">
        <f>IF('Data Entry'!A871="","",IF('Data Entry'!D871&lt;&gt;"",'Data Entry'!D871,'Data Entry'!E871))</f>
        <v/>
      </c>
      <c r="K871" s="10">
        <f>IF('Data Entry'!A871="","",IFERROR(SUMIFS($H$5:$H$2001,$J$5:$J$2001,$J871,$B$5:$B$2001,$B871,$A$5:$A$2001,(MAXIFS($A$5:$A$2001,$J$5:$J$2001,$J871,$B$5:$B$2001,$B871,$A$5:$A$2001,"&lt;"&amp;$A871))),""))</f>
        <v/>
      </c>
      <c r="L871" s="14">
        <f>IF(OR('Data Entry'!A871="",$K871=""),"",$H871-$K871)</f>
        <v/>
      </c>
      <c r="M871" s="15">
        <f>IF(OR('Data Entry'!A871="",$K871="",$K871=0),"",$L871/$K871)</f>
        <v/>
      </c>
      <c r="N871" s="12">
        <f>IF('Data Entry'!A871="","",IF($L871="","New item",IF($L871&gt;0,"UP",IF($L871&lt;0,"down","same"))))</f>
        <v/>
      </c>
    </row>
    <row r="872">
      <c r="A872" s="11">
        <f>IF('Data Entry'!A872="","",'Data Entry'!A872)</f>
        <v/>
      </c>
      <c r="B872" s="12">
        <f>IF('Data Entry'!A872="","",'Data Entry'!B872)</f>
        <v/>
      </c>
      <c r="C872" s="12">
        <f>IF('Data Entry'!A872="","",'Data Entry'!C872)</f>
        <v/>
      </c>
      <c r="D872" s="12">
        <f>IF('Data Entry'!A872="","",'Data Entry'!D872)</f>
        <v/>
      </c>
      <c r="E872" s="12">
        <f>IF('Data Entry'!A872="","",'Data Entry'!E872)</f>
        <v/>
      </c>
      <c r="F872" s="12">
        <f>IF('Data Entry'!A872="","",'Data Entry'!F872)</f>
        <v/>
      </c>
      <c r="G872" s="13">
        <f>IF('Data Entry'!A872="","",'Data Entry'!G872)</f>
        <v/>
      </c>
      <c r="H872" s="10">
        <f>IF('Data Entry'!A872="","",'Data Entry'!H872)</f>
        <v/>
      </c>
      <c r="I872" s="10">
        <f>IF('Data Entry'!A872="","",'Data Entry'!I872)</f>
        <v/>
      </c>
      <c r="J872" s="12">
        <f>IF('Data Entry'!A872="","",IF('Data Entry'!D872&lt;&gt;"",'Data Entry'!D872,'Data Entry'!E872))</f>
        <v/>
      </c>
      <c r="K872" s="10">
        <f>IF('Data Entry'!A872="","",IFERROR(SUMIFS($H$5:$H$2001,$J$5:$J$2001,$J872,$B$5:$B$2001,$B872,$A$5:$A$2001,(MAXIFS($A$5:$A$2001,$J$5:$J$2001,$J872,$B$5:$B$2001,$B872,$A$5:$A$2001,"&lt;"&amp;$A872))),""))</f>
        <v/>
      </c>
      <c r="L872" s="14">
        <f>IF(OR('Data Entry'!A872="",$K872=""),"",$H872-$K872)</f>
        <v/>
      </c>
      <c r="M872" s="15">
        <f>IF(OR('Data Entry'!A872="",$K872="",$K872=0),"",$L872/$K872)</f>
        <v/>
      </c>
      <c r="N872" s="12">
        <f>IF('Data Entry'!A872="","",IF($L872="","New item",IF($L872&gt;0,"UP",IF($L872&lt;0,"down","same"))))</f>
        <v/>
      </c>
    </row>
    <row r="873">
      <c r="A873" s="11">
        <f>IF('Data Entry'!A873="","",'Data Entry'!A873)</f>
        <v/>
      </c>
      <c r="B873" s="12">
        <f>IF('Data Entry'!A873="","",'Data Entry'!B873)</f>
        <v/>
      </c>
      <c r="C873" s="12">
        <f>IF('Data Entry'!A873="","",'Data Entry'!C873)</f>
        <v/>
      </c>
      <c r="D873" s="12">
        <f>IF('Data Entry'!A873="","",'Data Entry'!D873)</f>
        <v/>
      </c>
      <c r="E873" s="12">
        <f>IF('Data Entry'!A873="","",'Data Entry'!E873)</f>
        <v/>
      </c>
      <c r="F873" s="12">
        <f>IF('Data Entry'!A873="","",'Data Entry'!F873)</f>
        <v/>
      </c>
      <c r="G873" s="13">
        <f>IF('Data Entry'!A873="","",'Data Entry'!G873)</f>
        <v/>
      </c>
      <c r="H873" s="10">
        <f>IF('Data Entry'!A873="","",'Data Entry'!H873)</f>
        <v/>
      </c>
      <c r="I873" s="10">
        <f>IF('Data Entry'!A873="","",'Data Entry'!I873)</f>
        <v/>
      </c>
      <c r="J873" s="12">
        <f>IF('Data Entry'!A873="","",IF('Data Entry'!D873&lt;&gt;"",'Data Entry'!D873,'Data Entry'!E873))</f>
        <v/>
      </c>
      <c r="K873" s="10">
        <f>IF('Data Entry'!A873="","",IFERROR(SUMIFS($H$5:$H$2001,$J$5:$J$2001,$J873,$B$5:$B$2001,$B873,$A$5:$A$2001,(MAXIFS($A$5:$A$2001,$J$5:$J$2001,$J873,$B$5:$B$2001,$B873,$A$5:$A$2001,"&lt;"&amp;$A873))),""))</f>
        <v/>
      </c>
      <c r="L873" s="14">
        <f>IF(OR('Data Entry'!A873="",$K873=""),"",$H873-$K873)</f>
        <v/>
      </c>
      <c r="M873" s="15">
        <f>IF(OR('Data Entry'!A873="",$K873="",$K873=0),"",$L873/$K873)</f>
        <v/>
      </c>
      <c r="N873" s="12">
        <f>IF('Data Entry'!A873="","",IF($L873="","New item",IF($L873&gt;0,"UP",IF($L873&lt;0,"down","same"))))</f>
        <v/>
      </c>
    </row>
    <row r="874">
      <c r="A874" s="11">
        <f>IF('Data Entry'!A874="","",'Data Entry'!A874)</f>
        <v/>
      </c>
      <c r="B874" s="12">
        <f>IF('Data Entry'!A874="","",'Data Entry'!B874)</f>
        <v/>
      </c>
      <c r="C874" s="12">
        <f>IF('Data Entry'!A874="","",'Data Entry'!C874)</f>
        <v/>
      </c>
      <c r="D874" s="12">
        <f>IF('Data Entry'!A874="","",'Data Entry'!D874)</f>
        <v/>
      </c>
      <c r="E874" s="12">
        <f>IF('Data Entry'!A874="","",'Data Entry'!E874)</f>
        <v/>
      </c>
      <c r="F874" s="12">
        <f>IF('Data Entry'!A874="","",'Data Entry'!F874)</f>
        <v/>
      </c>
      <c r="G874" s="13">
        <f>IF('Data Entry'!A874="","",'Data Entry'!G874)</f>
        <v/>
      </c>
      <c r="H874" s="10">
        <f>IF('Data Entry'!A874="","",'Data Entry'!H874)</f>
        <v/>
      </c>
      <c r="I874" s="10">
        <f>IF('Data Entry'!A874="","",'Data Entry'!I874)</f>
        <v/>
      </c>
      <c r="J874" s="12">
        <f>IF('Data Entry'!A874="","",IF('Data Entry'!D874&lt;&gt;"",'Data Entry'!D874,'Data Entry'!E874))</f>
        <v/>
      </c>
      <c r="K874" s="10">
        <f>IF('Data Entry'!A874="","",IFERROR(SUMIFS($H$5:$H$2001,$J$5:$J$2001,$J874,$B$5:$B$2001,$B874,$A$5:$A$2001,(MAXIFS($A$5:$A$2001,$J$5:$J$2001,$J874,$B$5:$B$2001,$B874,$A$5:$A$2001,"&lt;"&amp;$A874))),""))</f>
        <v/>
      </c>
      <c r="L874" s="14">
        <f>IF(OR('Data Entry'!A874="",$K874=""),"",$H874-$K874)</f>
        <v/>
      </c>
      <c r="M874" s="15">
        <f>IF(OR('Data Entry'!A874="",$K874="",$K874=0),"",$L874/$K874)</f>
        <v/>
      </c>
      <c r="N874" s="12">
        <f>IF('Data Entry'!A874="","",IF($L874="","New item",IF($L874&gt;0,"UP",IF($L874&lt;0,"down","same"))))</f>
        <v/>
      </c>
    </row>
    <row r="875">
      <c r="A875" s="11">
        <f>IF('Data Entry'!A875="","",'Data Entry'!A875)</f>
        <v/>
      </c>
      <c r="B875" s="12">
        <f>IF('Data Entry'!A875="","",'Data Entry'!B875)</f>
        <v/>
      </c>
      <c r="C875" s="12">
        <f>IF('Data Entry'!A875="","",'Data Entry'!C875)</f>
        <v/>
      </c>
      <c r="D875" s="12">
        <f>IF('Data Entry'!A875="","",'Data Entry'!D875)</f>
        <v/>
      </c>
      <c r="E875" s="12">
        <f>IF('Data Entry'!A875="","",'Data Entry'!E875)</f>
        <v/>
      </c>
      <c r="F875" s="12">
        <f>IF('Data Entry'!A875="","",'Data Entry'!F875)</f>
        <v/>
      </c>
      <c r="G875" s="13">
        <f>IF('Data Entry'!A875="","",'Data Entry'!G875)</f>
        <v/>
      </c>
      <c r="H875" s="10">
        <f>IF('Data Entry'!A875="","",'Data Entry'!H875)</f>
        <v/>
      </c>
      <c r="I875" s="10">
        <f>IF('Data Entry'!A875="","",'Data Entry'!I875)</f>
        <v/>
      </c>
      <c r="J875" s="12">
        <f>IF('Data Entry'!A875="","",IF('Data Entry'!D875&lt;&gt;"",'Data Entry'!D875,'Data Entry'!E875))</f>
        <v/>
      </c>
      <c r="K875" s="10">
        <f>IF('Data Entry'!A875="","",IFERROR(SUMIFS($H$5:$H$2001,$J$5:$J$2001,$J875,$B$5:$B$2001,$B875,$A$5:$A$2001,(MAXIFS($A$5:$A$2001,$J$5:$J$2001,$J875,$B$5:$B$2001,$B875,$A$5:$A$2001,"&lt;"&amp;$A875))),""))</f>
        <v/>
      </c>
      <c r="L875" s="14">
        <f>IF(OR('Data Entry'!A875="",$K875=""),"",$H875-$K875)</f>
        <v/>
      </c>
      <c r="M875" s="15">
        <f>IF(OR('Data Entry'!A875="",$K875="",$K875=0),"",$L875/$K875)</f>
        <v/>
      </c>
      <c r="N875" s="12">
        <f>IF('Data Entry'!A875="","",IF($L875="","New item",IF($L875&gt;0,"UP",IF($L875&lt;0,"down","same"))))</f>
        <v/>
      </c>
    </row>
    <row r="876">
      <c r="A876" s="11">
        <f>IF('Data Entry'!A876="","",'Data Entry'!A876)</f>
        <v/>
      </c>
      <c r="B876" s="12">
        <f>IF('Data Entry'!A876="","",'Data Entry'!B876)</f>
        <v/>
      </c>
      <c r="C876" s="12">
        <f>IF('Data Entry'!A876="","",'Data Entry'!C876)</f>
        <v/>
      </c>
      <c r="D876" s="12">
        <f>IF('Data Entry'!A876="","",'Data Entry'!D876)</f>
        <v/>
      </c>
      <c r="E876" s="12">
        <f>IF('Data Entry'!A876="","",'Data Entry'!E876)</f>
        <v/>
      </c>
      <c r="F876" s="12">
        <f>IF('Data Entry'!A876="","",'Data Entry'!F876)</f>
        <v/>
      </c>
      <c r="G876" s="13">
        <f>IF('Data Entry'!A876="","",'Data Entry'!G876)</f>
        <v/>
      </c>
      <c r="H876" s="10">
        <f>IF('Data Entry'!A876="","",'Data Entry'!H876)</f>
        <v/>
      </c>
      <c r="I876" s="10">
        <f>IF('Data Entry'!A876="","",'Data Entry'!I876)</f>
        <v/>
      </c>
      <c r="J876" s="12">
        <f>IF('Data Entry'!A876="","",IF('Data Entry'!D876&lt;&gt;"",'Data Entry'!D876,'Data Entry'!E876))</f>
        <v/>
      </c>
      <c r="K876" s="10">
        <f>IF('Data Entry'!A876="","",IFERROR(SUMIFS($H$5:$H$2001,$J$5:$J$2001,$J876,$B$5:$B$2001,$B876,$A$5:$A$2001,(MAXIFS($A$5:$A$2001,$J$5:$J$2001,$J876,$B$5:$B$2001,$B876,$A$5:$A$2001,"&lt;"&amp;$A876))),""))</f>
        <v/>
      </c>
      <c r="L876" s="14">
        <f>IF(OR('Data Entry'!A876="",$K876=""),"",$H876-$K876)</f>
        <v/>
      </c>
      <c r="M876" s="15">
        <f>IF(OR('Data Entry'!A876="",$K876="",$K876=0),"",$L876/$K876)</f>
        <v/>
      </c>
      <c r="N876" s="12">
        <f>IF('Data Entry'!A876="","",IF($L876="","New item",IF($L876&gt;0,"UP",IF($L876&lt;0,"down","same"))))</f>
        <v/>
      </c>
    </row>
    <row r="877">
      <c r="A877" s="11">
        <f>IF('Data Entry'!A877="","",'Data Entry'!A877)</f>
        <v/>
      </c>
      <c r="B877" s="12">
        <f>IF('Data Entry'!A877="","",'Data Entry'!B877)</f>
        <v/>
      </c>
      <c r="C877" s="12">
        <f>IF('Data Entry'!A877="","",'Data Entry'!C877)</f>
        <v/>
      </c>
      <c r="D877" s="12">
        <f>IF('Data Entry'!A877="","",'Data Entry'!D877)</f>
        <v/>
      </c>
      <c r="E877" s="12">
        <f>IF('Data Entry'!A877="","",'Data Entry'!E877)</f>
        <v/>
      </c>
      <c r="F877" s="12">
        <f>IF('Data Entry'!A877="","",'Data Entry'!F877)</f>
        <v/>
      </c>
      <c r="G877" s="13">
        <f>IF('Data Entry'!A877="","",'Data Entry'!G877)</f>
        <v/>
      </c>
      <c r="H877" s="10">
        <f>IF('Data Entry'!A877="","",'Data Entry'!H877)</f>
        <v/>
      </c>
      <c r="I877" s="10">
        <f>IF('Data Entry'!A877="","",'Data Entry'!I877)</f>
        <v/>
      </c>
      <c r="J877" s="12">
        <f>IF('Data Entry'!A877="","",IF('Data Entry'!D877&lt;&gt;"",'Data Entry'!D877,'Data Entry'!E877))</f>
        <v/>
      </c>
      <c r="K877" s="10">
        <f>IF('Data Entry'!A877="","",IFERROR(SUMIFS($H$5:$H$2001,$J$5:$J$2001,$J877,$B$5:$B$2001,$B877,$A$5:$A$2001,(MAXIFS($A$5:$A$2001,$J$5:$J$2001,$J877,$B$5:$B$2001,$B877,$A$5:$A$2001,"&lt;"&amp;$A877))),""))</f>
        <v/>
      </c>
      <c r="L877" s="14">
        <f>IF(OR('Data Entry'!A877="",$K877=""),"",$H877-$K877)</f>
        <v/>
      </c>
      <c r="M877" s="15">
        <f>IF(OR('Data Entry'!A877="",$K877="",$K877=0),"",$L877/$K877)</f>
        <v/>
      </c>
      <c r="N877" s="12">
        <f>IF('Data Entry'!A877="","",IF($L877="","New item",IF($L877&gt;0,"UP",IF($L877&lt;0,"down","same"))))</f>
        <v/>
      </c>
    </row>
    <row r="878">
      <c r="A878" s="11">
        <f>IF('Data Entry'!A878="","",'Data Entry'!A878)</f>
        <v/>
      </c>
      <c r="B878" s="12">
        <f>IF('Data Entry'!A878="","",'Data Entry'!B878)</f>
        <v/>
      </c>
      <c r="C878" s="12">
        <f>IF('Data Entry'!A878="","",'Data Entry'!C878)</f>
        <v/>
      </c>
      <c r="D878" s="12">
        <f>IF('Data Entry'!A878="","",'Data Entry'!D878)</f>
        <v/>
      </c>
      <c r="E878" s="12">
        <f>IF('Data Entry'!A878="","",'Data Entry'!E878)</f>
        <v/>
      </c>
      <c r="F878" s="12">
        <f>IF('Data Entry'!A878="","",'Data Entry'!F878)</f>
        <v/>
      </c>
      <c r="G878" s="13">
        <f>IF('Data Entry'!A878="","",'Data Entry'!G878)</f>
        <v/>
      </c>
      <c r="H878" s="10">
        <f>IF('Data Entry'!A878="","",'Data Entry'!H878)</f>
        <v/>
      </c>
      <c r="I878" s="10">
        <f>IF('Data Entry'!A878="","",'Data Entry'!I878)</f>
        <v/>
      </c>
      <c r="J878" s="12">
        <f>IF('Data Entry'!A878="","",IF('Data Entry'!D878&lt;&gt;"",'Data Entry'!D878,'Data Entry'!E878))</f>
        <v/>
      </c>
      <c r="K878" s="10">
        <f>IF('Data Entry'!A878="","",IFERROR(SUMIFS($H$5:$H$2001,$J$5:$J$2001,$J878,$B$5:$B$2001,$B878,$A$5:$A$2001,(MAXIFS($A$5:$A$2001,$J$5:$J$2001,$J878,$B$5:$B$2001,$B878,$A$5:$A$2001,"&lt;"&amp;$A878))),""))</f>
        <v/>
      </c>
      <c r="L878" s="14">
        <f>IF(OR('Data Entry'!A878="",$K878=""),"",$H878-$K878)</f>
        <v/>
      </c>
      <c r="M878" s="15">
        <f>IF(OR('Data Entry'!A878="",$K878="",$K878=0),"",$L878/$K878)</f>
        <v/>
      </c>
      <c r="N878" s="12">
        <f>IF('Data Entry'!A878="","",IF($L878="","New item",IF($L878&gt;0,"UP",IF($L878&lt;0,"down","same"))))</f>
        <v/>
      </c>
    </row>
    <row r="879">
      <c r="A879" s="11">
        <f>IF('Data Entry'!A879="","",'Data Entry'!A879)</f>
        <v/>
      </c>
      <c r="B879" s="12">
        <f>IF('Data Entry'!A879="","",'Data Entry'!B879)</f>
        <v/>
      </c>
      <c r="C879" s="12">
        <f>IF('Data Entry'!A879="","",'Data Entry'!C879)</f>
        <v/>
      </c>
      <c r="D879" s="12">
        <f>IF('Data Entry'!A879="","",'Data Entry'!D879)</f>
        <v/>
      </c>
      <c r="E879" s="12">
        <f>IF('Data Entry'!A879="","",'Data Entry'!E879)</f>
        <v/>
      </c>
      <c r="F879" s="12">
        <f>IF('Data Entry'!A879="","",'Data Entry'!F879)</f>
        <v/>
      </c>
      <c r="G879" s="13">
        <f>IF('Data Entry'!A879="","",'Data Entry'!G879)</f>
        <v/>
      </c>
      <c r="H879" s="10">
        <f>IF('Data Entry'!A879="","",'Data Entry'!H879)</f>
        <v/>
      </c>
      <c r="I879" s="10">
        <f>IF('Data Entry'!A879="","",'Data Entry'!I879)</f>
        <v/>
      </c>
      <c r="J879" s="12">
        <f>IF('Data Entry'!A879="","",IF('Data Entry'!D879&lt;&gt;"",'Data Entry'!D879,'Data Entry'!E879))</f>
        <v/>
      </c>
      <c r="K879" s="10">
        <f>IF('Data Entry'!A879="","",IFERROR(SUMIFS($H$5:$H$2001,$J$5:$J$2001,$J879,$B$5:$B$2001,$B879,$A$5:$A$2001,(MAXIFS($A$5:$A$2001,$J$5:$J$2001,$J879,$B$5:$B$2001,$B879,$A$5:$A$2001,"&lt;"&amp;$A879))),""))</f>
        <v/>
      </c>
      <c r="L879" s="14">
        <f>IF(OR('Data Entry'!A879="",$K879=""),"",$H879-$K879)</f>
        <v/>
      </c>
      <c r="M879" s="15">
        <f>IF(OR('Data Entry'!A879="",$K879="",$K879=0),"",$L879/$K879)</f>
        <v/>
      </c>
      <c r="N879" s="12">
        <f>IF('Data Entry'!A879="","",IF($L879="","New item",IF($L879&gt;0,"UP",IF($L879&lt;0,"down","same"))))</f>
        <v/>
      </c>
    </row>
    <row r="880">
      <c r="A880" s="11">
        <f>IF('Data Entry'!A880="","",'Data Entry'!A880)</f>
        <v/>
      </c>
      <c r="B880" s="12">
        <f>IF('Data Entry'!A880="","",'Data Entry'!B880)</f>
        <v/>
      </c>
      <c r="C880" s="12">
        <f>IF('Data Entry'!A880="","",'Data Entry'!C880)</f>
        <v/>
      </c>
      <c r="D880" s="12">
        <f>IF('Data Entry'!A880="","",'Data Entry'!D880)</f>
        <v/>
      </c>
      <c r="E880" s="12">
        <f>IF('Data Entry'!A880="","",'Data Entry'!E880)</f>
        <v/>
      </c>
      <c r="F880" s="12">
        <f>IF('Data Entry'!A880="","",'Data Entry'!F880)</f>
        <v/>
      </c>
      <c r="G880" s="13">
        <f>IF('Data Entry'!A880="","",'Data Entry'!G880)</f>
        <v/>
      </c>
      <c r="H880" s="10">
        <f>IF('Data Entry'!A880="","",'Data Entry'!H880)</f>
        <v/>
      </c>
      <c r="I880" s="10">
        <f>IF('Data Entry'!A880="","",'Data Entry'!I880)</f>
        <v/>
      </c>
      <c r="J880" s="12">
        <f>IF('Data Entry'!A880="","",IF('Data Entry'!D880&lt;&gt;"",'Data Entry'!D880,'Data Entry'!E880))</f>
        <v/>
      </c>
      <c r="K880" s="10">
        <f>IF('Data Entry'!A880="","",IFERROR(SUMIFS($H$5:$H$2001,$J$5:$J$2001,$J880,$B$5:$B$2001,$B880,$A$5:$A$2001,(MAXIFS($A$5:$A$2001,$J$5:$J$2001,$J880,$B$5:$B$2001,$B880,$A$5:$A$2001,"&lt;"&amp;$A880))),""))</f>
        <v/>
      </c>
      <c r="L880" s="14">
        <f>IF(OR('Data Entry'!A880="",$K880=""),"",$H880-$K880)</f>
        <v/>
      </c>
      <c r="M880" s="15">
        <f>IF(OR('Data Entry'!A880="",$K880="",$K880=0),"",$L880/$K880)</f>
        <v/>
      </c>
      <c r="N880" s="12">
        <f>IF('Data Entry'!A880="","",IF($L880="","New item",IF($L880&gt;0,"UP",IF($L880&lt;0,"down","same"))))</f>
        <v/>
      </c>
    </row>
    <row r="881">
      <c r="A881" s="11">
        <f>IF('Data Entry'!A881="","",'Data Entry'!A881)</f>
        <v/>
      </c>
      <c r="B881" s="12">
        <f>IF('Data Entry'!A881="","",'Data Entry'!B881)</f>
        <v/>
      </c>
      <c r="C881" s="12">
        <f>IF('Data Entry'!A881="","",'Data Entry'!C881)</f>
        <v/>
      </c>
      <c r="D881" s="12">
        <f>IF('Data Entry'!A881="","",'Data Entry'!D881)</f>
        <v/>
      </c>
      <c r="E881" s="12">
        <f>IF('Data Entry'!A881="","",'Data Entry'!E881)</f>
        <v/>
      </c>
      <c r="F881" s="12">
        <f>IF('Data Entry'!A881="","",'Data Entry'!F881)</f>
        <v/>
      </c>
      <c r="G881" s="13">
        <f>IF('Data Entry'!A881="","",'Data Entry'!G881)</f>
        <v/>
      </c>
      <c r="H881" s="10">
        <f>IF('Data Entry'!A881="","",'Data Entry'!H881)</f>
        <v/>
      </c>
      <c r="I881" s="10">
        <f>IF('Data Entry'!A881="","",'Data Entry'!I881)</f>
        <v/>
      </c>
      <c r="J881" s="12">
        <f>IF('Data Entry'!A881="","",IF('Data Entry'!D881&lt;&gt;"",'Data Entry'!D881,'Data Entry'!E881))</f>
        <v/>
      </c>
      <c r="K881" s="10">
        <f>IF('Data Entry'!A881="","",IFERROR(SUMIFS($H$5:$H$2001,$J$5:$J$2001,$J881,$B$5:$B$2001,$B881,$A$5:$A$2001,(MAXIFS($A$5:$A$2001,$J$5:$J$2001,$J881,$B$5:$B$2001,$B881,$A$5:$A$2001,"&lt;"&amp;$A881))),""))</f>
        <v/>
      </c>
      <c r="L881" s="14">
        <f>IF(OR('Data Entry'!A881="",$K881=""),"",$H881-$K881)</f>
        <v/>
      </c>
      <c r="M881" s="15">
        <f>IF(OR('Data Entry'!A881="",$K881="",$K881=0),"",$L881/$K881)</f>
        <v/>
      </c>
      <c r="N881" s="12">
        <f>IF('Data Entry'!A881="","",IF($L881="","New item",IF($L881&gt;0,"UP",IF($L881&lt;0,"down","same"))))</f>
        <v/>
      </c>
    </row>
    <row r="882">
      <c r="A882" s="11">
        <f>IF('Data Entry'!A882="","",'Data Entry'!A882)</f>
        <v/>
      </c>
      <c r="B882" s="12">
        <f>IF('Data Entry'!A882="","",'Data Entry'!B882)</f>
        <v/>
      </c>
      <c r="C882" s="12">
        <f>IF('Data Entry'!A882="","",'Data Entry'!C882)</f>
        <v/>
      </c>
      <c r="D882" s="12">
        <f>IF('Data Entry'!A882="","",'Data Entry'!D882)</f>
        <v/>
      </c>
      <c r="E882" s="12">
        <f>IF('Data Entry'!A882="","",'Data Entry'!E882)</f>
        <v/>
      </c>
      <c r="F882" s="12">
        <f>IF('Data Entry'!A882="","",'Data Entry'!F882)</f>
        <v/>
      </c>
      <c r="G882" s="13">
        <f>IF('Data Entry'!A882="","",'Data Entry'!G882)</f>
        <v/>
      </c>
      <c r="H882" s="10">
        <f>IF('Data Entry'!A882="","",'Data Entry'!H882)</f>
        <v/>
      </c>
      <c r="I882" s="10">
        <f>IF('Data Entry'!A882="","",'Data Entry'!I882)</f>
        <v/>
      </c>
      <c r="J882" s="12">
        <f>IF('Data Entry'!A882="","",IF('Data Entry'!D882&lt;&gt;"",'Data Entry'!D882,'Data Entry'!E882))</f>
        <v/>
      </c>
      <c r="K882" s="10">
        <f>IF('Data Entry'!A882="","",IFERROR(SUMIFS($H$5:$H$2001,$J$5:$J$2001,$J882,$B$5:$B$2001,$B882,$A$5:$A$2001,(MAXIFS($A$5:$A$2001,$J$5:$J$2001,$J882,$B$5:$B$2001,$B882,$A$5:$A$2001,"&lt;"&amp;$A882))),""))</f>
        <v/>
      </c>
      <c r="L882" s="14">
        <f>IF(OR('Data Entry'!A882="",$K882=""),"",$H882-$K882)</f>
        <v/>
      </c>
      <c r="M882" s="15">
        <f>IF(OR('Data Entry'!A882="",$K882="",$K882=0),"",$L882/$K882)</f>
        <v/>
      </c>
      <c r="N882" s="12">
        <f>IF('Data Entry'!A882="","",IF($L882="","New item",IF($L882&gt;0,"UP",IF($L882&lt;0,"down","same"))))</f>
        <v/>
      </c>
    </row>
    <row r="883">
      <c r="A883" s="11">
        <f>IF('Data Entry'!A883="","",'Data Entry'!A883)</f>
        <v/>
      </c>
      <c r="B883" s="12">
        <f>IF('Data Entry'!A883="","",'Data Entry'!B883)</f>
        <v/>
      </c>
      <c r="C883" s="12">
        <f>IF('Data Entry'!A883="","",'Data Entry'!C883)</f>
        <v/>
      </c>
      <c r="D883" s="12">
        <f>IF('Data Entry'!A883="","",'Data Entry'!D883)</f>
        <v/>
      </c>
      <c r="E883" s="12">
        <f>IF('Data Entry'!A883="","",'Data Entry'!E883)</f>
        <v/>
      </c>
      <c r="F883" s="12">
        <f>IF('Data Entry'!A883="","",'Data Entry'!F883)</f>
        <v/>
      </c>
      <c r="G883" s="13">
        <f>IF('Data Entry'!A883="","",'Data Entry'!G883)</f>
        <v/>
      </c>
      <c r="H883" s="10">
        <f>IF('Data Entry'!A883="","",'Data Entry'!H883)</f>
        <v/>
      </c>
      <c r="I883" s="10">
        <f>IF('Data Entry'!A883="","",'Data Entry'!I883)</f>
        <v/>
      </c>
      <c r="J883" s="12">
        <f>IF('Data Entry'!A883="","",IF('Data Entry'!D883&lt;&gt;"",'Data Entry'!D883,'Data Entry'!E883))</f>
        <v/>
      </c>
      <c r="K883" s="10">
        <f>IF('Data Entry'!A883="","",IFERROR(SUMIFS($H$5:$H$2001,$J$5:$J$2001,$J883,$B$5:$B$2001,$B883,$A$5:$A$2001,(MAXIFS($A$5:$A$2001,$J$5:$J$2001,$J883,$B$5:$B$2001,$B883,$A$5:$A$2001,"&lt;"&amp;$A883))),""))</f>
        <v/>
      </c>
      <c r="L883" s="14">
        <f>IF(OR('Data Entry'!A883="",$K883=""),"",$H883-$K883)</f>
        <v/>
      </c>
      <c r="M883" s="15">
        <f>IF(OR('Data Entry'!A883="",$K883="",$K883=0),"",$L883/$K883)</f>
        <v/>
      </c>
      <c r="N883" s="12">
        <f>IF('Data Entry'!A883="","",IF($L883="","New item",IF($L883&gt;0,"UP",IF($L883&lt;0,"down","same"))))</f>
        <v/>
      </c>
    </row>
    <row r="884">
      <c r="A884" s="11">
        <f>IF('Data Entry'!A884="","",'Data Entry'!A884)</f>
        <v/>
      </c>
      <c r="B884" s="12">
        <f>IF('Data Entry'!A884="","",'Data Entry'!B884)</f>
        <v/>
      </c>
      <c r="C884" s="12">
        <f>IF('Data Entry'!A884="","",'Data Entry'!C884)</f>
        <v/>
      </c>
      <c r="D884" s="12">
        <f>IF('Data Entry'!A884="","",'Data Entry'!D884)</f>
        <v/>
      </c>
      <c r="E884" s="12">
        <f>IF('Data Entry'!A884="","",'Data Entry'!E884)</f>
        <v/>
      </c>
      <c r="F884" s="12">
        <f>IF('Data Entry'!A884="","",'Data Entry'!F884)</f>
        <v/>
      </c>
      <c r="G884" s="13">
        <f>IF('Data Entry'!A884="","",'Data Entry'!G884)</f>
        <v/>
      </c>
      <c r="H884" s="10">
        <f>IF('Data Entry'!A884="","",'Data Entry'!H884)</f>
        <v/>
      </c>
      <c r="I884" s="10">
        <f>IF('Data Entry'!A884="","",'Data Entry'!I884)</f>
        <v/>
      </c>
      <c r="J884" s="12">
        <f>IF('Data Entry'!A884="","",IF('Data Entry'!D884&lt;&gt;"",'Data Entry'!D884,'Data Entry'!E884))</f>
        <v/>
      </c>
      <c r="K884" s="10">
        <f>IF('Data Entry'!A884="","",IFERROR(SUMIFS($H$5:$H$2001,$J$5:$J$2001,$J884,$B$5:$B$2001,$B884,$A$5:$A$2001,(MAXIFS($A$5:$A$2001,$J$5:$J$2001,$J884,$B$5:$B$2001,$B884,$A$5:$A$2001,"&lt;"&amp;$A884))),""))</f>
        <v/>
      </c>
      <c r="L884" s="14">
        <f>IF(OR('Data Entry'!A884="",$K884=""),"",$H884-$K884)</f>
        <v/>
      </c>
      <c r="M884" s="15">
        <f>IF(OR('Data Entry'!A884="",$K884="",$K884=0),"",$L884/$K884)</f>
        <v/>
      </c>
      <c r="N884" s="12">
        <f>IF('Data Entry'!A884="","",IF($L884="","New item",IF($L884&gt;0,"UP",IF($L884&lt;0,"down","same"))))</f>
        <v/>
      </c>
    </row>
    <row r="885">
      <c r="A885" s="11">
        <f>IF('Data Entry'!A885="","",'Data Entry'!A885)</f>
        <v/>
      </c>
      <c r="B885" s="12">
        <f>IF('Data Entry'!A885="","",'Data Entry'!B885)</f>
        <v/>
      </c>
      <c r="C885" s="12">
        <f>IF('Data Entry'!A885="","",'Data Entry'!C885)</f>
        <v/>
      </c>
      <c r="D885" s="12">
        <f>IF('Data Entry'!A885="","",'Data Entry'!D885)</f>
        <v/>
      </c>
      <c r="E885" s="12">
        <f>IF('Data Entry'!A885="","",'Data Entry'!E885)</f>
        <v/>
      </c>
      <c r="F885" s="12">
        <f>IF('Data Entry'!A885="","",'Data Entry'!F885)</f>
        <v/>
      </c>
      <c r="G885" s="13">
        <f>IF('Data Entry'!A885="","",'Data Entry'!G885)</f>
        <v/>
      </c>
      <c r="H885" s="10">
        <f>IF('Data Entry'!A885="","",'Data Entry'!H885)</f>
        <v/>
      </c>
      <c r="I885" s="10">
        <f>IF('Data Entry'!A885="","",'Data Entry'!I885)</f>
        <v/>
      </c>
      <c r="J885" s="12">
        <f>IF('Data Entry'!A885="","",IF('Data Entry'!D885&lt;&gt;"",'Data Entry'!D885,'Data Entry'!E885))</f>
        <v/>
      </c>
      <c r="K885" s="10">
        <f>IF('Data Entry'!A885="","",IFERROR(SUMIFS($H$5:$H$2001,$J$5:$J$2001,$J885,$B$5:$B$2001,$B885,$A$5:$A$2001,(MAXIFS($A$5:$A$2001,$J$5:$J$2001,$J885,$B$5:$B$2001,$B885,$A$5:$A$2001,"&lt;"&amp;$A885))),""))</f>
        <v/>
      </c>
      <c r="L885" s="14">
        <f>IF(OR('Data Entry'!A885="",$K885=""),"",$H885-$K885)</f>
        <v/>
      </c>
      <c r="M885" s="15">
        <f>IF(OR('Data Entry'!A885="",$K885="",$K885=0),"",$L885/$K885)</f>
        <v/>
      </c>
      <c r="N885" s="12">
        <f>IF('Data Entry'!A885="","",IF($L885="","New item",IF($L885&gt;0,"UP",IF($L885&lt;0,"down","same"))))</f>
        <v/>
      </c>
    </row>
    <row r="886">
      <c r="A886" s="11">
        <f>IF('Data Entry'!A886="","",'Data Entry'!A886)</f>
        <v/>
      </c>
      <c r="B886" s="12">
        <f>IF('Data Entry'!A886="","",'Data Entry'!B886)</f>
        <v/>
      </c>
      <c r="C886" s="12">
        <f>IF('Data Entry'!A886="","",'Data Entry'!C886)</f>
        <v/>
      </c>
      <c r="D886" s="12">
        <f>IF('Data Entry'!A886="","",'Data Entry'!D886)</f>
        <v/>
      </c>
      <c r="E886" s="12">
        <f>IF('Data Entry'!A886="","",'Data Entry'!E886)</f>
        <v/>
      </c>
      <c r="F886" s="12">
        <f>IF('Data Entry'!A886="","",'Data Entry'!F886)</f>
        <v/>
      </c>
      <c r="G886" s="13">
        <f>IF('Data Entry'!A886="","",'Data Entry'!G886)</f>
        <v/>
      </c>
      <c r="H886" s="10">
        <f>IF('Data Entry'!A886="","",'Data Entry'!H886)</f>
        <v/>
      </c>
      <c r="I886" s="10">
        <f>IF('Data Entry'!A886="","",'Data Entry'!I886)</f>
        <v/>
      </c>
      <c r="J886" s="12">
        <f>IF('Data Entry'!A886="","",IF('Data Entry'!D886&lt;&gt;"",'Data Entry'!D886,'Data Entry'!E886))</f>
        <v/>
      </c>
      <c r="K886" s="10">
        <f>IF('Data Entry'!A886="","",IFERROR(SUMIFS($H$5:$H$2001,$J$5:$J$2001,$J886,$B$5:$B$2001,$B886,$A$5:$A$2001,(MAXIFS($A$5:$A$2001,$J$5:$J$2001,$J886,$B$5:$B$2001,$B886,$A$5:$A$2001,"&lt;"&amp;$A886))),""))</f>
        <v/>
      </c>
      <c r="L886" s="14">
        <f>IF(OR('Data Entry'!A886="",$K886=""),"",$H886-$K886)</f>
        <v/>
      </c>
      <c r="M886" s="15">
        <f>IF(OR('Data Entry'!A886="",$K886="",$K886=0),"",$L886/$K886)</f>
        <v/>
      </c>
      <c r="N886" s="12">
        <f>IF('Data Entry'!A886="","",IF($L886="","New item",IF($L886&gt;0,"UP",IF($L886&lt;0,"down","same"))))</f>
        <v/>
      </c>
    </row>
    <row r="887">
      <c r="A887" s="11">
        <f>IF('Data Entry'!A887="","",'Data Entry'!A887)</f>
        <v/>
      </c>
      <c r="B887" s="12">
        <f>IF('Data Entry'!A887="","",'Data Entry'!B887)</f>
        <v/>
      </c>
      <c r="C887" s="12">
        <f>IF('Data Entry'!A887="","",'Data Entry'!C887)</f>
        <v/>
      </c>
      <c r="D887" s="12">
        <f>IF('Data Entry'!A887="","",'Data Entry'!D887)</f>
        <v/>
      </c>
      <c r="E887" s="12">
        <f>IF('Data Entry'!A887="","",'Data Entry'!E887)</f>
        <v/>
      </c>
      <c r="F887" s="12">
        <f>IF('Data Entry'!A887="","",'Data Entry'!F887)</f>
        <v/>
      </c>
      <c r="G887" s="13">
        <f>IF('Data Entry'!A887="","",'Data Entry'!G887)</f>
        <v/>
      </c>
      <c r="H887" s="10">
        <f>IF('Data Entry'!A887="","",'Data Entry'!H887)</f>
        <v/>
      </c>
      <c r="I887" s="10">
        <f>IF('Data Entry'!A887="","",'Data Entry'!I887)</f>
        <v/>
      </c>
      <c r="J887" s="12">
        <f>IF('Data Entry'!A887="","",IF('Data Entry'!D887&lt;&gt;"",'Data Entry'!D887,'Data Entry'!E887))</f>
        <v/>
      </c>
      <c r="K887" s="10">
        <f>IF('Data Entry'!A887="","",IFERROR(SUMIFS($H$5:$H$2001,$J$5:$J$2001,$J887,$B$5:$B$2001,$B887,$A$5:$A$2001,(MAXIFS($A$5:$A$2001,$J$5:$J$2001,$J887,$B$5:$B$2001,$B887,$A$5:$A$2001,"&lt;"&amp;$A887))),""))</f>
        <v/>
      </c>
      <c r="L887" s="14">
        <f>IF(OR('Data Entry'!A887="",$K887=""),"",$H887-$K887)</f>
        <v/>
      </c>
      <c r="M887" s="15">
        <f>IF(OR('Data Entry'!A887="",$K887="",$K887=0),"",$L887/$K887)</f>
        <v/>
      </c>
      <c r="N887" s="12">
        <f>IF('Data Entry'!A887="","",IF($L887="","New item",IF($L887&gt;0,"UP",IF($L887&lt;0,"down","same"))))</f>
        <v/>
      </c>
    </row>
    <row r="888">
      <c r="A888" s="11">
        <f>IF('Data Entry'!A888="","",'Data Entry'!A888)</f>
        <v/>
      </c>
      <c r="B888" s="12">
        <f>IF('Data Entry'!A888="","",'Data Entry'!B888)</f>
        <v/>
      </c>
      <c r="C888" s="12">
        <f>IF('Data Entry'!A888="","",'Data Entry'!C888)</f>
        <v/>
      </c>
      <c r="D888" s="12">
        <f>IF('Data Entry'!A888="","",'Data Entry'!D888)</f>
        <v/>
      </c>
      <c r="E888" s="12">
        <f>IF('Data Entry'!A888="","",'Data Entry'!E888)</f>
        <v/>
      </c>
      <c r="F888" s="12">
        <f>IF('Data Entry'!A888="","",'Data Entry'!F888)</f>
        <v/>
      </c>
      <c r="G888" s="13">
        <f>IF('Data Entry'!A888="","",'Data Entry'!G888)</f>
        <v/>
      </c>
      <c r="H888" s="10">
        <f>IF('Data Entry'!A888="","",'Data Entry'!H888)</f>
        <v/>
      </c>
      <c r="I888" s="10">
        <f>IF('Data Entry'!A888="","",'Data Entry'!I888)</f>
        <v/>
      </c>
      <c r="J888" s="12">
        <f>IF('Data Entry'!A888="","",IF('Data Entry'!D888&lt;&gt;"",'Data Entry'!D888,'Data Entry'!E888))</f>
        <v/>
      </c>
      <c r="K888" s="10">
        <f>IF('Data Entry'!A888="","",IFERROR(SUMIFS($H$5:$H$2001,$J$5:$J$2001,$J888,$B$5:$B$2001,$B888,$A$5:$A$2001,(MAXIFS($A$5:$A$2001,$J$5:$J$2001,$J888,$B$5:$B$2001,$B888,$A$5:$A$2001,"&lt;"&amp;$A888))),""))</f>
        <v/>
      </c>
      <c r="L888" s="14">
        <f>IF(OR('Data Entry'!A888="",$K888=""),"",$H888-$K888)</f>
        <v/>
      </c>
      <c r="M888" s="15">
        <f>IF(OR('Data Entry'!A888="",$K888="",$K888=0),"",$L888/$K888)</f>
        <v/>
      </c>
      <c r="N888" s="12">
        <f>IF('Data Entry'!A888="","",IF($L888="","New item",IF($L888&gt;0,"UP",IF($L888&lt;0,"down","same"))))</f>
        <v/>
      </c>
    </row>
    <row r="889">
      <c r="A889" s="11">
        <f>IF('Data Entry'!A889="","",'Data Entry'!A889)</f>
        <v/>
      </c>
      <c r="B889" s="12">
        <f>IF('Data Entry'!A889="","",'Data Entry'!B889)</f>
        <v/>
      </c>
      <c r="C889" s="12">
        <f>IF('Data Entry'!A889="","",'Data Entry'!C889)</f>
        <v/>
      </c>
      <c r="D889" s="12">
        <f>IF('Data Entry'!A889="","",'Data Entry'!D889)</f>
        <v/>
      </c>
      <c r="E889" s="12">
        <f>IF('Data Entry'!A889="","",'Data Entry'!E889)</f>
        <v/>
      </c>
      <c r="F889" s="12">
        <f>IF('Data Entry'!A889="","",'Data Entry'!F889)</f>
        <v/>
      </c>
      <c r="G889" s="13">
        <f>IF('Data Entry'!A889="","",'Data Entry'!G889)</f>
        <v/>
      </c>
      <c r="H889" s="10">
        <f>IF('Data Entry'!A889="","",'Data Entry'!H889)</f>
        <v/>
      </c>
      <c r="I889" s="10">
        <f>IF('Data Entry'!A889="","",'Data Entry'!I889)</f>
        <v/>
      </c>
      <c r="J889" s="12">
        <f>IF('Data Entry'!A889="","",IF('Data Entry'!D889&lt;&gt;"",'Data Entry'!D889,'Data Entry'!E889))</f>
        <v/>
      </c>
      <c r="K889" s="10">
        <f>IF('Data Entry'!A889="","",IFERROR(SUMIFS($H$5:$H$2001,$J$5:$J$2001,$J889,$B$5:$B$2001,$B889,$A$5:$A$2001,(MAXIFS($A$5:$A$2001,$J$5:$J$2001,$J889,$B$5:$B$2001,$B889,$A$5:$A$2001,"&lt;"&amp;$A889))),""))</f>
        <v/>
      </c>
      <c r="L889" s="14">
        <f>IF(OR('Data Entry'!A889="",$K889=""),"",$H889-$K889)</f>
        <v/>
      </c>
      <c r="M889" s="15">
        <f>IF(OR('Data Entry'!A889="",$K889="",$K889=0),"",$L889/$K889)</f>
        <v/>
      </c>
      <c r="N889" s="12">
        <f>IF('Data Entry'!A889="","",IF($L889="","New item",IF($L889&gt;0,"UP",IF($L889&lt;0,"down","same"))))</f>
        <v/>
      </c>
    </row>
    <row r="890">
      <c r="A890" s="11">
        <f>IF('Data Entry'!A890="","",'Data Entry'!A890)</f>
        <v/>
      </c>
      <c r="B890" s="12">
        <f>IF('Data Entry'!A890="","",'Data Entry'!B890)</f>
        <v/>
      </c>
      <c r="C890" s="12">
        <f>IF('Data Entry'!A890="","",'Data Entry'!C890)</f>
        <v/>
      </c>
      <c r="D890" s="12">
        <f>IF('Data Entry'!A890="","",'Data Entry'!D890)</f>
        <v/>
      </c>
      <c r="E890" s="12">
        <f>IF('Data Entry'!A890="","",'Data Entry'!E890)</f>
        <v/>
      </c>
      <c r="F890" s="12">
        <f>IF('Data Entry'!A890="","",'Data Entry'!F890)</f>
        <v/>
      </c>
      <c r="G890" s="13">
        <f>IF('Data Entry'!A890="","",'Data Entry'!G890)</f>
        <v/>
      </c>
      <c r="H890" s="10">
        <f>IF('Data Entry'!A890="","",'Data Entry'!H890)</f>
        <v/>
      </c>
      <c r="I890" s="10">
        <f>IF('Data Entry'!A890="","",'Data Entry'!I890)</f>
        <v/>
      </c>
      <c r="J890" s="12">
        <f>IF('Data Entry'!A890="","",IF('Data Entry'!D890&lt;&gt;"",'Data Entry'!D890,'Data Entry'!E890))</f>
        <v/>
      </c>
      <c r="K890" s="10">
        <f>IF('Data Entry'!A890="","",IFERROR(SUMIFS($H$5:$H$2001,$J$5:$J$2001,$J890,$B$5:$B$2001,$B890,$A$5:$A$2001,(MAXIFS($A$5:$A$2001,$J$5:$J$2001,$J890,$B$5:$B$2001,$B890,$A$5:$A$2001,"&lt;"&amp;$A890))),""))</f>
        <v/>
      </c>
      <c r="L890" s="14">
        <f>IF(OR('Data Entry'!A890="",$K890=""),"",$H890-$K890)</f>
        <v/>
      </c>
      <c r="M890" s="15">
        <f>IF(OR('Data Entry'!A890="",$K890="",$K890=0),"",$L890/$K890)</f>
        <v/>
      </c>
      <c r="N890" s="12">
        <f>IF('Data Entry'!A890="","",IF($L890="","New item",IF($L890&gt;0,"UP",IF($L890&lt;0,"down","same"))))</f>
        <v/>
      </c>
    </row>
    <row r="891">
      <c r="A891" s="11">
        <f>IF('Data Entry'!A891="","",'Data Entry'!A891)</f>
        <v/>
      </c>
      <c r="B891" s="12">
        <f>IF('Data Entry'!A891="","",'Data Entry'!B891)</f>
        <v/>
      </c>
      <c r="C891" s="12">
        <f>IF('Data Entry'!A891="","",'Data Entry'!C891)</f>
        <v/>
      </c>
      <c r="D891" s="12">
        <f>IF('Data Entry'!A891="","",'Data Entry'!D891)</f>
        <v/>
      </c>
      <c r="E891" s="12">
        <f>IF('Data Entry'!A891="","",'Data Entry'!E891)</f>
        <v/>
      </c>
      <c r="F891" s="12">
        <f>IF('Data Entry'!A891="","",'Data Entry'!F891)</f>
        <v/>
      </c>
      <c r="G891" s="13">
        <f>IF('Data Entry'!A891="","",'Data Entry'!G891)</f>
        <v/>
      </c>
      <c r="H891" s="10">
        <f>IF('Data Entry'!A891="","",'Data Entry'!H891)</f>
        <v/>
      </c>
      <c r="I891" s="10">
        <f>IF('Data Entry'!A891="","",'Data Entry'!I891)</f>
        <v/>
      </c>
      <c r="J891" s="12">
        <f>IF('Data Entry'!A891="","",IF('Data Entry'!D891&lt;&gt;"",'Data Entry'!D891,'Data Entry'!E891))</f>
        <v/>
      </c>
      <c r="K891" s="10">
        <f>IF('Data Entry'!A891="","",IFERROR(SUMIFS($H$5:$H$2001,$J$5:$J$2001,$J891,$B$5:$B$2001,$B891,$A$5:$A$2001,(MAXIFS($A$5:$A$2001,$J$5:$J$2001,$J891,$B$5:$B$2001,$B891,$A$5:$A$2001,"&lt;"&amp;$A891))),""))</f>
        <v/>
      </c>
      <c r="L891" s="14">
        <f>IF(OR('Data Entry'!A891="",$K891=""),"",$H891-$K891)</f>
        <v/>
      </c>
      <c r="M891" s="15">
        <f>IF(OR('Data Entry'!A891="",$K891="",$K891=0),"",$L891/$K891)</f>
        <v/>
      </c>
      <c r="N891" s="12">
        <f>IF('Data Entry'!A891="","",IF($L891="","New item",IF($L891&gt;0,"UP",IF($L891&lt;0,"down","same"))))</f>
        <v/>
      </c>
    </row>
    <row r="892">
      <c r="A892" s="11">
        <f>IF('Data Entry'!A892="","",'Data Entry'!A892)</f>
        <v/>
      </c>
      <c r="B892" s="12">
        <f>IF('Data Entry'!A892="","",'Data Entry'!B892)</f>
        <v/>
      </c>
      <c r="C892" s="12">
        <f>IF('Data Entry'!A892="","",'Data Entry'!C892)</f>
        <v/>
      </c>
      <c r="D892" s="12">
        <f>IF('Data Entry'!A892="","",'Data Entry'!D892)</f>
        <v/>
      </c>
      <c r="E892" s="12">
        <f>IF('Data Entry'!A892="","",'Data Entry'!E892)</f>
        <v/>
      </c>
      <c r="F892" s="12">
        <f>IF('Data Entry'!A892="","",'Data Entry'!F892)</f>
        <v/>
      </c>
      <c r="G892" s="13">
        <f>IF('Data Entry'!A892="","",'Data Entry'!G892)</f>
        <v/>
      </c>
      <c r="H892" s="10">
        <f>IF('Data Entry'!A892="","",'Data Entry'!H892)</f>
        <v/>
      </c>
      <c r="I892" s="10">
        <f>IF('Data Entry'!A892="","",'Data Entry'!I892)</f>
        <v/>
      </c>
      <c r="J892" s="12">
        <f>IF('Data Entry'!A892="","",IF('Data Entry'!D892&lt;&gt;"",'Data Entry'!D892,'Data Entry'!E892))</f>
        <v/>
      </c>
      <c r="K892" s="10">
        <f>IF('Data Entry'!A892="","",IFERROR(SUMIFS($H$5:$H$2001,$J$5:$J$2001,$J892,$B$5:$B$2001,$B892,$A$5:$A$2001,(MAXIFS($A$5:$A$2001,$J$5:$J$2001,$J892,$B$5:$B$2001,$B892,$A$5:$A$2001,"&lt;"&amp;$A892))),""))</f>
        <v/>
      </c>
      <c r="L892" s="14">
        <f>IF(OR('Data Entry'!A892="",$K892=""),"",$H892-$K892)</f>
        <v/>
      </c>
      <c r="M892" s="15">
        <f>IF(OR('Data Entry'!A892="",$K892="",$K892=0),"",$L892/$K892)</f>
        <v/>
      </c>
      <c r="N892" s="12">
        <f>IF('Data Entry'!A892="","",IF($L892="","New item",IF($L892&gt;0,"UP",IF($L892&lt;0,"down","same"))))</f>
        <v/>
      </c>
    </row>
    <row r="893">
      <c r="A893" s="11">
        <f>IF('Data Entry'!A893="","",'Data Entry'!A893)</f>
        <v/>
      </c>
      <c r="B893" s="12">
        <f>IF('Data Entry'!A893="","",'Data Entry'!B893)</f>
        <v/>
      </c>
      <c r="C893" s="12">
        <f>IF('Data Entry'!A893="","",'Data Entry'!C893)</f>
        <v/>
      </c>
      <c r="D893" s="12">
        <f>IF('Data Entry'!A893="","",'Data Entry'!D893)</f>
        <v/>
      </c>
      <c r="E893" s="12">
        <f>IF('Data Entry'!A893="","",'Data Entry'!E893)</f>
        <v/>
      </c>
      <c r="F893" s="12">
        <f>IF('Data Entry'!A893="","",'Data Entry'!F893)</f>
        <v/>
      </c>
      <c r="G893" s="13">
        <f>IF('Data Entry'!A893="","",'Data Entry'!G893)</f>
        <v/>
      </c>
      <c r="H893" s="10">
        <f>IF('Data Entry'!A893="","",'Data Entry'!H893)</f>
        <v/>
      </c>
      <c r="I893" s="10">
        <f>IF('Data Entry'!A893="","",'Data Entry'!I893)</f>
        <v/>
      </c>
      <c r="J893" s="12">
        <f>IF('Data Entry'!A893="","",IF('Data Entry'!D893&lt;&gt;"",'Data Entry'!D893,'Data Entry'!E893))</f>
        <v/>
      </c>
      <c r="K893" s="10">
        <f>IF('Data Entry'!A893="","",IFERROR(SUMIFS($H$5:$H$2001,$J$5:$J$2001,$J893,$B$5:$B$2001,$B893,$A$5:$A$2001,(MAXIFS($A$5:$A$2001,$J$5:$J$2001,$J893,$B$5:$B$2001,$B893,$A$5:$A$2001,"&lt;"&amp;$A893))),""))</f>
        <v/>
      </c>
      <c r="L893" s="14">
        <f>IF(OR('Data Entry'!A893="",$K893=""),"",$H893-$K893)</f>
        <v/>
      </c>
      <c r="M893" s="15">
        <f>IF(OR('Data Entry'!A893="",$K893="",$K893=0),"",$L893/$K893)</f>
        <v/>
      </c>
      <c r="N893" s="12">
        <f>IF('Data Entry'!A893="","",IF($L893="","New item",IF($L893&gt;0,"UP",IF($L893&lt;0,"down","same"))))</f>
        <v/>
      </c>
    </row>
    <row r="894">
      <c r="A894" s="11">
        <f>IF('Data Entry'!A894="","",'Data Entry'!A894)</f>
        <v/>
      </c>
      <c r="B894" s="12">
        <f>IF('Data Entry'!A894="","",'Data Entry'!B894)</f>
        <v/>
      </c>
      <c r="C894" s="12">
        <f>IF('Data Entry'!A894="","",'Data Entry'!C894)</f>
        <v/>
      </c>
      <c r="D894" s="12">
        <f>IF('Data Entry'!A894="","",'Data Entry'!D894)</f>
        <v/>
      </c>
      <c r="E894" s="12">
        <f>IF('Data Entry'!A894="","",'Data Entry'!E894)</f>
        <v/>
      </c>
      <c r="F894" s="12">
        <f>IF('Data Entry'!A894="","",'Data Entry'!F894)</f>
        <v/>
      </c>
      <c r="G894" s="13">
        <f>IF('Data Entry'!A894="","",'Data Entry'!G894)</f>
        <v/>
      </c>
      <c r="H894" s="10">
        <f>IF('Data Entry'!A894="","",'Data Entry'!H894)</f>
        <v/>
      </c>
      <c r="I894" s="10">
        <f>IF('Data Entry'!A894="","",'Data Entry'!I894)</f>
        <v/>
      </c>
      <c r="J894" s="12">
        <f>IF('Data Entry'!A894="","",IF('Data Entry'!D894&lt;&gt;"",'Data Entry'!D894,'Data Entry'!E894))</f>
        <v/>
      </c>
      <c r="K894" s="10">
        <f>IF('Data Entry'!A894="","",IFERROR(SUMIFS($H$5:$H$2001,$J$5:$J$2001,$J894,$B$5:$B$2001,$B894,$A$5:$A$2001,(MAXIFS($A$5:$A$2001,$J$5:$J$2001,$J894,$B$5:$B$2001,$B894,$A$5:$A$2001,"&lt;"&amp;$A894))),""))</f>
        <v/>
      </c>
      <c r="L894" s="14">
        <f>IF(OR('Data Entry'!A894="",$K894=""),"",$H894-$K894)</f>
        <v/>
      </c>
      <c r="M894" s="15">
        <f>IF(OR('Data Entry'!A894="",$K894="",$K894=0),"",$L894/$K894)</f>
        <v/>
      </c>
      <c r="N894" s="12">
        <f>IF('Data Entry'!A894="","",IF($L894="","New item",IF($L894&gt;0,"UP",IF($L894&lt;0,"down","same"))))</f>
        <v/>
      </c>
    </row>
    <row r="895">
      <c r="A895" s="11">
        <f>IF('Data Entry'!A895="","",'Data Entry'!A895)</f>
        <v/>
      </c>
      <c r="B895" s="12">
        <f>IF('Data Entry'!A895="","",'Data Entry'!B895)</f>
        <v/>
      </c>
      <c r="C895" s="12">
        <f>IF('Data Entry'!A895="","",'Data Entry'!C895)</f>
        <v/>
      </c>
      <c r="D895" s="12">
        <f>IF('Data Entry'!A895="","",'Data Entry'!D895)</f>
        <v/>
      </c>
      <c r="E895" s="12">
        <f>IF('Data Entry'!A895="","",'Data Entry'!E895)</f>
        <v/>
      </c>
      <c r="F895" s="12">
        <f>IF('Data Entry'!A895="","",'Data Entry'!F895)</f>
        <v/>
      </c>
      <c r="G895" s="13">
        <f>IF('Data Entry'!A895="","",'Data Entry'!G895)</f>
        <v/>
      </c>
      <c r="H895" s="10">
        <f>IF('Data Entry'!A895="","",'Data Entry'!H895)</f>
        <v/>
      </c>
      <c r="I895" s="10">
        <f>IF('Data Entry'!A895="","",'Data Entry'!I895)</f>
        <v/>
      </c>
      <c r="J895" s="12">
        <f>IF('Data Entry'!A895="","",IF('Data Entry'!D895&lt;&gt;"",'Data Entry'!D895,'Data Entry'!E895))</f>
        <v/>
      </c>
      <c r="K895" s="10">
        <f>IF('Data Entry'!A895="","",IFERROR(SUMIFS($H$5:$H$2001,$J$5:$J$2001,$J895,$B$5:$B$2001,$B895,$A$5:$A$2001,(MAXIFS($A$5:$A$2001,$J$5:$J$2001,$J895,$B$5:$B$2001,$B895,$A$5:$A$2001,"&lt;"&amp;$A895))),""))</f>
        <v/>
      </c>
      <c r="L895" s="14">
        <f>IF(OR('Data Entry'!A895="",$K895=""),"",$H895-$K895)</f>
        <v/>
      </c>
      <c r="M895" s="15">
        <f>IF(OR('Data Entry'!A895="",$K895="",$K895=0),"",$L895/$K895)</f>
        <v/>
      </c>
      <c r="N895" s="12">
        <f>IF('Data Entry'!A895="","",IF($L895="","New item",IF($L895&gt;0,"UP",IF($L895&lt;0,"down","same"))))</f>
        <v/>
      </c>
    </row>
    <row r="896">
      <c r="A896" s="11">
        <f>IF('Data Entry'!A896="","",'Data Entry'!A896)</f>
        <v/>
      </c>
      <c r="B896" s="12">
        <f>IF('Data Entry'!A896="","",'Data Entry'!B896)</f>
        <v/>
      </c>
      <c r="C896" s="12">
        <f>IF('Data Entry'!A896="","",'Data Entry'!C896)</f>
        <v/>
      </c>
      <c r="D896" s="12">
        <f>IF('Data Entry'!A896="","",'Data Entry'!D896)</f>
        <v/>
      </c>
      <c r="E896" s="12">
        <f>IF('Data Entry'!A896="","",'Data Entry'!E896)</f>
        <v/>
      </c>
      <c r="F896" s="12">
        <f>IF('Data Entry'!A896="","",'Data Entry'!F896)</f>
        <v/>
      </c>
      <c r="G896" s="13">
        <f>IF('Data Entry'!A896="","",'Data Entry'!G896)</f>
        <v/>
      </c>
      <c r="H896" s="10">
        <f>IF('Data Entry'!A896="","",'Data Entry'!H896)</f>
        <v/>
      </c>
      <c r="I896" s="10">
        <f>IF('Data Entry'!A896="","",'Data Entry'!I896)</f>
        <v/>
      </c>
      <c r="J896" s="12">
        <f>IF('Data Entry'!A896="","",IF('Data Entry'!D896&lt;&gt;"",'Data Entry'!D896,'Data Entry'!E896))</f>
        <v/>
      </c>
      <c r="K896" s="10">
        <f>IF('Data Entry'!A896="","",IFERROR(SUMIFS($H$5:$H$2001,$J$5:$J$2001,$J896,$B$5:$B$2001,$B896,$A$5:$A$2001,(MAXIFS($A$5:$A$2001,$J$5:$J$2001,$J896,$B$5:$B$2001,$B896,$A$5:$A$2001,"&lt;"&amp;$A896))),""))</f>
        <v/>
      </c>
      <c r="L896" s="14">
        <f>IF(OR('Data Entry'!A896="",$K896=""),"",$H896-$K896)</f>
        <v/>
      </c>
      <c r="M896" s="15">
        <f>IF(OR('Data Entry'!A896="",$K896="",$K896=0),"",$L896/$K896)</f>
        <v/>
      </c>
      <c r="N896" s="12">
        <f>IF('Data Entry'!A896="","",IF($L896="","New item",IF($L896&gt;0,"UP",IF($L896&lt;0,"down","same"))))</f>
        <v/>
      </c>
    </row>
    <row r="897">
      <c r="A897" s="11">
        <f>IF('Data Entry'!A897="","",'Data Entry'!A897)</f>
        <v/>
      </c>
      <c r="B897" s="12">
        <f>IF('Data Entry'!A897="","",'Data Entry'!B897)</f>
        <v/>
      </c>
      <c r="C897" s="12">
        <f>IF('Data Entry'!A897="","",'Data Entry'!C897)</f>
        <v/>
      </c>
      <c r="D897" s="12">
        <f>IF('Data Entry'!A897="","",'Data Entry'!D897)</f>
        <v/>
      </c>
      <c r="E897" s="12">
        <f>IF('Data Entry'!A897="","",'Data Entry'!E897)</f>
        <v/>
      </c>
      <c r="F897" s="12">
        <f>IF('Data Entry'!A897="","",'Data Entry'!F897)</f>
        <v/>
      </c>
      <c r="G897" s="13">
        <f>IF('Data Entry'!A897="","",'Data Entry'!G897)</f>
        <v/>
      </c>
      <c r="H897" s="10">
        <f>IF('Data Entry'!A897="","",'Data Entry'!H897)</f>
        <v/>
      </c>
      <c r="I897" s="10">
        <f>IF('Data Entry'!A897="","",'Data Entry'!I897)</f>
        <v/>
      </c>
      <c r="J897" s="12">
        <f>IF('Data Entry'!A897="","",IF('Data Entry'!D897&lt;&gt;"",'Data Entry'!D897,'Data Entry'!E897))</f>
        <v/>
      </c>
      <c r="K897" s="10">
        <f>IF('Data Entry'!A897="","",IFERROR(SUMIFS($H$5:$H$2001,$J$5:$J$2001,$J897,$B$5:$B$2001,$B897,$A$5:$A$2001,(MAXIFS($A$5:$A$2001,$J$5:$J$2001,$J897,$B$5:$B$2001,$B897,$A$5:$A$2001,"&lt;"&amp;$A897))),""))</f>
        <v/>
      </c>
      <c r="L897" s="14">
        <f>IF(OR('Data Entry'!A897="",$K897=""),"",$H897-$K897)</f>
        <v/>
      </c>
      <c r="M897" s="15">
        <f>IF(OR('Data Entry'!A897="",$K897="",$K897=0),"",$L897/$K897)</f>
        <v/>
      </c>
      <c r="N897" s="12">
        <f>IF('Data Entry'!A897="","",IF($L897="","New item",IF($L897&gt;0,"UP",IF($L897&lt;0,"down","same"))))</f>
        <v/>
      </c>
    </row>
    <row r="898">
      <c r="A898" s="11">
        <f>IF('Data Entry'!A898="","",'Data Entry'!A898)</f>
        <v/>
      </c>
      <c r="B898" s="12">
        <f>IF('Data Entry'!A898="","",'Data Entry'!B898)</f>
        <v/>
      </c>
      <c r="C898" s="12">
        <f>IF('Data Entry'!A898="","",'Data Entry'!C898)</f>
        <v/>
      </c>
      <c r="D898" s="12">
        <f>IF('Data Entry'!A898="","",'Data Entry'!D898)</f>
        <v/>
      </c>
      <c r="E898" s="12">
        <f>IF('Data Entry'!A898="","",'Data Entry'!E898)</f>
        <v/>
      </c>
      <c r="F898" s="12">
        <f>IF('Data Entry'!A898="","",'Data Entry'!F898)</f>
        <v/>
      </c>
      <c r="G898" s="13">
        <f>IF('Data Entry'!A898="","",'Data Entry'!G898)</f>
        <v/>
      </c>
      <c r="H898" s="10">
        <f>IF('Data Entry'!A898="","",'Data Entry'!H898)</f>
        <v/>
      </c>
      <c r="I898" s="10">
        <f>IF('Data Entry'!A898="","",'Data Entry'!I898)</f>
        <v/>
      </c>
      <c r="J898" s="12">
        <f>IF('Data Entry'!A898="","",IF('Data Entry'!D898&lt;&gt;"",'Data Entry'!D898,'Data Entry'!E898))</f>
        <v/>
      </c>
      <c r="K898" s="10">
        <f>IF('Data Entry'!A898="","",IFERROR(SUMIFS($H$5:$H$2001,$J$5:$J$2001,$J898,$B$5:$B$2001,$B898,$A$5:$A$2001,(MAXIFS($A$5:$A$2001,$J$5:$J$2001,$J898,$B$5:$B$2001,$B898,$A$5:$A$2001,"&lt;"&amp;$A898))),""))</f>
        <v/>
      </c>
      <c r="L898" s="14">
        <f>IF(OR('Data Entry'!A898="",$K898=""),"",$H898-$K898)</f>
        <v/>
      </c>
      <c r="M898" s="15">
        <f>IF(OR('Data Entry'!A898="",$K898="",$K898=0),"",$L898/$K898)</f>
        <v/>
      </c>
      <c r="N898" s="12">
        <f>IF('Data Entry'!A898="","",IF($L898="","New item",IF($L898&gt;0,"UP",IF($L898&lt;0,"down","same"))))</f>
        <v/>
      </c>
    </row>
    <row r="899">
      <c r="A899" s="11">
        <f>IF('Data Entry'!A899="","",'Data Entry'!A899)</f>
        <v/>
      </c>
      <c r="B899" s="12">
        <f>IF('Data Entry'!A899="","",'Data Entry'!B899)</f>
        <v/>
      </c>
      <c r="C899" s="12">
        <f>IF('Data Entry'!A899="","",'Data Entry'!C899)</f>
        <v/>
      </c>
      <c r="D899" s="12">
        <f>IF('Data Entry'!A899="","",'Data Entry'!D899)</f>
        <v/>
      </c>
      <c r="E899" s="12">
        <f>IF('Data Entry'!A899="","",'Data Entry'!E899)</f>
        <v/>
      </c>
      <c r="F899" s="12">
        <f>IF('Data Entry'!A899="","",'Data Entry'!F899)</f>
        <v/>
      </c>
      <c r="G899" s="13">
        <f>IF('Data Entry'!A899="","",'Data Entry'!G899)</f>
        <v/>
      </c>
      <c r="H899" s="10">
        <f>IF('Data Entry'!A899="","",'Data Entry'!H899)</f>
        <v/>
      </c>
      <c r="I899" s="10">
        <f>IF('Data Entry'!A899="","",'Data Entry'!I899)</f>
        <v/>
      </c>
      <c r="J899" s="12">
        <f>IF('Data Entry'!A899="","",IF('Data Entry'!D899&lt;&gt;"",'Data Entry'!D899,'Data Entry'!E899))</f>
        <v/>
      </c>
      <c r="K899" s="10">
        <f>IF('Data Entry'!A899="","",IFERROR(SUMIFS($H$5:$H$2001,$J$5:$J$2001,$J899,$B$5:$B$2001,$B899,$A$5:$A$2001,(MAXIFS($A$5:$A$2001,$J$5:$J$2001,$J899,$B$5:$B$2001,$B899,$A$5:$A$2001,"&lt;"&amp;$A899))),""))</f>
        <v/>
      </c>
      <c r="L899" s="14">
        <f>IF(OR('Data Entry'!A899="",$K899=""),"",$H899-$K899)</f>
        <v/>
      </c>
      <c r="M899" s="15">
        <f>IF(OR('Data Entry'!A899="",$K899="",$K899=0),"",$L899/$K899)</f>
        <v/>
      </c>
      <c r="N899" s="12">
        <f>IF('Data Entry'!A899="","",IF($L899="","New item",IF($L899&gt;0,"UP",IF($L899&lt;0,"down","same"))))</f>
        <v/>
      </c>
    </row>
    <row r="900">
      <c r="A900" s="11">
        <f>IF('Data Entry'!A900="","",'Data Entry'!A900)</f>
        <v/>
      </c>
      <c r="B900" s="12">
        <f>IF('Data Entry'!A900="","",'Data Entry'!B900)</f>
        <v/>
      </c>
      <c r="C900" s="12">
        <f>IF('Data Entry'!A900="","",'Data Entry'!C900)</f>
        <v/>
      </c>
      <c r="D900" s="12">
        <f>IF('Data Entry'!A900="","",'Data Entry'!D900)</f>
        <v/>
      </c>
      <c r="E900" s="12">
        <f>IF('Data Entry'!A900="","",'Data Entry'!E900)</f>
        <v/>
      </c>
      <c r="F900" s="12">
        <f>IF('Data Entry'!A900="","",'Data Entry'!F900)</f>
        <v/>
      </c>
      <c r="G900" s="13">
        <f>IF('Data Entry'!A900="","",'Data Entry'!G900)</f>
        <v/>
      </c>
      <c r="H900" s="10">
        <f>IF('Data Entry'!A900="","",'Data Entry'!H900)</f>
        <v/>
      </c>
      <c r="I900" s="10">
        <f>IF('Data Entry'!A900="","",'Data Entry'!I900)</f>
        <v/>
      </c>
      <c r="J900" s="12">
        <f>IF('Data Entry'!A900="","",IF('Data Entry'!D900&lt;&gt;"",'Data Entry'!D900,'Data Entry'!E900))</f>
        <v/>
      </c>
      <c r="K900" s="10">
        <f>IF('Data Entry'!A900="","",IFERROR(SUMIFS($H$5:$H$2001,$J$5:$J$2001,$J900,$B$5:$B$2001,$B900,$A$5:$A$2001,(MAXIFS($A$5:$A$2001,$J$5:$J$2001,$J900,$B$5:$B$2001,$B900,$A$5:$A$2001,"&lt;"&amp;$A900))),""))</f>
        <v/>
      </c>
      <c r="L900" s="14">
        <f>IF(OR('Data Entry'!A900="",$K900=""),"",$H900-$K900)</f>
        <v/>
      </c>
      <c r="M900" s="15">
        <f>IF(OR('Data Entry'!A900="",$K900="",$K900=0),"",$L900/$K900)</f>
        <v/>
      </c>
      <c r="N900" s="12">
        <f>IF('Data Entry'!A900="","",IF($L900="","New item",IF($L900&gt;0,"UP",IF($L900&lt;0,"down","same"))))</f>
        <v/>
      </c>
    </row>
    <row r="901">
      <c r="A901" s="11">
        <f>IF('Data Entry'!A901="","",'Data Entry'!A901)</f>
        <v/>
      </c>
      <c r="B901" s="12">
        <f>IF('Data Entry'!A901="","",'Data Entry'!B901)</f>
        <v/>
      </c>
      <c r="C901" s="12">
        <f>IF('Data Entry'!A901="","",'Data Entry'!C901)</f>
        <v/>
      </c>
      <c r="D901" s="12">
        <f>IF('Data Entry'!A901="","",'Data Entry'!D901)</f>
        <v/>
      </c>
      <c r="E901" s="12">
        <f>IF('Data Entry'!A901="","",'Data Entry'!E901)</f>
        <v/>
      </c>
      <c r="F901" s="12">
        <f>IF('Data Entry'!A901="","",'Data Entry'!F901)</f>
        <v/>
      </c>
      <c r="G901" s="13">
        <f>IF('Data Entry'!A901="","",'Data Entry'!G901)</f>
        <v/>
      </c>
      <c r="H901" s="10">
        <f>IF('Data Entry'!A901="","",'Data Entry'!H901)</f>
        <v/>
      </c>
      <c r="I901" s="10">
        <f>IF('Data Entry'!A901="","",'Data Entry'!I901)</f>
        <v/>
      </c>
      <c r="J901" s="12">
        <f>IF('Data Entry'!A901="","",IF('Data Entry'!D901&lt;&gt;"",'Data Entry'!D901,'Data Entry'!E901))</f>
        <v/>
      </c>
      <c r="K901" s="10">
        <f>IF('Data Entry'!A901="","",IFERROR(SUMIFS($H$5:$H$2001,$J$5:$J$2001,$J901,$B$5:$B$2001,$B901,$A$5:$A$2001,(MAXIFS($A$5:$A$2001,$J$5:$J$2001,$J901,$B$5:$B$2001,$B901,$A$5:$A$2001,"&lt;"&amp;$A901))),""))</f>
        <v/>
      </c>
      <c r="L901" s="14">
        <f>IF(OR('Data Entry'!A901="",$K901=""),"",$H901-$K901)</f>
        <v/>
      </c>
      <c r="M901" s="15">
        <f>IF(OR('Data Entry'!A901="",$K901="",$K901=0),"",$L901/$K901)</f>
        <v/>
      </c>
      <c r="N901" s="12">
        <f>IF('Data Entry'!A901="","",IF($L901="","New item",IF($L901&gt;0,"UP",IF($L901&lt;0,"down","same"))))</f>
        <v/>
      </c>
    </row>
    <row r="902">
      <c r="A902" s="11">
        <f>IF('Data Entry'!A902="","",'Data Entry'!A902)</f>
        <v/>
      </c>
      <c r="B902" s="12">
        <f>IF('Data Entry'!A902="","",'Data Entry'!B902)</f>
        <v/>
      </c>
      <c r="C902" s="12">
        <f>IF('Data Entry'!A902="","",'Data Entry'!C902)</f>
        <v/>
      </c>
      <c r="D902" s="12">
        <f>IF('Data Entry'!A902="","",'Data Entry'!D902)</f>
        <v/>
      </c>
      <c r="E902" s="12">
        <f>IF('Data Entry'!A902="","",'Data Entry'!E902)</f>
        <v/>
      </c>
      <c r="F902" s="12">
        <f>IF('Data Entry'!A902="","",'Data Entry'!F902)</f>
        <v/>
      </c>
      <c r="G902" s="13">
        <f>IF('Data Entry'!A902="","",'Data Entry'!G902)</f>
        <v/>
      </c>
      <c r="H902" s="10">
        <f>IF('Data Entry'!A902="","",'Data Entry'!H902)</f>
        <v/>
      </c>
      <c r="I902" s="10">
        <f>IF('Data Entry'!A902="","",'Data Entry'!I902)</f>
        <v/>
      </c>
      <c r="J902" s="12">
        <f>IF('Data Entry'!A902="","",IF('Data Entry'!D902&lt;&gt;"",'Data Entry'!D902,'Data Entry'!E902))</f>
        <v/>
      </c>
      <c r="K902" s="10">
        <f>IF('Data Entry'!A902="","",IFERROR(SUMIFS($H$5:$H$2001,$J$5:$J$2001,$J902,$B$5:$B$2001,$B902,$A$5:$A$2001,(MAXIFS($A$5:$A$2001,$J$5:$J$2001,$J902,$B$5:$B$2001,$B902,$A$5:$A$2001,"&lt;"&amp;$A902))),""))</f>
        <v/>
      </c>
      <c r="L902" s="14">
        <f>IF(OR('Data Entry'!A902="",$K902=""),"",$H902-$K902)</f>
        <v/>
      </c>
      <c r="M902" s="15">
        <f>IF(OR('Data Entry'!A902="",$K902="",$K902=0),"",$L902/$K902)</f>
        <v/>
      </c>
      <c r="N902" s="12">
        <f>IF('Data Entry'!A902="","",IF($L902="","New item",IF($L902&gt;0,"UP",IF($L902&lt;0,"down","same"))))</f>
        <v/>
      </c>
    </row>
    <row r="903">
      <c r="A903" s="11">
        <f>IF('Data Entry'!A903="","",'Data Entry'!A903)</f>
        <v/>
      </c>
      <c r="B903" s="12">
        <f>IF('Data Entry'!A903="","",'Data Entry'!B903)</f>
        <v/>
      </c>
      <c r="C903" s="12">
        <f>IF('Data Entry'!A903="","",'Data Entry'!C903)</f>
        <v/>
      </c>
      <c r="D903" s="12">
        <f>IF('Data Entry'!A903="","",'Data Entry'!D903)</f>
        <v/>
      </c>
      <c r="E903" s="12">
        <f>IF('Data Entry'!A903="","",'Data Entry'!E903)</f>
        <v/>
      </c>
      <c r="F903" s="12">
        <f>IF('Data Entry'!A903="","",'Data Entry'!F903)</f>
        <v/>
      </c>
      <c r="G903" s="13">
        <f>IF('Data Entry'!A903="","",'Data Entry'!G903)</f>
        <v/>
      </c>
      <c r="H903" s="10">
        <f>IF('Data Entry'!A903="","",'Data Entry'!H903)</f>
        <v/>
      </c>
      <c r="I903" s="10">
        <f>IF('Data Entry'!A903="","",'Data Entry'!I903)</f>
        <v/>
      </c>
      <c r="J903" s="12">
        <f>IF('Data Entry'!A903="","",IF('Data Entry'!D903&lt;&gt;"",'Data Entry'!D903,'Data Entry'!E903))</f>
        <v/>
      </c>
      <c r="K903" s="10">
        <f>IF('Data Entry'!A903="","",IFERROR(SUMIFS($H$5:$H$2001,$J$5:$J$2001,$J903,$B$5:$B$2001,$B903,$A$5:$A$2001,(MAXIFS($A$5:$A$2001,$J$5:$J$2001,$J903,$B$5:$B$2001,$B903,$A$5:$A$2001,"&lt;"&amp;$A903))),""))</f>
        <v/>
      </c>
      <c r="L903" s="14">
        <f>IF(OR('Data Entry'!A903="",$K903=""),"",$H903-$K903)</f>
        <v/>
      </c>
      <c r="M903" s="15">
        <f>IF(OR('Data Entry'!A903="",$K903="",$K903=0),"",$L903/$K903)</f>
        <v/>
      </c>
      <c r="N903" s="12">
        <f>IF('Data Entry'!A903="","",IF($L903="","New item",IF($L903&gt;0,"UP",IF($L903&lt;0,"down","same"))))</f>
        <v/>
      </c>
    </row>
    <row r="904">
      <c r="A904" s="11">
        <f>IF('Data Entry'!A904="","",'Data Entry'!A904)</f>
        <v/>
      </c>
      <c r="B904" s="12">
        <f>IF('Data Entry'!A904="","",'Data Entry'!B904)</f>
        <v/>
      </c>
      <c r="C904" s="12">
        <f>IF('Data Entry'!A904="","",'Data Entry'!C904)</f>
        <v/>
      </c>
      <c r="D904" s="12">
        <f>IF('Data Entry'!A904="","",'Data Entry'!D904)</f>
        <v/>
      </c>
      <c r="E904" s="12">
        <f>IF('Data Entry'!A904="","",'Data Entry'!E904)</f>
        <v/>
      </c>
      <c r="F904" s="12">
        <f>IF('Data Entry'!A904="","",'Data Entry'!F904)</f>
        <v/>
      </c>
      <c r="G904" s="13">
        <f>IF('Data Entry'!A904="","",'Data Entry'!G904)</f>
        <v/>
      </c>
      <c r="H904" s="10">
        <f>IF('Data Entry'!A904="","",'Data Entry'!H904)</f>
        <v/>
      </c>
      <c r="I904" s="10">
        <f>IF('Data Entry'!A904="","",'Data Entry'!I904)</f>
        <v/>
      </c>
      <c r="J904" s="12">
        <f>IF('Data Entry'!A904="","",IF('Data Entry'!D904&lt;&gt;"",'Data Entry'!D904,'Data Entry'!E904))</f>
        <v/>
      </c>
      <c r="K904" s="10">
        <f>IF('Data Entry'!A904="","",IFERROR(SUMIFS($H$5:$H$2001,$J$5:$J$2001,$J904,$B$5:$B$2001,$B904,$A$5:$A$2001,(MAXIFS($A$5:$A$2001,$J$5:$J$2001,$J904,$B$5:$B$2001,$B904,$A$5:$A$2001,"&lt;"&amp;$A904))),""))</f>
        <v/>
      </c>
      <c r="L904" s="14">
        <f>IF(OR('Data Entry'!A904="",$K904=""),"",$H904-$K904)</f>
        <v/>
      </c>
      <c r="M904" s="15">
        <f>IF(OR('Data Entry'!A904="",$K904="",$K904=0),"",$L904/$K904)</f>
        <v/>
      </c>
      <c r="N904" s="12">
        <f>IF('Data Entry'!A904="","",IF($L904="","New item",IF($L904&gt;0,"UP",IF($L904&lt;0,"down","same"))))</f>
        <v/>
      </c>
    </row>
    <row r="905">
      <c r="A905" s="11">
        <f>IF('Data Entry'!A905="","",'Data Entry'!A905)</f>
        <v/>
      </c>
      <c r="B905" s="12">
        <f>IF('Data Entry'!A905="","",'Data Entry'!B905)</f>
        <v/>
      </c>
      <c r="C905" s="12">
        <f>IF('Data Entry'!A905="","",'Data Entry'!C905)</f>
        <v/>
      </c>
      <c r="D905" s="12">
        <f>IF('Data Entry'!A905="","",'Data Entry'!D905)</f>
        <v/>
      </c>
      <c r="E905" s="12">
        <f>IF('Data Entry'!A905="","",'Data Entry'!E905)</f>
        <v/>
      </c>
      <c r="F905" s="12">
        <f>IF('Data Entry'!A905="","",'Data Entry'!F905)</f>
        <v/>
      </c>
      <c r="G905" s="13">
        <f>IF('Data Entry'!A905="","",'Data Entry'!G905)</f>
        <v/>
      </c>
      <c r="H905" s="10">
        <f>IF('Data Entry'!A905="","",'Data Entry'!H905)</f>
        <v/>
      </c>
      <c r="I905" s="10">
        <f>IF('Data Entry'!A905="","",'Data Entry'!I905)</f>
        <v/>
      </c>
      <c r="J905" s="12">
        <f>IF('Data Entry'!A905="","",IF('Data Entry'!D905&lt;&gt;"",'Data Entry'!D905,'Data Entry'!E905))</f>
        <v/>
      </c>
      <c r="K905" s="10">
        <f>IF('Data Entry'!A905="","",IFERROR(SUMIFS($H$5:$H$2001,$J$5:$J$2001,$J905,$B$5:$B$2001,$B905,$A$5:$A$2001,(MAXIFS($A$5:$A$2001,$J$5:$J$2001,$J905,$B$5:$B$2001,$B905,$A$5:$A$2001,"&lt;"&amp;$A905))),""))</f>
        <v/>
      </c>
      <c r="L905" s="14">
        <f>IF(OR('Data Entry'!A905="",$K905=""),"",$H905-$K905)</f>
        <v/>
      </c>
      <c r="M905" s="15">
        <f>IF(OR('Data Entry'!A905="",$K905="",$K905=0),"",$L905/$K905)</f>
        <v/>
      </c>
      <c r="N905" s="12">
        <f>IF('Data Entry'!A905="","",IF($L905="","New item",IF($L905&gt;0,"UP",IF($L905&lt;0,"down","same"))))</f>
        <v/>
      </c>
    </row>
    <row r="906">
      <c r="A906" s="11">
        <f>IF('Data Entry'!A906="","",'Data Entry'!A906)</f>
        <v/>
      </c>
      <c r="B906" s="12">
        <f>IF('Data Entry'!A906="","",'Data Entry'!B906)</f>
        <v/>
      </c>
      <c r="C906" s="12">
        <f>IF('Data Entry'!A906="","",'Data Entry'!C906)</f>
        <v/>
      </c>
      <c r="D906" s="12">
        <f>IF('Data Entry'!A906="","",'Data Entry'!D906)</f>
        <v/>
      </c>
      <c r="E906" s="12">
        <f>IF('Data Entry'!A906="","",'Data Entry'!E906)</f>
        <v/>
      </c>
      <c r="F906" s="12">
        <f>IF('Data Entry'!A906="","",'Data Entry'!F906)</f>
        <v/>
      </c>
      <c r="G906" s="13">
        <f>IF('Data Entry'!A906="","",'Data Entry'!G906)</f>
        <v/>
      </c>
      <c r="H906" s="10">
        <f>IF('Data Entry'!A906="","",'Data Entry'!H906)</f>
        <v/>
      </c>
      <c r="I906" s="10">
        <f>IF('Data Entry'!A906="","",'Data Entry'!I906)</f>
        <v/>
      </c>
      <c r="J906" s="12">
        <f>IF('Data Entry'!A906="","",IF('Data Entry'!D906&lt;&gt;"",'Data Entry'!D906,'Data Entry'!E906))</f>
        <v/>
      </c>
      <c r="K906" s="10">
        <f>IF('Data Entry'!A906="","",IFERROR(SUMIFS($H$5:$H$2001,$J$5:$J$2001,$J906,$B$5:$B$2001,$B906,$A$5:$A$2001,(MAXIFS($A$5:$A$2001,$J$5:$J$2001,$J906,$B$5:$B$2001,$B906,$A$5:$A$2001,"&lt;"&amp;$A906))),""))</f>
        <v/>
      </c>
      <c r="L906" s="14">
        <f>IF(OR('Data Entry'!A906="",$K906=""),"",$H906-$K906)</f>
        <v/>
      </c>
      <c r="M906" s="15">
        <f>IF(OR('Data Entry'!A906="",$K906="",$K906=0),"",$L906/$K906)</f>
        <v/>
      </c>
      <c r="N906" s="12">
        <f>IF('Data Entry'!A906="","",IF($L906="","New item",IF($L906&gt;0,"UP",IF($L906&lt;0,"down","same"))))</f>
        <v/>
      </c>
    </row>
    <row r="907">
      <c r="A907" s="11">
        <f>IF('Data Entry'!A907="","",'Data Entry'!A907)</f>
        <v/>
      </c>
      <c r="B907" s="12">
        <f>IF('Data Entry'!A907="","",'Data Entry'!B907)</f>
        <v/>
      </c>
      <c r="C907" s="12">
        <f>IF('Data Entry'!A907="","",'Data Entry'!C907)</f>
        <v/>
      </c>
      <c r="D907" s="12">
        <f>IF('Data Entry'!A907="","",'Data Entry'!D907)</f>
        <v/>
      </c>
      <c r="E907" s="12">
        <f>IF('Data Entry'!A907="","",'Data Entry'!E907)</f>
        <v/>
      </c>
      <c r="F907" s="12">
        <f>IF('Data Entry'!A907="","",'Data Entry'!F907)</f>
        <v/>
      </c>
      <c r="G907" s="13">
        <f>IF('Data Entry'!A907="","",'Data Entry'!G907)</f>
        <v/>
      </c>
      <c r="H907" s="10">
        <f>IF('Data Entry'!A907="","",'Data Entry'!H907)</f>
        <v/>
      </c>
      <c r="I907" s="10">
        <f>IF('Data Entry'!A907="","",'Data Entry'!I907)</f>
        <v/>
      </c>
      <c r="J907" s="12">
        <f>IF('Data Entry'!A907="","",IF('Data Entry'!D907&lt;&gt;"",'Data Entry'!D907,'Data Entry'!E907))</f>
        <v/>
      </c>
      <c r="K907" s="10">
        <f>IF('Data Entry'!A907="","",IFERROR(SUMIFS($H$5:$H$2001,$J$5:$J$2001,$J907,$B$5:$B$2001,$B907,$A$5:$A$2001,(MAXIFS($A$5:$A$2001,$J$5:$J$2001,$J907,$B$5:$B$2001,$B907,$A$5:$A$2001,"&lt;"&amp;$A907))),""))</f>
        <v/>
      </c>
      <c r="L907" s="14">
        <f>IF(OR('Data Entry'!A907="",$K907=""),"",$H907-$K907)</f>
        <v/>
      </c>
      <c r="M907" s="15">
        <f>IF(OR('Data Entry'!A907="",$K907="",$K907=0),"",$L907/$K907)</f>
        <v/>
      </c>
      <c r="N907" s="12">
        <f>IF('Data Entry'!A907="","",IF($L907="","New item",IF($L907&gt;0,"UP",IF($L907&lt;0,"down","same"))))</f>
        <v/>
      </c>
    </row>
    <row r="908">
      <c r="A908" s="11">
        <f>IF('Data Entry'!A908="","",'Data Entry'!A908)</f>
        <v/>
      </c>
      <c r="B908" s="12">
        <f>IF('Data Entry'!A908="","",'Data Entry'!B908)</f>
        <v/>
      </c>
      <c r="C908" s="12">
        <f>IF('Data Entry'!A908="","",'Data Entry'!C908)</f>
        <v/>
      </c>
      <c r="D908" s="12">
        <f>IF('Data Entry'!A908="","",'Data Entry'!D908)</f>
        <v/>
      </c>
      <c r="E908" s="12">
        <f>IF('Data Entry'!A908="","",'Data Entry'!E908)</f>
        <v/>
      </c>
      <c r="F908" s="12">
        <f>IF('Data Entry'!A908="","",'Data Entry'!F908)</f>
        <v/>
      </c>
      <c r="G908" s="13">
        <f>IF('Data Entry'!A908="","",'Data Entry'!G908)</f>
        <v/>
      </c>
      <c r="H908" s="10">
        <f>IF('Data Entry'!A908="","",'Data Entry'!H908)</f>
        <v/>
      </c>
      <c r="I908" s="10">
        <f>IF('Data Entry'!A908="","",'Data Entry'!I908)</f>
        <v/>
      </c>
      <c r="J908" s="12">
        <f>IF('Data Entry'!A908="","",IF('Data Entry'!D908&lt;&gt;"",'Data Entry'!D908,'Data Entry'!E908))</f>
        <v/>
      </c>
      <c r="K908" s="10">
        <f>IF('Data Entry'!A908="","",IFERROR(SUMIFS($H$5:$H$2001,$J$5:$J$2001,$J908,$B$5:$B$2001,$B908,$A$5:$A$2001,(MAXIFS($A$5:$A$2001,$J$5:$J$2001,$J908,$B$5:$B$2001,$B908,$A$5:$A$2001,"&lt;"&amp;$A908))),""))</f>
        <v/>
      </c>
      <c r="L908" s="14">
        <f>IF(OR('Data Entry'!A908="",$K908=""),"",$H908-$K908)</f>
        <v/>
      </c>
      <c r="M908" s="15">
        <f>IF(OR('Data Entry'!A908="",$K908="",$K908=0),"",$L908/$K908)</f>
        <v/>
      </c>
      <c r="N908" s="12">
        <f>IF('Data Entry'!A908="","",IF($L908="","New item",IF($L908&gt;0,"UP",IF($L908&lt;0,"down","same"))))</f>
        <v/>
      </c>
    </row>
    <row r="909">
      <c r="A909" s="11">
        <f>IF('Data Entry'!A909="","",'Data Entry'!A909)</f>
        <v/>
      </c>
      <c r="B909" s="12">
        <f>IF('Data Entry'!A909="","",'Data Entry'!B909)</f>
        <v/>
      </c>
      <c r="C909" s="12">
        <f>IF('Data Entry'!A909="","",'Data Entry'!C909)</f>
        <v/>
      </c>
      <c r="D909" s="12">
        <f>IF('Data Entry'!A909="","",'Data Entry'!D909)</f>
        <v/>
      </c>
      <c r="E909" s="12">
        <f>IF('Data Entry'!A909="","",'Data Entry'!E909)</f>
        <v/>
      </c>
      <c r="F909" s="12">
        <f>IF('Data Entry'!A909="","",'Data Entry'!F909)</f>
        <v/>
      </c>
      <c r="G909" s="13">
        <f>IF('Data Entry'!A909="","",'Data Entry'!G909)</f>
        <v/>
      </c>
      <c r="H909" s="10">
        <f>IF('Data Entry'!A909="","",'Data Entry'!H909)</f>
        <v/>
      </c>
      <c r="I909" s="10">
        <f>IF('Data Entry'!A909="","",'Data Entry'!I909)</f>
        <v/>
      </c>
      <c r="J909" s="12">
        <f>IF('Data Entry'!A909="","",IF('Data Entry'!D909&lt;&gt;"",'Data Entry'!D909,'Data Entry'!E909))</f>
        <v/>
      </c>
      <c r="K909" s="10">
        <f>IF('Data Entry'!A909="","",IFERROR(SUMIFS($H$5:$H$2001,$J$5:$J$2001,$J909,$B$5:$B$2001,$B909,$A$5:$A$2001,(MAXIFS($A$5:$A$2001,$J$5:$J$2001,$J909,$B$5:$B$2001,$B909,$A$5:$A$2001,"&lt;"&amp;$A909))),""))</f>
        <v/>
      </c>
      <c r="L909" s="14">
        <f>IF(OR('Data Entry'!A909="",$K909=""),"",$H909-$K909)</f>
        <v/>
      </c>
      <c r="M909" s="15">
        <f>IF(OR('Data Entry'!A909="",$K909="",$K909=0),"",$L909/$K909)</f>
        <v/>
      </c>
      <c r="N909" s="12">
        <f>IF('Data Entry'!A909="","",IF($L909="","New item",IF($L909&gt;0,"UP",IF($L909&lt;0,"down","same"))))</f>
        <v/>
      </c>
    </row>
    <row r="910">
      <c r="A910" s="11">
        <f>IF('Data Entry'!A910="","",'Data Entry'!A910)</f>
        <v/>
      </c>
      <c r="B910" s="12">
        <f>IF('Data Entry'!A910="","",'Data Entry'!B910)</f>
        <v/>
      </c>
      <c r="C910" s="12">
        <f>IF('Data Entry'!A910="","",'Data Entry'!C910)</f>
        <v/>
      </c>
      <c r="D910" s="12">
        <f>IF('Data Entry'!A910="","",'Data Entry'!D910)</f>
        <v/>
      </c>
      <c r="E910" s="12">
        <f>IF('Data Entry'!A910="","",'Data Entry'!E910)</f>
        <v/>
      </c>
      <c r="F910" s="12">
        <f>IF('Data Entry'!A910="","",'Data Entry'!F910)</f>
        <v/>
      </c>
      <c r="G910" s="13">
        <f>IF('Data Entry'!A910="","",'Data Entry'!G910)</f>
        <v/>
      </c>
      <c r="H910" s="10">
        <f>IF('Data Entry'!A910="","",'Data Entry'!H910)</f>
        <v/>
      </c>
      <c r="I910" s="10">
        <f>IF('Data Entry'!A910="","",'Data Entry'!I910)</f>
        <v/>
      </c>
      <c r="J910" s="12">
        <f>IF('Data Entry'!A910="","",IF('Data Entry'!D910&lt;&gt;"",'Data Entry'!D910,'Data Entry'!E910))</f>
        <v/>
      </c>
      <c r="K910" s="10">
        <f>IF('Data Entry'!A910="","",IFERROR(SUMIFS($H$5:$H$2001,$J$5:$J$2001,$J910,$B$5:$B$2001,$B910,$A$5:$A$2001,(MAXIFS($A$5:$A$2001,$J$5:$J$2001,$J910,$B$5:$B$2001,$B910,$A$5:$A$2001,"&lt;"&amp;$A910))),""))</f>
        <v/>
      </c>
      <c r="L910" s="14">
        <f>IF(OR('Data Entry'!A910="",$K910=""),"",$H910-$K910)</f>
        <v/>
      </c>
      <c r="M910" s="15">
        <f>IF(OR('Data Entry'!A910="",$K910="",$K910=0),"",$L910/$K910)</f>
        <v/>
      </c>
      <c r="N910" s="12">
        <f>IF('Data Entry'!A910="","",IF($L910="","New item",IF($L910&gt;0,"UP",IF($L910&lt;0,"down","same"))))</f>
        <v/>
      </c>
    </row>
    <row r="911">
      <c r="A911" s="11">
        <f>IF('Data Entry'!A911="","",'Data Entry'!A911)</f>
        <v/>
      </c>
      <c r="B911" s="12">
        <f>IF('Data Entry'!A911="","",'Data Entry'!B911)</f>
        <v/>
      </c>
      <c r="C911" s="12">
        <f>IF('Data Entry'!A911="","",'Data Entry'!C911)</f>
        <v/>
      </c>
      <c r="D911" s="12">
        <f>IF('Data Entry'!A911="","",'Data Entry'!D911)</f>
        <v/>
      </c>
      <c r="E911" s="12">
        <f>IF('Data Entry'!A911="","",'Data Entry'!E911)</f>
        <v/>
      </c>
      <c r="F911" s="12">
        <f>IF('Data Entry'!A911="","",'Data Entry'!F911)</f>
        <v/>
      </c>
      <c r="G911" s="13">
        <f>IF('Data Entry'!A911="","",'Data Entry'!G911)</f>
        <v/>
      </c>
      <c r="H911" s="10">
        <f>IF('Data Entry'!A911="","",'Data Entry'!H911)</f>
        <v/>
      </c>
      <c r="I911" s="10">
        <f>IF('Data Entry'!A911="","",'Data Entry'!I911)</f>
        <v/>
      </c>
      <c r="J911" s="12">
        <f>IF('Data Entry'!A911="","",IF('Data Entry'!D911&lt;&gt;"",'Data Entry'!D911,'Data Entry'!E911))</f>
        <v/>
      </c>
      <c r="K911" s="10">
        <f>IF('Data Entry'!A911="","",IFERROR(SUMIFS($H$5:$H$2001,$J$5:$J$2001,$J911,$B$5:$B$2001,$B911,$A$5:$A$2001,(MAXIFS($A$5:$A$2001,$J$5:$J$2001,$J911,$B$5:$B$2001,$B911,$A$5:$A$2001,"&lt;"&amp;$A911))),""))</f>
        <v/>
      </c>
      <c r="L911" s="14">
        <f>IF(OR('Data Entry'!A911="",$K911=""),"",$H911-$K911)</f>
        <v/>
      </c>
      <c r="M911" s="15">
        <f>IF(OR('Data Entry'!A911="",$K911="",$K911=0),"",$L911/$K911)</f>
        <v/>
      </c>
      <c r="N911" s="12">
        <f>IF('Data Entry'!A911="","",IF($L911="","New item",IF($L911&gt;0,"UP",IF($L911&lt;0,"down","same"))))</f>
        <v/>
      </c>
    </row>
    <row r="912">
      <c r="A912" s="11">
        <f>IF('Data Entry'!A912="","",'Data Entry'!A912)</f>
        <v/>
      </c>
      <c r="B912" s="12">
        <f>IF('Data Entry'!A912="","",'Data Entry'!B912)</f>
        <v/>
      </c>
      <c r="C912" s="12">
        <f>IF('Data Entry'!A912="","",'Data Entry'!C912)</f>
        <v/>
      </c>
      <c r="D912" s="12">
        <f>IF('Data Entry'!A912="","",'Data Entry'!D912)</f>
        <v/>
      </c>
      <c r="E912" s="12">
        <f>IF('Data Entry'!A912="","",'Data Entry'!E912)</f>
        <v/>
      </c>
      <c r="F912" s="12">
        <f>IF('Data Entry'!A912="","",'Data Entry'!F912)</f>
        <v/>
      </c>
      <c r="G912" s="13">
        <f>IF('Data Entry'!A912="","",'Data Entry'!G912)</f>
        <v/>
      </c>
      <c r="H912" s="10">
        <f>IF('Data Entry'!A912="","",'Data Entry'!H912)</f>
        <v/>
      </c>
      <c r="I912" s="10">
        <f>IF('Data Entry'!A912="","",'Data Entry'!I912)</f>
        <v/>
      </c>
      <c r="J912" s="12">
        <f>IF('Data Entry'!A912="","",IF('Data Entry'!D912&lt;&gt;"",'Data Entry'!D912,'Data Entry'!E912))</f>
        <v/>
      </c>
      <c r="K912" s="10">
        <f>IF('Data Entry'!A912="","",IFERROR(SUMIFS($H$5:$H$2001,$J$5:$J$2001,$J912,$B$5:$B$2001,$B912,$A$5:$A$2001,(MAXIFS($A$5:$A$2001,$J$5:$J$2001,$J912,$B$5:$B$2001,$B912,$A$5:$A$2001,"&lt;"&amp;$A912))),""))</f>
        <v/>
      </c>
      <c r="L912" s="14">
        <f>IF(OR('Data Entry'!A912="",$K912=""),"",$H912-$K912)</f>
        <v/>
      </c>
      <c r="M912" s="15">
        <f>IF(OR('Data Entry'!A912="",$K912="",$K912=0),"",$L912/$K912)</f>
        <v/>
      </c>
      <c r="N912" s="12">
        <f>IF('Data Entry'!A912="","",IF($L912="","New item",IF($L912&gt;0,"UP",IF($L912&lt;0,"down","same"))))</f>
        <v/>
      </c>
    </row>
    <row r="913">
      <c r="A913" s="11">
        <f>IF('Data Entry'!A913="","",'Data Entry'!A913)</f>
        <v/>
      </c>
      <c r="B913" s="12">
        <f>IF('Data Entry'!A913="","",'Data Entry'!B913)</f>
        <v/>
      </c>
      <c r="C913" s="12">
        <f>IF('Data Entry'!A913="","",'Data Entry'!C913)</f>
        <v/>
      </c>
      <c r="D913" s="12">
        <f>IF('Data Entry'!A913="","",'Data Entry'!D913)</f>
        <v/>
      </c>
      <c r="E913" s="12">
        <f>IF('Data Entry'!A913="","",'Data Entry'!E913)</f>
        <v/>
      </c>
      <c r="F913" s="12">
        <f>IF('Data Entry'!A913="","",'Data Entry'!F913)</f>
        <v/>
      </c>
      <c r="G913" s="13">
        <f>IF('Data Entry'!A913="","",'Data Entry'!G913)</f>
        <v/>
      </c>
      <c r="H913" s="10">
        <f>IF('Data Entry'!A913="","",'Data Entry'!H913)</f>
        <v/>
      </c>
      <c r="I913" s="10">
        <f>IF('Data Entry'!A913="","",'Data Entry'!I913)</f>
        <v/>
      </c>
      <c r="J913" s="12">
        <f>IF('Data Entry'!A913="","",IF('Data Entry'!D913&lt;&gt;"",'Data Entry'!D913,'Data Entry'!E913))</f>
        <v/>
      </c>
      <c r="K913" s="10">
        <f>IF('Data Entry'!A913="","",IFERROR(SUMIFS($H$5:$H$2001,$J$5:$J$2001,$J913,$B$5:$B$2001,$B913,$A$5:$A$2001,(MAXIFS($A$5:$A$2001,$J$5:$J$2001,$J913,$B$5:$B$2001,$B913,$A$5:$A$2001,"&lt;"&amp;$A913))),""))</f>
        <v/>
      </c>
      <c r="L913" s="14">
        <f>IF(OR('Data Entry'!A913="",$K913=""),"",$H913-$K913)</f>
        <v/>
      </c>
      <c r="M913" s="15">
        <f>IF(OR('Data Entry'!A913="",$K913="",$K913=0),"",$L913/$K913)</f>
        <v/>
      </c>
      <c r="N913" s="12">
        <f>IF('Data Entry'!A913="","",IF($L913="","New item",IF($L913&gt;0,"UP",IF($L913&lt;0,"down","same"))))</f>
        <v/>
      </c>
    </row>
    <row r="914">
      <c r="A914" s="11">
        <f>IF('Data Entry'!A914="","",'Data Entry'!A914)</f>
        <v/>
      </c>
      <c r="B914" s="12">
        <f>IF('Data Entry'!A914="","",'Data Entry'!B914)</f>
        <v/>
      </c>
      <c r="C914" s="12">
        <f>IF('Data Entry'!A914="","",'Data Entry'!C914)</f>
        <v/>
      </c>
      <c r="D914" s="12">
        <f>IF('Data Entry'!A914="","",'Data Entry'!D914)</f>
        <v/>
      </c>
      <c r="E914" s="12">
        <f>IF('Data Entry'!A914="","",'Data Entry'!E914)</f>
        <v/>
      </c>
      <c r="F914" s="12">
        <f>IF('Data Entry'!A914="","",'Data Entry'!F914)</f>
        <v/>
      </c>
      <c r="G914" s="13">
        <f>IF('Data Entry'!A914="","",'Data Entry'!G914)</f>
        <v/>
      </c>
      <c r="H914" s="10">
        <f>IF('Data Entry'!A914="","",'Data Entry'!H914)</f>
        <v/>
      </c>
      <c r="I914" s="10">
        <f>IF('Data Entry'!A914="","",'Data Entry'!I914)</f>
        <v/>
      </c>
      <c r="J914" s="12">
        <f>IF('Data Entry'!A914="","",IF('Data Entry'!D914&lt;&gt;"",'Data Entry'!D914,'Data Entry'!E914))</f>
        <v/>
      </c>
      <c r="K914" s="10">
        <f>IF('Data Entry'!A914="","",IFERROR(SUMIFS($H$5:$H$2001,$J$5:$J$2001,$J914,$B$5:$B$2001,$B914,$A$5:$A$2001,(MAXIFS($A$5:$A$2001,$J$5:$J$2001,$J914,$B$5:$B$2001,$B914,$A$5:$A$2001,"&lt;"&amp;$A914))),""))</f>
        <v/>
      </c>
      <c r="L914" s="14">
        <f>IF(OR('Data Entry'!A914="",$K914=""),"",$H914-$K914)</f>
        <v/>
      </c>
      <c r="M914" s="15">
        <f>IF(OR('Data Entry'!A914="",$K914="",$K914=0),"",$L914/$K914)</f>
        <v/>
      </c>
      <c r="N914" s="12">
        <f>IF('Data Entry'!A914="","",IF($L914="","New item",IF($L914&gt;0,"UP",IF($L914&lt;0,"down","same"))))</f>
        <v/>
      </c>
    </row>
    <row r="915">
      <c r="A915" s="11">
        <f>IF('Data Entry'!A915="","",'Data Entry'!A915)</f>
        <v/>
      </c>
      <c r="B915" s="12">
        <f>IF('Data Entry'!A915="","",'Data Entry'!B915)</f>
        <v/>
      </c>
      <c r="C915" s="12">
        <f>IF('Data Entry'!A915="","",'Data Entry'!C915)</f>
        <v/>
      </c>
      <c r="D915" s="12">
        <f>IF('Data Entry'!A915="","",'Data Entry'!D915)</f>
        <v/>
      </c>
      <c r="E915" s="12">
        <f>IF('Data Entry'!A915="","",'Data Entry'!E915)</f>
        <v/>
      </c>
      <c r="F915" s="12">
        <f>IF('Data Entry'!A915="","",'Data Entry'!F915)</f>
        <v/>
      </c>
      <c r="G915" s="13">
        <f>IF('Data Entry'!A915="","",'Data Entry'!G915)</f>
        <v/>
      </c>
      <c r="H915" s="10">
        <f>IF('Data Entry'!A915="","",'Data Entry'!H915)</f>
        <v/>
      </c>
      <c r="I915" s="10">
        <f>IF('Data Entry'!A915="","",'Data Entry'!I915)</f>
        <v/>
      </c>
      <c r="J915" s="12">
        <f>IF('Data Entry'!A915="","",IF('Data Entry'!D915&lt;&gt;"",'Data Entry'!D915,'Data Entry'!E915))</f>
        <v/>
      </c>
      <c r="K915" s="10">
        <f>IF('Data Entry'!A915="","",IFERROR(SUMIFS($H$5:$H$2001,$J$5:$J$2001,$J915,$B$5:$B$2001,$B915,$A$5:$A$2001,(MAXIFS($A$5:$A$2001,$J$5:$J$2001,$J915,$B$5:$B$2001,$B915,$A$5:$A$2001,"&lt;"&amp;$A915))),""))</f>
        <v/>
      </c>
      <c r="L915" s="14">
        <f>IF(OR('Data Entry'!A915="",$K915=""),"",$H915-$K915)</f>
        <v/>
      </c>
      <c r="M915" s="15">
        <f>IF(OR('Data Entry'!A915="",$K915="",$K915=0),"",$L915/$K915)</f>
        <v/>
      </c>
      <c r="N915" s="12">
        <f>IF('Data Entry'!A915="","",IF($L915="","New item",IF($L915&gt;0,"UP",IF($L915&lt;0,"down","same"))))</f>
        <v/>
      </c>
    </row>
    <row r="916">
      <c r="A916" s="11">
        <f>IF('Data Entry'!A916="","",'Data Entry'!A916)</f>
        <v/>
      </c>
      <c r="B916" s="12">
        <f>IF('Data Entry'!A916="","",'Data Entry'!B916)</f>
        <v/>
      </c>
      <c r="C916" s="12">
        <f>IF('Data Entry'!A916="","",'Data Entry'!C916)</f>
        <v/>
      </c>
      <c r="D916" s="12">
        <f>IF('Data Entry'!A916="","",'Data Entry'!D916)</f>
        <v/>
      </c>
      <c r="E916" s="12">
        <f>IF('Data Entry'!A916="","",'Data Entry'!E916)</f>
        <v/>
      </c>
      <c r="F916" s="12">
        <f>IF('Data Entry'!A916="","",'Data Entry'!F916)</f>
        <v/>
      </c>
      <c r="G916" s="13">
        <f>IF('Data Entry'!A916="","",'Data Entry'!G916)</f>
        <v/>
      </c>
      <c r="H916" s="10">
        <f>IF('Data Entry'!A916="","",'Data Entry'!H916)</f>
        <v/>
      </c>
      <c r="I916" s="10">
        <f>IF('Data Entry'!A916="","",'Data Entry'!I916)</f>
        <v/>
      </c>
      <c r="J916" s="12">
        <f>IF('Data Entry'!A916="","",IF('Data Entry'!D916&lt;&gt;"",'Data Entry'!D916,'Data Entry'!E916))</f>
        <v/>
      </c>
      <c r="K916" s="10">
        <f>IF('Data Entry'!A916="","",IFERROR(SUMIFS($H$5:$H$2001,$J$5:$J$2001,$J916,$B$5:$B$2001,$B916,$A$5:$A$2001,(MAXIFS($A$5:$A$2001,$J$5:$J$2001,$J916,$B$5:$B$2001,$B916,$A$5:$A$2001,"&lt;"&amp;$A916))),""))</f>
        <v/>
      </c>
      <c r="L916" s="14">
        <f>IF(OR('Data Entry'!A916="",$K916=""),"",$H916-$K916)</f>
        <v/>
      </c>
      <c r="M916" s="15">
        <f>IF(OR('Data Entry'!A916="",$K916="",$K916=0),"",$L916/$K916)</f>
        <v/>
      </c>
      <c r="N916" s="12">
        <f>IF('Data Entry'!A916="","",IF($L916="","New item",IF($L916&gt;0,"UP",IF($L916&lt;0,"down","same"))))</f>
        <v/>
      </c>
    </row>
    <row r="917">
      <c r="A917" s="11">
        <f>IF('Data Entry'!A917="","",'Data Entry'!A917)</f>
        <v/>
      </c>
      <c r="B917" s="12">
        <f>IF('Data Entry'!A917="","",'Data Entry'!B917)</f>
        <v/>
      </c>
      <c r="C917" s="12">
        <f>IF('Data Entry'!A917="","",'Data Entry'!C917)</f>
        <v/>
      </c>
      <c r="D917" s="12">
        <f>IF('Data Entry'!A917="","",'Data Entry'!D917)</f>
        <v/>
      </c>
      <c r="E917" s="12">
        <f>IF('Data Entry'!A917="","",'Data Entry'!E917)</f>
        <v/>
      </c>
      <c r="F917" s="12">
        <f>IF('Data Entry'!A917="","",'Data Entry'!F917)</f>
        <v/>
      </c>
      <c r="G917" s="13">
        <f>IF('Data Entry'!A917="","",'Data Entry'!G917)</f>
        <v/>
      </c>
      <c r="H917" s="10">
        <f>IF('Data Entry'!A917="","",'Data Entry'!H917)</f>
        <v/>
      </c>
      <c r="I917" s="10">
        <f>IF('Data Entry'!A917="","",'Data Entry'!I917)</f>
        <v/>
      </c>
      <c r="J917" s="12">
        <f>IF('Data Entry'!A917="","",IF('Data Entry'!D917&lt;&gt;"",'Data Entry'!D917,'Data Entry'!E917))</f>
        <v/>
      </c>
      <c r="K917" s="10">
        <f>IF('Data Entry'!A917="","",IFERROR(SUMIFS($H$5:$H$2001,$J$5:$J$2001,$J917,$B$5:$B$2001,$B917,$A$5:$A$2001,(MAXIFS($A$5:$A$2001,$J$5:$J$2001,$J917,$B$5:$B$2001,$B917,$A$5:$A$2001,"&lt;"&amp;$A917))),""))</f>
        <v/>
      </c>
      <c r="L917" s="14">
        <f>IF(OR('Data Entry'!A917="",$K917=""),"",$H917-$K917)</f>
        <v/>
      </c>
      <c r="M917" s="15">
        <f>IF(OR('Data Entry'!A917="",$K917="",$K917=0),"",$L917/$K917)</f>
        <v/>
      </c>
      <c r="N917" s="12">
        <f>IF('Data Entry'!A917="","",IF($L917="","New item",IF($L917&gt;0,"UP",IF($L917&lt;0,"down","same"))))</f>
        <v/>
      </c>
    </row>
    <row r="918">
      <c r="A918" s="11">
        <f>IF('Data Entry'!A918="","",'Data Entry'!A918)</f>
        <v/>
      </c>
      <c r="B918" s="12">
        <f>IF('Data Entry'!A918="","",'Data Entry'!B918)</f>
        <v/>
      </c>
      <c r="C918" s="12">
        <f>IF('Data Entry'!A918="","",'Data Entry'!C918)</f>
        <v/>
      </c>
      <c r="D918" s="12">
        <f>IF('Data Entry'!A918="","",'Data Entry'!D918)</f>
        <v/>
      </c>
      <c r="E918" s="12">
        <f>IF('Data Entry'!A918="","",'Data Entry'!E918)</f>
        <v/>
      </c>
      <c r="F918" s="12">
        <f>IF('Data Entry'!A918="","",'Data Entry'!F918)</f>
        <v/>
      </c>
      <c r="G918" s="13">
        <f>IF('Data Entry'!A918="","",'Data Entry'!G918)</f>
        <v/>
      </c>
      <c r="H918" s="10">
        <f>IF('Data Entry'!A918="","",'Data Entry'!H918)</f>
        <v/>
      </c>
      <c r="I918" s="10">
        <f>IF('Data Entry'!A918="","",'Data Entry'!I918)</f>
        <v/>
      </c>
      <c r="J918" s="12">
        <f>IF('Data Entry'!A918="","",IF('Data Entry'!D918&lt;&gt;"",'Data Entry'!D918,'Data Entry'!E918))</f>
        <v/>
      </c>
      <c r="K918" s="10">
        <f>IF('Data Entry'!A918="","",IFERROR(SUMIFS($H$5:$H$2001,$J$5:$J$2001,$J918,$B$5:$B$2001,$B918,$A$5:$A$2001,(MAXIFS($A$5:$A$2001,$J$5:$J$2001,$J918,$B$5:$B$2001,$B918,$A$5:$A$2001,"&lt;"&amp;$A918))),""))</f>
        <v/>
      </c>
      <c r="L918" s="14">
        <f>IF(OR('Data Entry'!A918="",$K918=""),"",$H918-$K918)</f>
        <v/>
      </c>
      <c r="M918" s="15">
        <f>IF(OR('Data Entry'!A918="",$K918="",$K918=0),"",$L918/$K918)</f>
        <v/>
      </c>
      <c r="N918" s="12">
        <f>IF('Data Entry'!A918="","",IF($L918="","New item",IF($L918&gt;0,"UP",IF($L918&lt;0,"down","same"))))</f>
        <v/>
      </c>
    </row>
    <row r="919">
      <c r="A919" s="11">
        <f>IF('Data Entry'!A919="","",'Data Entry'!A919)</f>
        <v/>
      </c>
      <c r="B919" s="12">
        <f>IF('Data Entry'!A919="","",'Data Entry'!B919)</f>
        <v/>
      </c>
      <c r="C919" s="12">
        <f>IF('Data Entry'!A919="","",'Data Entry'!C919)</f>
        <v/>
      </c>
      <c r="D919" s="12">
        <f>IF('Data Entry'!A919="","",'Data Entry'!D919)</f>
        <v/>
      </c>
      <c r="E919" s="12">
        <f>IF('Data Entry'!A919="","",'Data Entry'!E919)</f>
        <v/>
      </c>
      <c r="F919" s="12">
        <f>IF('Data Entry'!A919="","",'Data Entry'!F919)</f>
        <v/>
      </c>
      <c r="G919" s="13">
        <f>IF('Data Entry'!A919="","",'Data Entry'!G919)</f>
        <v/>
      </c>
      <c r="H919" s="10">
        <f>IF('Data Entry'!A919="","",'Data Entry'!H919)</f>
        <v/>
      </c>
      <c r="I919" s="10">
        <f>IF('Data Entry'!A919="","",'Data Entry'!I919)</f>
        <v/>
      </c>
      <c r="J919" s="12">
        <f>IF('Data Entry'!A919="","",IF('Data Entry'!D919&lt;&gt;"",'Data Entry'!D919,'Data Entry'!E919))</f>
        <v/>
      </c>
      <c r="K919" s="10">
        <f>IF('Data Entry'!A919="","",IFERROR(SUMIFS($H$5:$H$2001,$J$5:$J$2001,$J919,$B$5:$B$2001,$B919,$A$5:$A$2001,(MAXIFS($A$5:$A$2001,$J$5:$J$2001,$J919,$B$5:$B$2001,$B919,$A$5:$A$2001,"&lt;"&amp;$A919))),""))</f>
        <v/>
      </c>
      <c r="L919" s="14">
        <f>IF(OR('Data Entry'!A919="",$K919=""),"",$H919-$K919)</f>
        <v/>
      </c>
      <c r="M919" s="15">
        <f>IF(OR('Data Entry'!A919="",$K919="",$K919=0),"",$L919/$K919)</f>
        <v/>
      </c>
      <c r="N919" s="12">
        <f>IF('Data Entry'!A919="","",IF($L919="","New item",IF($L919&gt;0,"UP",IF($L919&lt;0,"down","same"))))</f>
        <v/>
      </c>
    </row>
    <row r="920">
      <c r="A920" s="11">
        <f>IF('Data Entry'!A920="","",'Data Entry'!A920)</f>
        <v/>
      </c>
      <c r="B920" s="12">
        <f>IF('Data Entry'!A920="","",'Data Entry'!B920)</f>
        <v/>
      </c>
      <c r="C920" s="12">
        <f>IF('Data Entry'!A920="","",'Data Entry'!C920)</f>
        <v/>
      </c>
      <c r="D920" s="12">
        <f>IF('Data Entry'!A920="","",'Data Entry'!D920)</f>
        <v/>
      </c>
      <c r="E920" s="12">
        <f>IF('Data Entry'!A920="","",'Data Entry'!E920)</f>
        <v/>
      </c>
      <c r="F920" s="12">
        <f>IF('Data Entry'!A920="","",'Data Entry'!F920)</f>
        <v/>
      </c>
      <c r="G920" s="13">
        <f>IF('Data Entry'!A920="","",'Data Entry'!G920)</f>
        <v/>
      </c>
      <c r="H920" s="10">
        <f>IF('Data Entry'!A920="","",'Data Entry'!H920)</f>
        <v/>
      </c>
      <c r="I920" s="10">
        <f>IF('Data Entry'!A920="","",'Data Entry'!I920)</f>
        <v/>
      </c>
      <c r="J920" s="12">
        <f>IF('Data Entry'!A920="","",IF('Data Entry'!D920&lt;&gt;"",'Data Entry'!D920,'Data Entry'!E920))</f>
        <v/>
      </c>
      <c r="K920" s="10">
        <f>IF('Data Entry'!A920="","",IFERROR(SUMIFS($H$5:$H$2001,$J$5:$J$2001,$J920,$B$5:$B$2001,$B920,$A$5:$A$2001,(MAXIFS($A$5:$A$2001,$J$5:$J$2001,$J920,$B$5:$B$2001,$B920,$A$5:$A$2001,"&lt;"&amp;$A920))),""))</f>
        <v/>
      </c>
      <c r="L920" s="14">
        <f>IF(OR('Data Entry'!A920="",$K920=""),"",$H920-$K920)</f>
        <v/>
      </c>
      <c r="M920" s="15">
        <f>IF(OR('Data Entry'!A920="",$K920="",$K920=0),"",$L920/$K920)</f>
        <v/>
      </c>
      <c r="N920" s="12">
        <f>IF('Data Entry'!A920="","",IF($L920="","New item",IF($L920&gt;0,"UP",IF($L920&lt;0,"down","same"))))</f>
        <v/>
      </c>
    </row>
    <row r="921">
      <c r="A921" s="11">
        <f>IF('Data Entry'!A921="","",'Data Entry'!A921)</f>
        <v/>
      </c>
      <c r="B921" s="12">
        <f>IF('Data Entry'!A921="","",'Data Entry'!B921)</f>
        <v/>
      </c>
      <c r="C921" s="12">
        <f>IF('Data Entry'!A921="","",'Data Entry'!C921)</f>
        <v/>
      </c>
      <c r="D921" s="12">
        <f>IF('Data Entry'!A921="","",'Data Entry'!D921)</f>
        <v/>
      </c>
      <c r="E921" s="12">
        <f>IF('Data Entry'!A921="","",'Data Entry'!E921)</f>
        <v/>
      </c>
      <c r="F921" s="12">
        <f>IF('Data Entry'!A921="","",'Data Entry'!F921)</f>
        <v/>
      </c>
      <c r="G921" s="13">
        <f>IF('Data Entry'!A921="","",'Data Entry'!G921)</f>
        <v/>
      </c>
      <c r="H921" s="10">
        <f>IF('Data Entry'!A921="","",'Data Entry'!H921)</f>
        <v/>
      </c>
      <c r="I921" s="10">
        <f>IF('Data Entry'!A921="","",'Data Entry'!I921)</f>
        <v/>
      </c>
      <c r="J921" s="12">
        <f>IF('Data Entry'!A921="","",IF('Data Entry'!D921&lt;&gt;"",'Data Entry'!D921,'Data Entry'!E921))</f>
        <v/>
      </c>
      <c r="K921" s="10">
        <f>IF('Data Entry'!A921="","",IFERROR(SUMIFS($H$5:$H$2001,$J$5:$J$2001,$J921,$B$5:$B$2001,$B921,$A$5:$A$2001,(MAXIFS($A$5:$A$2001,$J$5:$J$2001,$J921,$B$5:$B$2001,$B921,$A$5:$A$2001,"&lt;"&amp;$A921))),""))</f>
        <v/>
      </c>
      <c r="L921" s="14">
        <f>IF(OR('Data Entry'!A921="",$K921=""),"",$H921-$K921)</f>
        <v/>
      </c>
      <c r="M921" s="15">
        <f>IF(OR('Data Entry'!A921="",$K921="",$K921=0),"",$L921/$K921)</f>
        <v/>
      </c>
      <c r="N921" s="12">
        <f>IF('Data Entry'!A921="","",IF($L921="","New item",IF($L921&gt;0,"UP",IF($L921&lt;0,"down","same"))))</f>
        <v/>
      </c>
    </row>
    <row r="922">
      <c r="A922" s="11">
        <f>IF('Data Entry'!A922="","",'Data Entry'!A922)</f>
        <v/>
      </c>
      <c r="B922" s="12">
        <f>IF('Data Entry'!A922="","",'Data Entry'!B922)</f>
        <v/>
      </c>
      <c r="C922" s="12">
        <f>IF('Data Entry'!A922="","",'Data Entry'!C922)</f>
        <v/>
      </c>
      <c r="D922" s="12">
        <f>IF('Data Entry'!A922="","",'Data Entry'!D922)</f>
        <v/>
      </c>
      <c r="E922" s="12">
        <f>IF('Data Entry'!A922="","",'Data Entry'!E922)</f>
        <v/>
      </c>
      <c r="F922" s="12">
        <f>IF('Data Entry'!A922="","",'Data Entry'!F922)</f>
        <v/>
      </c>
      <c r="G922" s="13">
        <f>IF('Data Entry'!A922="","",'Data Entry'!G922)</f>
        <v/>
      </c>
      <c r="H922" s="10">
        <f>IF('Data Entry'!A922="","",'Data Entry'!H922)</f>
        <v/>
      </c>
      <c r="I922" s="10">
        <f>IF('Data Entry'!A922="","",'Data Entry'!I922)</f>
        <v/>
      </c>
      <c r="J922" s="12">
        <f>IF('Data Entry'!A922="","",IF('Data Entry'!D922&lt;&gt;"",'Data Entry'!D922,'Data Entry'!E922))</f>
        <v/>
      </c>
      <c r="K922" s="10">
        <f>IF('Data Entry'!A922="","",IFERROR(SUMIFS($H$5:$H$2001,$J$5:$J$2001,$J922,$B$5:$B$2001,$B922,$A$5:$A$2001,(MAXIFS($A$5:$A$2001,$J$5:$J$2001,$J922,$B$5:$B$2001,$B922,$A$5:$A$2001,"&lt;"&amp;$A922))),""))</f>
        <v/>
      </c>
      <c r="L922" s="14">
        <f>IF(OR('Data Entry'!A922="",$K922=""),"",$H922-$K922)</f>
        <v/>
      </c>
      <c r="M922" s="15">
        <f>IF(OR('Data Entry'!A922="",$K922="",$K922=0),"",$L922/$K922)</f>
        <v/>
      </c>
      <c r="N922" s="12">
        <f>IF('Data Entry'!A922="","",IF($L922="","New item",IF($L922&gt;0,"UP",IF($L922&lt;0,"down","same"))))</f>
        <v/>
      </c>
    </row>
    <row r="923">
      <c r="A923" s="11">
        <f>IF('Data Entry'!A923="","",'Data Entry'!A923)</f>
        <v/>
      </c>
      <c r="B923" s="12">
        <f>IF('Data Entry'!A923="","",'Data Entry'!B923)</f>
        <v/>
      </c>
      <c r="C923" s="12">
        <f>IF('Data Entry'!A923="","",'Data Entry'!C923)</f>
        <v/>
      </c>
      <c r="D923" s="12">
        <f>IF('Data Entry'!A923="","",'Data Entry'!D923)</f>
        <v/>
      </c>
      <c r="E923" s="12">
        <f>IF('Data Entry'!A923="","",'Data Entry'!E923)</f>
        <v/>
      </c>
      <c r="F923" s="12">
        <f>IF('Data Entry'!A923="","",'Data Entry'!F923)</f>
        <v/>
      </c>
      <c r="G923" s="13">
        <f>IF('Data Entry'!A923="","",'Data Entry'!G923)</f>
        <v/>
      </c>
      <c r="H923" s="10">
        <f>IF('Data Entry'!A923="","",'Data Entry'!H923)</f>
        <v/>
      </c>
      <c r="I923" s="10">
        <f>IF('Data Entry'!A923="","",'Data Entry'!I923)</f>
        <v/>
      </c>
      <c r="J923" s="12">
        <f>IF('Data Entry'!A923="","",IF('Data Entry'!D923&lt;&gt;"",'Data Entry'!D923,'Data Entry'!E923))</f>
        <v/>
      </c>
      <c r="K923" s="10">
        <f>IF('Data Entry'!A923="","",IFERROR(SUMIFS($H$5:$H$2001,$J$5:$J$2001,$J923,$B$5:$B$2001,$B923,$A$5:$A$2001,(MAXIFS($A$5:$A$2001,$J$5:$J$2001,$J923,$B$5:$B$2001,$B923,$A$5:$A$2001,"&lt;"&amp;$A923))),""))</f>
        <v/>
      </c>
      <c r="L923" s="14">
        <f>IF(OR('Data Entry'!A923="",$K923=""),"",$H923-$K923)</f>
        <v/>
      </c>
      <c r="M923" s="15">
        <f>IF(OR('Data Entry'!A923="",$K923="",$K923=0),"",$L923/$K923)</f>
        <v/>
      </c>
      <c r="N923" s="12">
        <f>IF('Data Entry'!A923="","",IF($L923="","New item",IF($L923&gt;0,"UP",IF($L923&lt;0,"down","same"))))</f>
        <v/>
      </c>
    </row>
    <row r="924">
      <c r="A924" s="11">
        <f>IF('Data Entry'!A924="","",'Data Entry'!A924)</f>
        <v/>
      </c>
      <c r="B924" s="12">
        <f>IF('Data Entry'!A924="","",'Data Entry'!B924)</f>
        <v/>
      </c>
      <c r="C924" s="12">
        <f>IF('Data Entry'!A924="","",'Data Entry'!C924)</f>
        <v/>
      </c>
      <c r="D924" s="12">
        <f>IF('Data Entry'!A924="","",'Data Entry'!D924)</f>
        <v/>
      </c>
      <c r="E924" s="12">
        <f>IF('Data Entry'!A924="","",'Data Entry'!E924)</f>
        <v/>
      </c>
      <c r="F924" s="12">
        <f>IF('Data Entry'!A924="","",'Data Entry'!F924)</f>
        <v/>
      </c>
      <c r="G924" s="13">
        <f>IF('Data Entry'!A924="","",'Data Entry'!G924)</f>
        <v/>
      </c>
      <c r="H924" s="10">
        <f>IF('Data Entry'!A924="","",'Data Entry'!H924)</f>
        <v/>
      </c>
      <c r="I924" s="10">
        <f>IF('Data Entry'!A924="","",'Data Entry'!I924)</f>
        <v/>
      </c>
      <c r="J924" s="12">
        <f>IF('Data Entry'!A924="","",IF('Data Entry'!D924&lt;&gt;"",'Data Entry'!D924,'Data Entry'!E924))</f>
        <v/>
      </c>
      <c r="K924" s="10">
        <f>IF('Data Entry'!A924="","",IFERROR(SUMIFS($H$5:$H$2001,$J$5:$J$2001,$J924,$B$5:$B$2001,$B924,$A$5:$A$2001,(MAXIFS($A$5:$A$2001,$J$5:$J$2001,$J924,$B$5:$B$2001,$B924,$A$5:$A$2001,"&lt;"&amp;$A924))),""))</f>
        <v/>
      </c>
      <c r="L924" s="14">
        <f>IF(OR('Data Entry'!A924="",$K924=""),"",$H924-$K924)</f>
        <v/>
      </c>
      <c r="M924" s="15">
        <f>IF(OR('Data Entry'!A924="",$K924="",$K924=0),"",$L924/$K924)</f>
        <v/>
      </c>
      <c r="N924" s="12">
        <f>IF('Data Entry'!A924="","",IF($L924="","New item",IF($L924&gt;0,"UP",IF($L924&lt;0,"down","same"))))</f>
        <v/>
      </c>
    </row>
    <row r="925">
      <c r="A925" s="11">
        <f>IF('Data Entry'!A925="","",'Data Entry'!A925)</f>
        <v/>
      </c>
      <c r="B925" s="12">
        <f>IF('Data Entry'!A925="","",'Data Entry'!B925)</f>
        <v/>
      </c>
      <c r="C925" s="12">
        <f>IF('Data Entry'!A925="","",'Data Entry'!C925)</f>
        <v/>
      </c>
      <c r="D925" s="12">
        <f>IF('Data Entry'!A925="","",'Data Entry'!D925)</f>
        <v/>
      </c>
      <c r="E925" s="12">
        <f>IF('Data Entry'!A925="","",'Data Entry'!E925)</f>
        <v/>
      </c>
      <c r="F925" s="12">
        <f>IF('Data Entry'!A925="","",'Data Entry'!F925)</f>
        <v/>
      </c>
      <c r="G925" s="13">
        <f>IF('Data Entry'!A925="","",'Data Entry'!G925)</f>
        <v/>
      </c>
      <c r="H925" s="10">
        <f>IF('Data Entry'!A925="","",'Data Entry'!H925)</f>
        <v/>
      </c>
      <c r="I925" s="10">
        <f>IF('Data Entry'!A925="","",'Data Entry'!I925)</f>
        <v/>
      </c>
      <c r="J925" s="12">
        <f>IF('Data Entry'!A925="","",IF('Data Entry'!D925&lt;&gt;"",'Data Entry'!D925,'Data Entry'!E925))</f>
        <v/>
      </c>
      <c r="K925" s="10">
        <f>IF('Data Entry'!A925="","",IFERROR(SUMIFS($H$5:$H$2001,$J$5:$J$2001,$J925,$B$5:$B$2001,$B925,$A$5:$A$2001,(MAXIFS($A$5:$A$2001,$J$5:$J$2001,$J925,$B$5:$B$2001,$B925,$A$5:$A$2001,"&lt;"&amp;$A925))),""))</f>
        <v/>
      </c>
      <c r="L925" s="14">
        <f>IF(OR('Data Entry'!A925="",$K925=""),"",$H925-$K925)</f>
        <v/>
      </c>
      <c r="M925" s="15">
        <f>IF(OR('Data Entry'!A925="",$K925="",$K925=0),"",$L925/$K925)</f>
        <v/>
      </c>
      <c r="N925" s="12">
        <f>IF('Data Entry'!A925="","",IF($L925="","New item",IF($L925&gt;0,"UP",IF($L925&lt;0,"down","same"))))</f>
        <v/>
      </c>
    </row>
    <row r="926">
      <c r="A926" s="11">
        <f>IF('Data Entry'!A926="","",'Data Entry'!A926)</f>
        <v/>
      </c>
      <c r="B926" s="12">
        <f>IF('Data Entry'!A926="","",'Data Entry'!B926)</f>
        <v/>
      </c>
      <c r="C926" s="12">
        <f>IF('Data Entry'!A926="","",'Data Entry'!C926)</f>
        <v/>
      </c>
      <c r="D926" s="12">
        <f>IF('Data Entry'!A926="","",'Data Entry'!D926)</f>
        <v/>
      </c>
      <c r="E926" s="12">
        <f>IF('Data Entry'!A926="","",'Data Entry'!E926)</f>
        <v/>
      </c>
      <c r="F926" s="12">
        <f>IF('Data Entry'!A926="","",'Data Entry'!F926)</f>
        <v/>
      </c>
      <c r="G926" s="13">
        <f>IF('Data Entry'!A926="","",'Data Entry'!G926)</f>
        <v/>
      </c>
      <c r="H926" s="10">
        <f>IF('Data Entry'!A926="","",'Data Entry'!H926)</f>
        <v/>
      </c>
      <c r="I926" s="10">
        <f>IF('Data Entry'!A926="","",'Data Entry'!I926)</f>
        <v/>
      </c>
      <c r="J926" s="12">
        <f>IF('Data Entry'!A926="","",IF('Data Entry'!D926&lt;&gt;"",'Data Entry'!D926,'Data Entry'!E926))</f>
        <v/>
      </c>
      <c r="K926" s="10">
        <f>IF('Data Entry'!A926="","",IFERROR(SUMIFS($H$5:$H$2001,$J$5:$J$2001,$J926,$B$5:$B$2001,$B926,$A$5:$A$2001,(MAXIFS($A$5:$A$2001,$J$5:$J$2001,$J926,$B$5:$B$2001,$B926,$A$5:$A$2001,"&lt;"&amp;$A926))),""))</f>
        <v/>
      </c>
      <c r="L926" s="14">
        <f>IF(OR('Data Entry'!A926="",$K926=""),"",$H926-$K926)</f>
        <v/>
      </c>
      <c r="M926" s="15">
        <f>IF(OR('Data Entry'!A926="",$K926="",$K926=0),"",$L926/$K926)</f>
        <v/>
      </c>
      <c r="N926" s="12">
        <f>IF('Data Entry'!A926="","",IF($L926="","New item",IF($L926&gt;0,"UP",IF($L926&lt;0,"down","same"))))</f>
        <v/>
      </c>
    </row>
    <row r="927">
      <c r="A927" s="11">
        <f>IF('Data Entry'!A927="","",'Data Entry'!A927)</f>
        <v/>
      </c>
      <c r="B927" s="12">
        <f>IF('Data Entry'!A927="","",'Data Entry'!B927)</f>
        <v/>
      </c>
      <c r="C927" s="12">
        <f>IF('Data Entry'!A927="","",'Data Entry'!C927)</f>
        <v/>
      </c>
      <c r="D927" s="12">
        <f>IF('Data Entry'!A927="","",'Data Entry'!D927)</f>
        <v/>
      </c>
      <c r="E927" s="12">
        <f>IF('Data Entry'!A927="","",'Data Entry'!E927)</f>
        <v/>
      </c>
      <c r="F927" s="12">
        <f>IF('Data Entry'!A927="","",'Data Entry'!F927)</f>
        <v/>
      </c>
      <c r="G927" s="13">
        <f>IF('Data Entry'!A927="","",'Data Entry'!G927)</f>
        <v/>
      </c>
      <c r="H927" s="10">
        <f>IF('Data Entry'!A927="","",'Data Entry'!H927)</f>
        <v/>
      </c>
      <c r="I927" s="10">
        <f>IF('Data Entry'!A927="","",'Data Entry'!I927)</f>
        <v/>
      </c>
      <c r="J927" s="12">
        <f>IF('Data Entry'!A927="","",IF('Data Entry'!D927&lt;&gt;"",'Data Entry'!D927,'Data Entry'!E927))</f>
        <v/>
      </c>
      <c r="K927" s="10">
        <f>IF('Data Entry'!A927="","",IFERROR(SUMIFS($H$5:$H$2001,$J$5:$J$2001,$J927,$B$5:$B$2001,$B927,$A$5:$A$2001,(MAXIFS($A$5:$A$2001,$J$5:$J$2001,$J927,$B$5:$B$2001,$B927,$A$5:$A$2001,"&lt;"&amp;$A927))),""))</f>
        <v/>
      </c>
      <c r="L927" s="14">
        <f>IF(OR('Data Entry'!A927="",$K927=""),"",$H927-$K927)</f>
        <v/>
      </c>
      <c r="M927" s="15">
        <f>IF(OR('Data Entry'!A927="",$K927="",$K927=0),"",$L927/$K927)</f>
        <v/>
      </c>
      <c r="N927" s="12">
        <f>IF('Data Entry'!A927="","",IF($L927="","New item",IF($L927&gt;0,"UP",IF($L927&lt;0,"down","same"))))</f>
        <v/>
      </c>
    </row>
    <row r="928">
      <c r="A928" s="11">
        <f>IF('Data Entry'!A928="","",'Data Entry'!A928)</f>
        <v/>
      </c>
      <c r="B928" s="12">
        <f>IF('Data Entry'!A928="","",'Data Entry'!B928)</f>
        <v/>
      </c>
      <c r="C928" s="12">
        <f>IF('Data Entry'!A928="","",'Data Entry'!C928)</f>
        <v/>
      </c>
      <c r="D928" s="12">
        <f>IF('Data Entry'!A928="","",'Data Entry'!D928)</f>
        <v/>
      </c>
      <c r="E928" s="12">
        <f>IF('Data Entry'!A928="","",'Data Entry'!E928)</f>
        <v/>
      </c>
      <c r="F928" s="12">
        <f>IF('Data Entry'!A928="","",'Data Entry'!F928)</f>
        <v/>
      </c>
      <c r="G928" s="13">
        <f>IF('Data Entry'!A928="","",'Data Entry'!G928)</f>
        <v/>
      </c>
      <c r="H928" s="10">
        <f>IF('Data Entry'!A928="","",'Data Entry'!H928)</f>
        <v/>
      </c>
      <c r="I928" s="10">
        <f>IF('Data Entry'!A928="","",'Data Entry'!I928)</f>
        <v/>
      </c>
      <c r="J928" s="12">
        <f>IF('Data Entry'!A928="","",IF('Data Entry'!D928&lt;&gt;"",'Data Entry'!D928,'Data Entry'!E928))</f>
        <v/>
      </c>
      <c r="K928" s="10">
        <f>IF('Data Entry'!A928="","",IFERROR(SUMIFS($H$5:$H$2001,$J$5:$J$2001,$J928,$B$5:$B$2001,$B928,$A$5:$A$2001,(MAXIFS($A$5:$A$2001,$J$5:$J$2001,$J928,$B$5:$B$2001,$B928,$A$5:$A$2001,"&lt;"&amp;$A928))),""))</f>
        <v/>
      </c>
      <c r="L928" s="14">
        <f>IF(OR('Data Entry'!A928="",$K928=""),"",$H928-$K928)</f>
        <v/>
      </c>
      <c r="M928" s="15">
        <f>IF(OR('Data Entry'!A928="",$K928="",$K928=0),"",$L928/$K928)</f>
        <v/>
      </c>
      <c r="N928" s="12">
        <f>IF('Data Entry'!A928="","",IF($L928="","New item",IF($L928&gt;0,"UP",IF($L928&lt;0,"down","same"))))</f>
        <v/>
      </c>
    </row>
    <row r="929">
      <c r="A929" s="11">
        <f>IF('Data Entry'!A929="","",'Data Entry'!A929)</f>
        <v/>
      </c>
      <c r="B929" s="12">
        <f>IF('Data Entry'!A929="","",'Data Entry'!B929)</f>
        <v/>
      </c>
      <c r="C929" s="12">
        <f>IF('Data Entry'!A929="","",'Data Entry'!C929)</f>
        <v/>
      </c>
      <c r="D929" s="12">
        <f>IF('Data Entry'!A929="","",'Data Entry'!D929)</f>
        <v/>
      </c>
      <c r="E929" s="12">
        <f>IF('Data Entry'!A929="","",'Data Entry'!E929)</f>
        <v/>
      </c>
      <c r="F929" s="12">
        <f>IF('Data Entry'!A929="","",'Data Entry'!F929)</f>
        <v/>
      </c>
      <c r="G929" s="13">
        <f>IF('Data Entry'!A929="","",'Data Entry'!G929)</f>
        <v/>
      </c>
      <c r="H929" s="10">
        <f>IF('Data Entry'!A929="","",'Data Entry'!H929)</f>
        <v/>
      </c>
      <c r="I929" s="10">
        <f>IF('Data Entry'!A929="","",'Data Entry'!I929)</f>
        <v/>
      </c>
      <c r="J929" s="12">
        <f>IF('Data Entry'!A929="","",IF('Data Entry'!D929&lt;&gt;"",'Data Entry'!D929,'Data Entry'!E929))</f>
        <v/>
      </c>
      <c r="K929" s="10">
        <f>IF('Data Entry'!A929="","",IFERROR(SUMIFS($H$5:$H$2001,$J$5:$J$2001,$J929,$B$5:$B$2001,$B929,$A$5:$A$2001,(MAXIFS($A$5:$A$2001,$J$5:$J$2001,$J929,$B$5:$B$2001,$B929,$A$5:$A$2001,"&lt;"&amp;$A929))),""))</f>
        <v/>
      </c>
      <c r="L929" s="14">
        <f>IF(OR('Data Entry'!A929="",$K929=""),"",$H929-$K929)</f>
        <v/>
      </c>
      <c r="M929" s="15">
        <f>IF(OR('Data Entry'!A929="",$K929="",$K929=0),"",$L929/$K929)</f>
        <v/>
      </c>
      <c r="N929" s="12">
        <f>IF('Data Entry'!A929="","",IF($L929="","New item",IF($L929&gt;0,"UP",IF($L929&lt;0,"down","same"))))</f>
        <v/>
      </c>
    </row>
    <row r="930">
      <c r="A930" s="11">
        <f>IF('Data Entry'!A930="","",'Data Entry'!A930)</f>
        <v/>
      </c>
      <c r="B930" s="12">
        <f>IF('Data Entry'!A930="","",'Data Entry'!B930)</f>
        <v/>
      </c>
      <c r="C930" s="12">
        <f>IF('Data Entry'!A930="","",'Data Entry'!C930)</f>
        <v/>
      </c>
      <c r="D930" s="12">
        <f>IF('Data Entry'!A930="","",'Data Entry'!D930)</f>
        <v/>
      </c>
      <c r="E930" s="12">
        <f>IF('Data Entry'!A930="","",'Data Entry'!E930)</f>
        <v/>
      </c>
      <c r="F930" s="12">
        <f>IF('Data Entry'!A930="","",'Data Entry'!F930)</f>
        <v/>
      </c>
      <c r="G930" s="13">
        <f>IF('Data Entry'!A930="","",'Data Entry'!G930)</f>
        <v/>
      </c>
      <c r="H930" s="10">
        <f>IF('Data Entry'!A930="","",'Data Entry'!H930)</f>
        <v/>
      </c>
      <c r="I930" s="10">
        <f>IF('Data Entry'!A930="","",'Data Entry'!I930)</f>
        <v/>
      </c>
      <c r="J930" s="12">
        <f>IF('Data Entry'!A930="","",IF('Data Entry'!D930&lt;&gt;"",'Data Entry'!D930,'Data Entry'!E930))</f>
        <v/>
      </c>
      <c r="K930" s="10">
        <f>IF('Data Entry'!A930="","",IFERROR(SUMIFS($H$5:$H$2001,$J$5:$J$2001,$J930,$B$5:$B$2001,$B930,$A$5:$A$2001,(MAXIFS($A$5:$A$2001,$J$5:$J$2001,$J930,$B$5:$B$2001,$B930,$A$5:$A$2001,"&lt;"&amp;$A930))),""))</f>
        <v/>
      </c>
      <c r="L930" s="14">
        <f>IF(OR('Data Entry'!A930="",$K930=""),"",$H930-$K930)</f>
        <v/>
      </c>
      <c r="M930" s="15">
        <f>IF(OR('Data Entry'!A930="",$K930="",$K930=0),"",$L930/$K930)</f>
        <v/>
      </c>
      <c r="N930" s="12">
        <f>IF('Data Entry'!A930="","",IF($L930="","New item",IF($L930&gt;0,"UP",IF($L930&lt;0,"down","same"))))</f>
        <v/>
      </c>
    </row>
    <row r="931">
      <c r="A931" s="11">
        <f>IF('Data Entry'!A931="","",'Data Entry'!A931)</f>
        <v/>
      </c>
      <c r="B931" s="12">
        <f>IF('Data Entry'!A931="","",'Data Entry'!B931)</f>
        <v/>
      </c>
      <c r="C931" s="12">
        <f>IF('Data Entry'!A931="","",'Data Entry'!C931)</f>
        <v/>
      </c>
      <c r="D931" s="12">
        <f>IF('Data Entry'!A931="","",'Data Entry'!D931)</f>
        <v/>
      </c>
      <c r="E931" s="12">
        <f>IF('Data Entry'!A931="","",'Data Entry'!E931)</f>
        <v/>
      </c>
      <c r="F931" s="12">
        <f>IF('Data Entry'!A931="","",'Data Entry'!F931)</f>
        <v/>
      </c>
      <c r="G931" s="13">
        <f>IF('Data Entry'!A931="","",'Data Entry'!G931)</f>
        <v/>
      </c>
      <c r="H931" s="10">
        <f>IF('Data Entry'!A931="","",'Data Entry'!H931)</f>
        <v/>
      </c>
      <c r="I931" s="10">
        <f>IF('Data Entry'!A931="","",'Data Entry'!I931)</f>
        <v/>
      </c>
      <c r="J931" s="12">
        <f>IF('Data Entry'!A931="","",IF('Data Entry'!D931&lt;&gt;"",'Data Entry'!D931,'Data Entry'!E931))</f>
        <v/>
      </c>
      <c r="K931" s="10">
        <f>IF('Data Entry'!A931="","",IFERROR(SUMIFS($H$5:$H$2001,$J$5:$J$2001,$J931,$B$5:$B$2001,$B931,$A$5:$A$2001,(MAXIFS($A$5:$A$2001,$J$5:$J$2001,$J931,$B$5:$B$2001,$B931,$A$5:$A$2001,"&lt;"&amp;$A931))),""))</f>
        <v/>
      </c>
      <c r="L931" s="14">
        <f>IF(OR('Data Entry'!A931="",$K931=""),"",$H931-$K931)</f>
        <v/>
      </c>
      <c r="M931" s="15">
        <f>IF(OR('Data Entry'!A931="",$K931="",$K931=0),"",$L931/$K931)</f>
        <v/>
      </c>
      <c r="N931" s="12">
        <f>IF('Data Entry'!A931="","",IF($L931="","New item",IF($L931&gt;0,"UP",IF($L931&lt;0,"down","same"))))</f>
        <v/>
      </c>
    </row>
    <row r="932">
      <c r="A932" s="11">
        <f>IF('Data Entry'!A932="","",'Data Entry'!A932)</f>
        <v/>
      </c>
      <c r="B932" s="12">
        <f>IF('Data Entry'!A932="","",'Data Entry'!B932)</f>
        <v/>
      </c>
      <c r="C932" s="12">
        <f>IF('Data Entry'!A932="","",'Data Entry'!C932)</f>
        <v/>
      </c>
      <c r="D932" s="12">
        <f>IF('Data Entry'!A932="","",'Data Entry'!D932)</f>
        <v/>
      </c>
      <c r="E932" s="12">
        <f>IF('Data Entry'!A932="","",'Data Entry'!E932)</f>
        <v/>
      </c>
      <c r="F932" s="12">
        <f>IF('Data Entry'!A932="","",'Data Entry'!F932)</f>
        <v/>
      </c>
      <c r="G932" s="13">
        <f>IF('Data Entry'!A932="","",'Data Entry'!G932)</f>
        <v/>
      </c>
      <c r="H932" s="10">
        <f>IF('Data Entry'!A932="","",'Data Entry'!H932)</f>
        <v/>
      </c>
      <c r="I932" s="10">
        <f>IF('Data Entry'!A932="","",'Data Entry'!I932)</f>
        <v/>
      </c>
      <c r="J932" s="12">
        <f>IF('Data Entry'!A932="","",IF('Data Entry'!D932&lt;&gt;"",'Data Entry'!D932,'Data Entry'!E932))</f>
        <v/>
      </c>
      <c r="K932" s="10">
        <f>IF('Data Entry'!A932="","",IFERROR(SUMIFS($H$5:$H$2001,$J$5:$J$2001,$J932,$B$5:$B$2001,$B932,$A$5:$A$2001,(MAXIFS($A$5:$A$2001,$J$5:$J$2001,$J932,$B$5:$B$2001,$B932,$A$5:$A$2001,"&lt;"&amp;$A932))),""))</f>
        <v/>
      </c>
      <c r="L932" s="14">
        <f>IF(OR('Data Entry'!A932="",$K932=""),"",$H932-$K932)</f>
        <v/>
      </c>
      <c r="M932" s="15">
        <f>IF(OR('Data Entry'!A932="",$K932="",$K932=0),"",$L932/$K932)</f>
        <v/>
      </c>
      <c r="N932" s="12">
        <f>IF('Data Entry'!A932="","",IF($L932="","New item",IF($L932&gt;0,"UP",IF($L932&lt;0,"down","same"))))</f>
        <v/>
      </c>
    </row>
    <row r="933">
      <c r="A933" s="11">
        <f>IF('Data Entry'!A933="","",'Data Entry'!A933)</f>
        <v/>
      </c>
      <c r="B933" s="12">
        <f>IF('Data Entry'!A933="","",'Data Entry'!B933)</f>
        <v/>
      </c>
      <c r="C933" s="12">
        <f>IF('Data Entry'!A933="","",'Data Entry'!C933)</f>
        <v/>
      </c>
      <c r="D933" s="12">
        <f>IF('Data Entry'!A933="","",'Data Entry'!D933)</f>
        <v/>
      </c>
      <c r="E933" s="12">
        <f>IF('Data Entry'!A933="","",'Data Entry'!E933)</f>
        <v/>
      </c>
      <c r="F933" s="12">
        <f>IF('Data Entry'!A933="","",'Data Entry'!F933)</f>
        <v/>
      </c>
      <c r="G933" s="13">
        <f>IF('Data Entry'!A933="","",'Data Entry'!G933)</f>
        <v/>
      </c>
      <c r="H933" s="10">
        <f>IF('Data Entry'!A933="","",'Data Entry'!H933)</f>
        <v/>
      </c>
      <c r="I933" s="10">
        <f>IF('Data Entry'!A933="","",'Data Entry'!I933)</f>
        <v/>
      </c>
      <c r="J933" s="12">
        <f>IF('Data Entry'!A933="","",IF('Data Entry'!D933&lt;&gt;"",'Data Entry'!D933,'Data Entry'!E933))</f>
        <v/>
      </c>
      <c r="K933" s="10">
        <f>IF('Data Entry'!A933="","",IFERROR(SUMIFS($H$5:$H$2001,$J$5:$J$2001,$J933,$B$5:$B$2001,$B933,$A$5:$A$2001,(MAXIFS($A$5:$A$2001,$J$5:$J$2001,$J933,$B$5:$B$2001,$B933,$A$5:$A$2001,"&lt;"&amp;$A933))),""))</f>
        <v/>
      </c>
      <c r="L933" s="14">
        <f>IF(OR('Data Entry'!A933="",$K933=""),"",$H933-$K933)</f>
        <v/>
      </c>
      <c r="M933" s="15">
        <f>IF(OR('Data Entry'!A933="",$K933="",$K933=0),"",$L933/$K933)</f>
        <v/>
      </c>
      <c r="N933" s="12">
        <f>IF('Data Entry'!A933="","",IF($L933="","New item",IF($L933&gt;0,"UP",IF($L933&lt;0,"down","same"))))</f>
        <v/>
      </c>
    </row>
    <row r="934">
      <c r="A934" s="11">
        <f>IF('Data Entry'!A934="","",'Data Entry'!A934)</f>
        <v/>
      </c>
      <c r="B934" s="12">
        <f>IF('Data Entry'!A934="","",'Data Entry'!B934)</f>
        <v/>
      </c>
      <c r="C934" s="12">
        <f>IF('Data Entry'!A934="","",'Data Entry'!C934)</f>
        <v/>
      </c>
      <c r="D934" s="12">
        <f>IF('Data Entry'!A934="","",'Data Entry'!D934)</f>
        <v/>
      </c>
      <c r="E934" s="12">
        <f>IF('Data Entry'!A934="","",'Data Entry'!E934)</f>
        <v/>
      </c>
      <c r="F934" s="12">
        <f>IF('Data Entry'!A934="","",'Data Entry'!F934)</f>
        <v/>
      </c>
      <c r="G934" s="13">
        <f>IF('Data Entry'!A934="","",'Data Entry'!G934)</f>
        <v/>
      </c>
      <c r="H934" s="10">
        <f>IF('Data Entry'!A934="","",'Data Entry'!H934)</f>
        <v/>
      </c>
      <c r="I934" s="10">
        <f>IF('Data Entry'!A934="","",'Data Entry'!I934)</f>
        <v/>
      </c>
      <c r="J934" s="12">
        <f>IF('Data Entry'!A934="","",IF('Data Entry'!D934&lt;&gt;"",'Data Entry'!D934,'Data Entry'!E934))</f>
        <v/>
      </c>
      <c r="K934" s="10">
        <f>IF('Data Entry'!A934="","",IFERROR(SUMIFS($H$5:$H$2001,$J$5:$J$2001,$J934,$B$5:$B$2001,$B934,$A$5:$A$2001,(MAXIFS($A$5:$A$2001,$J$5:$J$2001,$J934,$B$5:$B$2001,$B934,$A$5:$A$2001,"&lt;"&amp;$A934))),""))</f>
        <v/>
      </c>
      <c r="L934" s="14">
        <f>IF(OR('Data Entry'!A934="",$K934=""),"",$H934-$K934)</f>
        <v/>
      </c>
      <c r="M934" s="15">
        <f>IF(OR('Data Entry'!A934="",$K934="",$K934=0),"",$L934/$K934)</f>
        <v/>
      </c>
      <c r="N934" s="12">
        <f>IF('Data Entry'!A934="","",IF($L934="","New item",IF($L934&gt;0,"UP",IF($L934&lt;0,"down","same"))))</f>
        <v/>
      </c>
    </row>
    <row r="935">
      <c r="A935" s="11">
        <f>IF('Data Entry'!A935="","",'Data Entry'!A935)</f>
        <v/>
      </c>
      <c r="B935" s="12">
        <f>IF('Data Entry'!A935="","",'Data Entry'!B935)</f>
        <v/>
      </c>
      <c r="C935" s="12">
        <f>IF('Data Entry'!A935="","",'Data Entry'!C935)</f>
        <v/>
      </c>
      <c r="D935" s="12">
        <f>IF('Data Entry'!A935="","",'Data Entry'!D935)</f>
        <v/>
      </c>
      <c r="E935" s="12">
        <f>IF('Data Entry'!A935="","",'Data Entry'!E935)</f>
        <v/>
      </c>
      <c r="F935" s="12">
        <f>IF('Data Entry'!A935="","",'Data Entry'!F935)</f>
        <v/>
      </c>
      <c r="G935" s="13">
        <f>IF('Data Entry'!A935="","",'Data Entry'!G935)</f>
        <v/>
      </c>
      <c r="H935" s="10">
        <f>IF('Data Entry'!A935="","",'Data Entry'!H935)</f>
        <v/>
      </c>
      <c r="I935" s="10">
        <f>IF('Data Entry'!A935="","",'Data Entry'!I935)</f>
        <v/>
      </c>
      <c r="J935" s="12">
        <f>IF('Data Entry'!A935="","",IF('Data Entry'!D935&lt;&gt;"",'Data Entry'!D935,'Data Entry'!E935))</f>
        <v/>
      </c>
      <c r="K935" s="10">
        <f>IF('Data Entry'!A935="","",IFERROR(SUMIFS($H$5:$H$2001,$J$5:$J$2001,$J935,$B$5:$B$2001,$B935,$A$5:$A$2001,(MAXIFS($A$5:$A$2001,$J$5:$J$2001,$J935,$B$5:$B$2001,$B935,$A$5:$A$2001,"&lt;"&amp;$A935))),""))</f>
        <v/>
      </c>
      <c r="L935" s="14">
        <f>IF(OR('Data Entry'!A935="",$K935=""),"",$H935-$K935)</f>
        <v/>
      </c>
      <c r="M935" s="15">
        <f>IF(OR('Data Entry'!A935="",$K935="",$K935=0),"",$L935/$K935)</f>
        <v/>
      </c>
      <c r="N935" s="12">
        <f>IF('Data Entry'!A935="","",IF($L935="","New item",IF($L935&gt;0,"UP",IF($L935&lt;0,"down","same"))))</f>
        <v/>
      </c>
    </row>
    <row r="936">
      <c r="A936" s="11">
        <f>IF('Data Entry'!A936="","",'Data Entry'!A936)</f>
        <v/>
      </c>
      <c r="B936" s="12">
        <f>IF('Data Entry'!A936="","",'Data Entry'!B936)</f>
        <v/>
      </c>
      <c r="C936" s="12">
        <f>IF('Data Entry'!A936="","",'Data Entry'!C936)</f>
        <v/>
      </c>
      <c r="D936" s="12">
        <f>IF('Data Entry'!A936="","",'Data Entry'!D936)</f>
        <v/>
      </c>
      <c r="E936" s="12">
        <f>IF('Data Entry'!A936="","",'Data Entry'!E936)</f>
        <v/>
      </c>
      <c r="F936" s="12">
        <f>IF('Data Entry'!A936="","",'Data Entry'!F936)</f>
        <v/>
      </c>
      <c r="G936" s="13">
        <f>IF('Data Entry'!A936="","",'Data Entry'!G936)</f>
        <v/>
      </c>
      <c r="H936" s="10">
        <f>IF('Data Entry'!A936="","",'Data Entry'!H936)</f>
        <v/>
      </c>
      <c r="I936" s="10">
        <f>IF('Data Entry'!A936="","",'Data Entry'!I936)</f>
        <v/>
      </c>
      <c r="J936" s="12">
        <f>IF('Data Entry'!A936="","",IF('Data Entry'!D936&lt;&gt;"",'Data Entry'!D936,'Data Entry'!E936))</f>
        <v/>
      </c>
      <c r="K936" s="10">
        <f>IF('Data Entry'!A936="","",IFERROR(SUMIFS($H$5:$H$2001,$J$5:$J$2001,$J936,$B$5:$B$2001,$B936,$A$5:$A$2001,(MAXIFS($A$5:$A$2001,$J$5:$J$2001,$J936,$B$5:$B$2001,$B936,$A$5:$A$2001,"&lt;"&amp;$A936))),""))</f>
        <v/>
      </c>
      <c r="L936" s="14">
        <f>IF(OR('Data Entry'!A936="",$K936=""),"",$H936-$K936)</f>
        <v/>
      </c>
      <c r="M936" s="15">
        <f>IF(OR('Data Entry'!A936="",$K936="",$K936=0),"",$L936/$K936)</f>
        <v/>
      </c>
      <c r="N936" s="12">
        <f>IF('Data Entry'!A936="","",IF($L936="","New item",IF($L936&gt;0,"UP",IF($L936&lt;0,"down","same"))))</f>
        <v/>
      </c>
    </row>
    <row r="937">
      <c r="A937" s="11">
        <f>IF('Data Entry'!A937="","",'Data Entry'!A937)</f>
        <v/>
      </c>
      <c r="B937" s="12">
        <f>IF('Data Entry'!A937="","",'Data Entry'!B937)</f>
        <v/>
      </c>
      <c r="C937" s="12">
        <f>IF('Data Entry'!A937="","",'Data Entry'!C937)</f>
        <v/>
      </c>
      <c r="D937" s="12">
        <f>IF('Data Entry'!A937="","",'Data Entry'!D937)</f>
        <v/>
      </c>
      <c r="E937" s="12">
        <f>IF('Data Entry'!A937="","",'Data Entry'!E937)</f>
        <v/>
      </c>
      <c r="F937" s="12">
        <f>IF('Data Entry'!A937="","",'Data Entry'!F937)</f>
        <v/>
      </c>
      <c r="G937" s="13">
        <f>IF('Data Entry'!A937="","",'Data Entry'!G937)</f>
        <v/>
      </c>
      <c r="H937" s="10">
        <f>IF('Data Entry'!A937="","",'Data Entry'!H937)</f>
        <v/>
      </c>
      <c r="I937" s="10">
        <f>IF('Data Entry'!A937="","",'Data Entry'!I937)</f>
        <v/>
      </c>
      <c r="J937" s="12">
        <f>IF('Data Entry'!A937="","",IF('Data Entry'!D937&lt;&gt;"",'Data Entry'!D937,'Data Entry'!E937))</f>
        <v/>
      </c>
      <c r="K937" s="10">
        <f>IF('Data Entry'!A937="","",IFERROR(SUMIFS($H$5:$H$2001,$J$5:$J$2001,$J937,$B$5:$B$2001,$B937,$A$5:$A$2001,(MAXIFS($A$5:$A$2001,$J$5:$J$2001,$J937,$B$5:$B$2001,$B937,$A$5:$A$2001,"&lt;"&amp;$A937))),""))</f>
        <v/>
      </c>
      <c r="L937" s="14">
        <f>IF(OR('Data Entry'!A937="",$K937=""),"",$H937-$K937)</f>
        <v/>
      </c>
      <c r="M937" s="15">
        <f>IF(OR('Data Entry'!A937="",$K937="",$K937=0),"",$L937/$K937)</f>
        <v/>
      </c>
      <c r="N937" s="12">
        <f>IF('Data Entry'!A937="","",IF($L937="","New item",IF($L937&gt;0,"UP",IF($L937&lt;0,"down","same"))))</f>
        <v/>
      </c>
    </row>
    <row r="938">
      <c r="A938" s="11">
        <f>IF('Data Entry'!A938="","",'Data Entry'!A938)</f>
        <v/>
      </c>
      <c r="B938" s="12">
        <f>IF('Data Entry'!A938="","",'Data Entry'!B938)</f>
        <v/>
      </c>
      <c r="C938" s="12">
        <f>IF('Data Entry'!A938="","",'Data Entry'!C938)</f>
        <v/>
      </c>
      <c r="D938" s="12">
        <f>IF('Data Entry'!A938="","",'Data Entry'!D938)</f>
        <v/>
      </c>
      <c r="E938" s="12">
        <f>IF('Data Entry'!A938="","",'Data Entry'!E938)</f>
        <v/>
      </c>
      <c r="F938" s="12">
        <f>IF('Data Entry'!A938="","",'Data Entry'!F938)</f>
        <v/>
      </c>
      <c r="G938" s="13">
        <f>IF('Data Entry'!A938="","",'Data Entry'!G938)</f>
        <v/>
      </c>
      <c r="H938" s="10">
        <f>IF('Data Entry'!A938="","",'Data Entry'!H938)</f>
        <v/>
      </c>
      <c r="I938" s="10">
        <f>IF('Data Entry'!A938="","",'Data Entry'!I938)</f>
        <v/>
      </c>
      <c r="J938" s="12">
        <f>IF('Data Entry'!A938="","",IF('Data Entry'!D938&lt;&gt;"",'Data Entry'!D938,'Data Entry'!E938))</f>
        <v/>
      </c>
      <c r="K938" s="10">
        <f>IF('Data Entry'!A938="","",IFERROR(SUMIFS($H$5:$H$2001,$J$5:$J$2001,$J938,$B$5:$B$2001,$B938,$A$5:$A$2001,(MAXIFS($A$5:$A$2001,$J$5:$J$2001,$J938,$B$5:$B$2001,$B938,$A$5:$A$2001,"&lt;"&amp;$A938))),""))</f>
        <v/>
      </c>
      <c r="L938" s="14">
        <f>IF(OR('Data Entry'!A938="",$K938=""),"",$H938-$K938)</f>
        <v/>
      </c>
      <c r="M938" s="15">
        <f>IF(OR('Data Entry'!A938="",$K938="",$K938=0),"",$L938/$K938)</f>
        <v/>
      </c>
      <c r="N938" s="12">
        <f>IF('Data Entry'!A938="","",IF($L938="","New item",IF($L938&gt;0,"UP",IF($L938&lt;0,"down","same"))))</f>
        <v/>
      </c>
    </row>
    <row r="939">
      <c r="A939" s="11">
        <f>IF('Data Entry'!A939="","",'Data Entry'!A939)</f>
        <v/>
      </c>
      <c r="B939" s="12">
        <f>IF('Data Entry'!A939="","",'Data Entry'!B939)</f>
        <v/>
      </c>
      <c r="C939" s="12">
        <f>IF('Data Entry'!A939="","",'Data Entry'!C939)</f>
        <v/>
      </c>
      <c r="D939" s="12">
        <f>IF('Data Entry'!A939="","",'Data Entry'!D939)</f>
        <v/>
      </c>
      <c r="E939" s="12">
        <f>IF('Data Entry'!A939="","",'Data Entry'!E939)</f>
        <v/>
      </c>
      <c r="F939" s="12">
        <f>IF('Data Entry'!A939="","",'Data Entry'!F939)</f>
        <v/>
      </c>
      <c r="G939" s="13">
        <f>IF('Data Entry'!A939="","",'Data Entry'!G939)</f>
        <v/>
      </c>
      <c r="H939" s="10">
        <f>IF('Data Entry'!A939="","",'Data Entry'!H939)</f>
        <v/>
      </c>
      <c r="I939" s="10">
        <f>IF('Data Entry'!A939="","",'Data Entry'!I939)</f>
        <v/>
      </c>
      <c r="J939" s="12">
        <f>IF('Data Entry'!A939="","",IF('Data Entry'!D939&lt;&gt;"",'Data Entry'!D939,'Data Entry'!E939))</f>
        <v/>
      </c>
      <c r="K939" s="10">
        <f>IF('Data Entry'!A939="","",IFERROR(SUMIFS($H$5:$H$2001,$J$5:$J$2001,$J939,$B$5:$B$2001,$B939,$A$5:$A$2001,(MAXIFS($A$5:$A$2001,$J$5:$J$2001,$J939,$B$5:$B$2001,$B939,$A$5:$A$2001,"&lt;"&amp;$A939))),""))</f>
        <v/>
      </c>
      <c r="L939" s="14">
        <f>IF(OR('Data Entry'!A939="",$K939=""),"",$H939-$K939)</f>
        <v/>
      </c>
      <c r="M939" s="15">
        <f>IF(OR('Data Entry'!A939="",$K939="",$K939=0),"",$L939/$K939)</f>
        <v/>
      </c>
      <c r="N939" s="12">
        <f>IF('Data Entry'!A939="","",IF($L939="","New item",IF($L939&gt;0,"UP",IF($L939&lt;0,"down","same"))))</f>
        <v/>
      </c>
    </row>
    <row r="940">
      <c r="A940" s="11">
        <f>IF('Data Entry'!A940="","",'Data Entry'!A940)</f>
        <v/>
      </c>
      <c r="B940" s="12">
        <f>IF('Data Entry'!A940="","",'Data Entry'!B940)</f>
        <v/>
      </c>
      <c r="C940" s="12">
        <f>IF('Data Entry'!A940="","",'Data Entry'!C940)</f>
        <v/>
      </c>
      <c r="D940" s="12">
        <f>IF('Data Entry'!A940="","",'Data Entry'!D940)</f>
        <v/>
      </c>
      <c r="E940" s="12">
        <f>IF('Data Entry'!A940="","",'Data Entry'!E940)</f>
        <v/>
      </c>
      <c r="F940" s="12">
        <f>IF('Data Entry'!A940="","",'Data Entry'!F940)</f>
        <v/>
      </c>
      <c r="G940" s="13">
        <f>IF('Data Entry'!A940="","",'Data Entry'!G940)</f>
        <v/>
      </c>
      <c r="H940" s="10">
        <f>IF('Data Entry'!A940="","",'Data Entry'!H940)</f>
        <v/>
      </c>
      <c r="I940" s="10">
        <f>IF('Data Entry'!A940="","",'Data Entry'!I940)</f>
        <v/>
      </c>
      <c r="J940" s="12">
        <f>IF('Data Entry'!A940="","",IF('Data Entry'!D940&lt;&gt;"",'Data Entry'!D940,'Data Entry'!E940))</f>
        <v/>
      </c>
      <c r="K940" s="10">
        <f>IF('Data Entry'!A940="","",IFERROR(SUMIFS($H$5:$H$2001,$J$5:$J$2001,$J940,$B$5:$B$2001,$B940,$A$5:$A$2001,(MAXIFS($A$5:$A$2001,$J$5:$J$2001,$J940,$B$5:$B$2001,$B940,$A$5:$A$2001,"&lt;"&amp;$A940))),""))</f>
        <v/>
      </c>
      <c r="L940" s="14">
        <f>IF(OR('Data Entry'!A940="",$K940=""),"",$H940-$K940)</f>
        <v/>
      </c>
      <c r="M940" s="15">
        <f>IF(OR('Data Entry'!A940="",$K940="",$K940=0),"",$L940/$K940)</f>
        <v/>
      </c>
      <c r="N940" s="12">
        <f>IF('Data Entry'!A940="","",IF($L940="","New item",IF($L940&gt;0,"UP",IF($L940&lt;0,"down","same"))))</f>
        <v/>
      </c>
    </row>
    <row r="941">
      <c r="A941" s="11">
        <f>IF('Data Entry'!A941="","",'Data Entry'!A941)</f>
        <v/>
      </c>
      <c r="B941" s="12">
        <f>IF('Data Entry'!A941="","",'Data Entry'!B941)</f>
        <v/>
      </c>
      <c r="C941" s="12">
        <f>IF('Data Entry'!A941="","",'Data Entry'!C941)</f>
        <v/>
      </c>
      <c r="D941" s="12">
        <f>IF('Data Entry'!A941="","",'Data Entry'!D941)</f>
        <v/>
      </c>
      <c r="E941" s="12">
        <f>IF('Data Entry'!A941="","",'Data Entry'!E941)</f>
        <v/>
      </c>
      <c r="F941" s="12">
        <f>IF('Data Entry'!A941="","",'Data Entry'!F941)</f>
        <v/>
      </c>
      <c r="G941" s="13">
        <f>IF('Data Entry'!A941="","",'Data Entry'!G941)</f>
        <v/>
      </c>
      <c r="H941" s="10">
        <f>IF('Data Entry'!A941="","",'Data Entry'!H941)</f>
        <v/>
      </c>
      <c r="I941" s="10">
        <f>IF('Data Entry'!A941="","",'Data Entry'!I941)</f>
        <v/>
      </c>
      <c r="J941" s="12">
        <f>IF('Data Entry'!A941="","",IF('Data Entry'!D941&lt;&gt;"",'Data Entry'!D941,'Data Entry'!E941))</f>
        <v/>
      </c>
      <c r="K941" s="10">
        <f>IF('Data Entry'!A941="","",IFERROR(SUMIFS($H$5:$H$2001,$J$5:$J$2001,$J941,$B$5:$B$2001,$B941,$A$5:$A$2001,(MAXIFS($A$5:$A$2001,$J$5:$J$2001,$J941,$B$5:$B$2001,$B941,$A$5:$A$2001,"&lt;"&amp;$A941))),""))</f>
        <v/>
      </c>
      <c r="L941" s="14">
        <f>IF(OR('Data Entry'!A941="",$K941=""),"",$H941-$K941)</f>
        <v/>
      </c>
      <c r="M941" s="15">
        <f>IF(OR('Data Entry'!A941="",$K941="",$K941=0),"",$L941/$K941)</f>
        <v/>
      </c>
      <c r="N941" s="12">
        <f>IF('Data Entry'!A941="","",IF($L941="","New item",IF($L941&gt;0,"UP",IF($L941&lt;0,"down","same"))))</f>
        <v/>
      </c>
    </row>
    <row r="942">
      <c r="A942" s="11">
        <f>IF('Data Entry'!A942="","",'Data Entry'!A942)</f>
        <v/>
      </c>
      <c r="B942" s="12">
        <f>IF('Data Entry'!A942="","",'Data Entry'!B942)</f>
        <v/>
      </c>
      <c r="C942" s="12">
        <f>IF('Data Entry'!A942="","",'Data Entry'!C942)</f>
        <v/>
      </c>
      <c r="D942" s="12">
        <f>IF('Data Entry'!A942="","",'Data Entry'!D942)</f>
        <v/>
      </c>
      <c r="E942" s="12">
        <f>IF('Data Entry'!A942="","",'Data Entry'!E942)</f>
        <v/>
      </c>
      <c r="F942" s="12">
        <f>IF('Data Entry'!A942="","",'Data Entry'!F942)</f>
        <v/>
      </c>
      <c r="G942" s="13">
        <f>IF('Data Entry'!A942="","",'Data Entry'!G942)</f>
        <v/>
      </c>
      <c r="H942" s="10">
        <f>IF('Data Entry'!A942="","",'Data Entry'!H942)</f>
        <v/>
      </c>
      <c r="I942" s="10">
        <f>IF('Data Entry'!A942="","",'Data Entry'!I942)</f>
        <v/>
      </c>
      <c r="J942" s="12">
        <f>IF('Data Entry'!A942="","",IF('Data Entry'!D942&lt;&gt;"",'Data Entry'!D942,'Data Entry'!E942))</f>
        <v/>
      </c>
      <c r="K942" s="10">
        <f>IF('Data Entry'!A942="","",IFERROR(SUMIFS($H$5:$H$2001,$J$5:$J$2001,$J942,$B$5:$B$2001,$B942,$A$5:$A$2001,(MAXIFS($A$5:$A$2001,$J$5:$J$2001,$J942,$B$5:$B$2001,$B942,$A$5:$A$2001,"&lt;"&amp;$A942))),""))</f>
        <v/>
      </c>
      <c r="L942" s="14">
        <f>IF(OR('Data Entry'!A942="",$K942=""),"",$H942-$K942)</f>
        <v/>
      </c>
      <c r="M942" s="15">
        <f>IF(OR('Data Entry'!A942="",$K942="",$K942=0),"",$L942/$K942)</f>
        <v/>
      </c>
      <c r="N942" s="12">
        <f>IF('Data Entry'!A942="","",IF($L942="","New item",IF($L942&gt;0,"UP",IF($L942&lt;0,"down","same"))))</f>
        <v/>
      </c>
    </row>
    <row r="943">
      <c r="A943" s="11">
        <f>IF('Data Entry'!A943="","",'Data Entry'!A943)</f>
        <v/>
      </c>
      <c r="B943" s="12">
        <f>IF('Data Entry'!A943="","",'Data Entry'!B943)</f>
        <v/>
      </c>
      <c r="C943" s="12">
        <f>IF('Data Entry'!A943="","",'Data Entry'!C943)</f>
        <v/>
      </c>
      <c r="D943" s="12">
        <f>IF('Data Entry'!A943="","",'Data Entry'!D943)</f>
        <v/>
      </c>
      <c r="E943" s="12">
        <f>IF('Data Entry'!A943="","",'Data Entry'!E943)</f>
        <v/>
      </c>
      <c r="F943" s="12">
        <f>IF('Data Entry'!A943="","",'Data Entry'!F943)</f>
        <v/>
      </c>
      <c r="G943" s="13">
        <f>IF('Data Entry'!A943="","",'Data Entry'!G943)</f>
        <v/>
      </c>
      <c r="H943" s="10">
        <f>IF('Data Entry'!A943="","",'Data Entry'!H943)</f>
        <v/>
      </c>
      <c r="I943" s="10">
        <f>IF('Data Entry'!A943="","",'Data Entry'!I943)</f>
        <v/>
      </c>
      <c r="J943" s="12">
        <f>IF('Data Entry'!A943="","",IF('Data Entry'!D943&lt;&gt;"",'Data Entry'!D943,'Data Entry'!E943))</f>
        <v/>
      </c>
      <c r="K943" s="10">
        <f>IF('Data Entry'!A943="","",IFERROR(SUMIFS($H$5:$H$2001,$J$5:$J$2001,$J943,$B$5:$B$2001,$B943,$A$5:$A$2001,(MAXIFS($A$5:$A$2001,$J$5:$J$2001,$J943,$B$5:$B$2001,$B943,$A$5:$A$2001,"&lt;"&amp;$A943))),""))</f>
        <v/>
      </c>
      <c r="L943" s="14">
        <f>IF(OR('Data Entry'!A943="",$K943=""),"",$H943-$K943)</f>
        <v/>
      </c>
      <c r="M943" s="15">
        <f>IF(OR('Data Entry'!A943="",$K943="",$K943=0),"",$L943/$K943)</f>
        <v/>
      </c>
      <c r="N943" s="12">
        <f>IF('Data Entry'!A943="","",IF($L943="","New item",IF($L943&gt;0,"UP",IF($L943&lt;0,"down","same"))))</f>
        <v/>
      </c>
    </row>
    <row r="944">
      <c r="A944" s="11">
        <f>IF('Data Entry'!A944="","",'Data Entry'!A944)</f>
        <v/>
      </c>
      <c r="B944" s="12">
        <f>IF('Data Entry'!A944="","",'Data Entry'!B944)</f>
        <v/>
      </c>
      <c r="C944" s="12">
        <f>IF('Data Entry'!A944="","",'Data Entry'!C944)</f>
        <v/>
      </c>
      <c r="D944" s="12">
        <f>IF('Data Entry'!A944="","",'Data Entry'!D944)</f>
        <v/>
      </c>
      <c r="E944" s="12">
        <f>IF('Data Entry'!A944="","",'Data Entry'!E944)</f>
        <v/>
      </c>
      <c r="F944" s="12">
        <f>IF('Data Entry'!A944="","",'Data Entry'!F944)</f>
        <v/>
      </c>
      <c r="G944" s="13">
        <f>IF('Data Entry'!A944="","",'Data Entry'!G944)</f>
        <v/>
      </c>
      <c r="H944" s="10">
        <f>IF('Data Entry'!A944="","",'Data Entry'!H944)</f>
        <v/>
      </c>
      <c r="I944" s="10">
        <f>IF('Data Entry'!A944="","",'Data Entry'!I944)</f>
        <v/>
      </c>
      <c r="J944" s="12">
        <f>IF('Data Entry'!A944="","",IF('Data Entry'!D944&lt;&gt;"",'Data Entry'!D944,'Data Entry'!E944))</f>
        <v/>
      </c>
      <c r="K944" s="10">
        <f>IF('Data Entry'!A944="","",IFERROR(SUMIFS($H$5:$H$2001,$J$5:$J$2001,$J944,$B$5:$B$2001,$B944,$A$5:$A$2001,(MAXIFS($A$5:$A$2001,$J$5:$J$2001,$J944,$B$5:$B$2001,$B944,$A$5:$A$2001,"&lt;"&amp;$A944))),""))</f>
        <v/>
      </c>
      <c r="L944" s="14">
        <f>IF(OR('Data Entry'!A944="",$K944=""),"",$H944-$K944)</f>
        <v/>
      </c>
      <c r="M944" s="15">
        <f>IF(OR('Data Entry'!A944="",$K944="",$K944=0),"",$L944/$K944)</f>
        <v/>
      </c>
      <c r="N944" s="12">
        <f>IF('Data Entry'!A944="","",IF($L944="","New item",IF($L944&gt;0,"UP",IF($L944&lt;0,"down","same"))))</f>
        <v/>
      </c>
    </row>
    <row r="945">
      <c r="A945" s="11">
        <f>IF('Data Entry'!A945="","",'Data Entry'!A945)</f>
        <v/>
      </c>
      <c r="B945" s="12">
        <f>IF('Data Entry'!A945="","",'Data Entry'!B945)</f>
        <v/>
      </c>
      <c r="C945" s="12">
        <f>IF('Data Entry'!A945="","",'Data Entry'!C945)</f>
        <v/>
      </c>
      <c r="D945" s="12">
        <f>IF('Data Entry'!A945="","",'Data Entry'!D945)</f>
        <v/>
      </c>
      <c r="E945" s="12">
        <f>IF('Data Entry'!A945="","",'Data Entry'!E945)</f>
        <v/>
      </c>
      <c r="F945" s="12">
        <f>IF('Data Entry'!A945="","",'Data Entry'!F945)</f>
        <v/>
      </c>
      <c r="G945" s="13">
        <f>IF('Data Entry'!A945="","",'Data Entry'!G945)</f>
        <v/>
      </c>
      <c r="H945" s="10">
        <f>IF('Data Entry'!A945="","",'Data Entry'!H945)</f>
        <v/>
      </c>
      <c r="I945" s="10">
        <f>IF('Data Entry'!A945="","",'Data Entry'!I945)</f>
        <v/>
      </c>
      <c r="J945" s="12">
        <f>IF('Data Entry'!A945="","",IF('Data Entry'!D945&lt;&gt;"",'Data Entry'!D945,'Data Entry'!E945))</f>
        <v/>
      </c>
      <c r="K945" s="10">
        <f>IF('Data Entry'!A945="","",IFERROR(SUMIFS($H$5:$H$2001,$J$5:$J$2001,$J945,$B$5:$B$2001,$B945,$A$5:$A$2001,(MAXIFS($A$5:$A$2001,$J$5:$J$2001,$J945,$B$5:$B$2001,$B945,$A$5:$A$2001,"&lt;"&amp;$A945))),""))</f>
        <v/>
      </c>
      <c r="L945" s="14">
        <f>IF(OR('Data Entry'!A945="",$K945=""),"",$H945-$K945)</f>
        <v/>
      </c>
      <c r="M945" s="15">
        <f>IF(OR('Data Entry'!A945="",$K945="",$K945=0),"",$L945/$K945)</f>
        <v/>
      </c>
      <c r="N945" s="12">
        <f>IF('Data Entry'!A945="","",IF($L945="","New item",IF($L945&gt;0,"UP",IF($L945&lt;0,"down","same"))))</f>
        <v/>
      </c>
    </row>
    <row r="946">
      <c r="A946" s="11">
        <f>IF('Data Entry'!A946="","",'Data Entry'!A946)</f>
        <v/>
      </c>
      <c r="B946" s="12">
        <f>IF('Data Entry'!A946="","",'Data Entry'!B946)</f>
        <v/>
      </c>
      <c r="C946" s="12">
        <f>IF('Data Entry'!A946="","",'Data Entry'!C946)</f>
        <v/>
      </c>
      <c r="D946" s="12">
        <f>IF('Data Entry'!A946="","",'Data Entry'!D946)</f>
        <v/>
      </c>
      <c r="E946" s="12">
        <f>IF('Data Entry'!A946="","",'Data Entry'!E946)</f>
        <v/>
      </c>
      <c r="F946" s="12">
        <f>IF('Data Entry'!A946="","",'Data Entry'!F946)</f>
        <v/>
      </c>
      <c r="G946" s="13">
        <f>IF('Data Entry'!A946="","",'Data Entry'!G946)</f>
        <v/>
      </c>
      <c r="H946" s="10">
        <f>IF('Data Entry'!A946="","",'Data Entry'!H946)</f>
        <v/>
      </c>
      <c r="I946" s="10">
        <f>IF('Data Entry'!A946="","",'Data Entry'!I946)</f>
        <v/>
      </c>
      <c r="J946" s="12">
        <f>IF('Data Entry'!A946="","",IF('Data Entry'!D946&lt;&gt;"",'Data Entry'!D946,'Data Entry'!E946))</f>
        <v/>
      </c>
      <c r="K946" s="10">
        <f>IF('Data Entry'!A946="","",IFERROR(SUMIFS($H$5:$H$2001,$J$5:$J$2001,$J946,$B$5:$B$2001,$B946,$A$5:$A$2001,(MAXIFS($A$5:$A$2001,$J$5:$J$2001,$J946,$B$5:$B$2001,$B946,$A$5:$A$2001,"&lt;"&amp;$A946))),""))</f>
        <v/>
      </c>
      <c r="L946" s="14">
        <f>IF(OR('Data Entry'!A946="",$K946=""),"",$H946-$K946)</f>
        <v/>
      </c>
      <c r="M946" s="15">
        <f>IF(OR('Data Entry'!A946="",$K946="",$K946=0),"",$L946/$K946)</f>
        <v/>
      </c>
      <c r="N946" s="12">
        <f>IF('Data Entry'!A946="","",IF($L946="","New item",IF($L946&gt;0,"UP",IF($L946&lt;0,"down","same"))))</f>
        <v/>
      </c>
    </row>
    <row r="947">
      <c r="A947" s="11">
        <f>IF('Data Entry'!A947="","",'Data Entry'!A947)</f>
        <v/>
      </c>
      <c r="B947" s="12">
        <f>IF('Data Entry'!A947="","",'Data Entry'!B947)</f>
        <v/>
      </c>
      <c r="C947" s="12">
        <f>IF('Data Entry'!A947="","",'Data Entry'!C947)</f>
        <v/>
      </c>
      <c r="D947" s="12">
        <f>IF('Data Entry'!A947="","",'Data Entry'!D947)</f>
        <v/>
      </c>
      <c r="E947" s="12">
        <f>IF('Data Entry'!A947="","",'Data Entry'!E947)</f>
        <v/>
      </c>
      <c r="F947" s="12">
        <f>IF('Data Entry'!A947="","",'Data Entry'!F947)</f>
        <v/>
      </c>
      <c r="G947" s="13">
        <f>IF('Data Entry'!A947="","",'Data Entry'!G947)</f>
        <v/>
      </c>
      <c r="H947" s="10">
        <f>IF('Data Entry'!A947="","",'Data Entry'!H947)</f>
        <v/>
      </c>
      <c r="I947" s="10">
        <f>IF('Data Entry'!A947="","",'Data Entry'!I947)</f>
        <v/>
      </c>
      <c r="J947" s="12">
        <f>IF('Data Entry'!A947="","",IF('Data Entry'!D947&lt;&gt;"",'Data Entry'!D947,'Data Entry'!E947))</f>
        <v/>
      </c>
      <c r="K947" s="10">
        <f>IF('Data Entry'!A947="","",IFERROR(SUMIFS($H$5:$H$2001,$J$5:$J$2001,$J947,$B$5:$B$2001,$B947,$A$5:$A$2001,(MAXIFS($A$5:$A$2001,$J$5:$J$2001,$J947,$B$5:$B$2001,$B947,$A$5:$A$2001,"&lt;"&amp;$A947))),""))</f>
        <v/>
      </c>
      <c r="L947" s="14">
        <f>IF(OR('Data Entry'!A947="",$K947=""),"",$H947-$K947)</f>
        <v/>
      </c>
      <c r="M947" s="15">
        <f>IF(OR('Data Entry'!A947="",$K947="",$K947=0),"",$L947/$K947)</f>
        <v/>
      </c>
      <c r="N947" s="12">
        <f>IF('Data Entry'!A947="","",IF($L947="","New item",IF($L947&gt;0,"UP",IF($L947&lt;0,"down","same"))))</f>
        <v/>
      </c>
    </row>
    <row r="948">
      <c r="A948" s="11">
        <f>IF('Data Entry'!A948="","",'Data Entry'!A948)</f>
        <v/>
      </c>
      <c r="B948" s="12">
        <f>IF('Data Entry'!A948="","",'Data Entry'!B948)</f>
        <v/>
      </c>
      <c r="C948" s="12">
        <f>IF('Data Entry'!A948="","",'Data Entry'!C948)</f>
        <v/>
      </c>
      <c r="D948" s="12">
        <f>IF('Data Entry'!A948="","",'Data Entry'!D948)</f>
        <v/>
      </c>
      <c r="E948" s="12">
        <f>IF('Data Entry'!A948="","",'Data Entry'!E948)</f>
        <v/>
      </c>
      <c r="F948" s="12">
        <f>IF('Data Entry'!A948="","",'Data Entry'!F948)</f>
        <v/>
      </c>
      <c r="G948" s="13">
        <f>IF('Data Entry'!A948="","",'Data Entry'!G948)</f>
        <v/>
      </c>
      <c r="H948" s="10">
        <f>IF('Data Entry'!A948="","",'Data Entry'!H948)</f>
        <v/>
      </c>
      <c r="I948" s="10">
        <f>IF('Data Entry'!A948="","",'Data Entry'!I948)</f>
        <v/>
      </c>
      <c r="J948" s="12">
        <f>IF('Data Entry'!A948="","",IF('Data Entry'!D948&lt;&gt;"",'Data Entry'!D948,'Data Entry'!E948))</f>
        <v/>
      </c>
      <c r="K948" s="10">
        <f>IF('Data Entry'!A948="","",IFERROR(SUMIFS($H$5:$H$2001,$J$5:$J$2001,$J948,$B$5:$B$2001,$B948,$A$5:$A$2001,(MAXIFS($A$5:$A$2001,$J$5:$J$2001,$J948,$B$5:$B$2001,$B948,$A$5:$A$2001,"&lt;"&amp;$A948))),""))</f>
        <v/>
      </c>
      <c r="L948" s="14">
        <f>IF(OR('Data Entry'!A948="",$K948=""),"",$H948-$K948)</f>
        <v/>
      </c>
      <c r="M948" s="15">
        <f>IF(OR('Data Entry'!A948="",$K948="",$K948=0),"",$L948/$K948)</f>
        <v/>
      </c>
      <c r="N948" s="12">
        <f>IF('Data Entry'!A948="","",IF($L948="","New item",IF($L948&gt;0,"UP",IF($L948&lt;0,"down","same"))))</f>
        <v/>
      </c>
    </row>
    <row r="949">
      <c r="A949" s="11">
        <f>IF('Data Entry'!A949="","",'Data Entry'!A949)</f>
        <v/>
      </c>
      <c r="B949" s="12">
        <f>IF('Data Entry'!A949="","",'Data Entry'!B949)</f>
        <v/>
      </c>
      <c r="C949" s="12">
        <f>IF('Data Entry'!A949="","",'Data Entry'!C949)</f>
        <v/>
      </c>
      <c r="D949" s="12">
        <f>IF('Data Entry'!A949="","",'Data Entry'!D949)</f>
        <v/>
      </c>
      <c r="E949" s="12">
        <f>IF('Data Entry'!A949="","",'Data Entry'!E949)</f>
        <v/>
      </c>
      <c r="F949" s="12">
        <f>IF('Data Entry'!A949="","",'Data Entry'!F949)</f>
        <v/>
      </c>
      <c r="G949" s="13">
        <f>IF('Data Entry'!A949="","",'Data Entry'!G949)</f>
        <v/>
      </c>
      <c r="H949" s="10">
        <f>IF('Data Entry'!A949="","",'Data Entry'!H949)</f>
        <v/>
      </c>
      <c r="I949" s="10">
        <f>IF('Data Entry'!A949="","",'Data Entry'!I949)</f>
        <v/>
      </c>
      <c r="J949" s="12">
        <f>IF('Data Entry'!A949="","",IF('Data Entry'!D949&lt;&gt;"",'Data Entry'!D949,'Data Entry'!E949))</f>
        <v/>
      </c>
      <c r="K949" s="10">
        <f>IF('Data Entry'!A949="","",IFERROR(SUMIFS($H$5:$H$2001,$J$5:$J$2001,$J949,$B$5:$B$2001,$B949,$A$5:$A$2001,(MAXIFS($A$5:$A$2001,$J$5:$J$2001,$J949,$B$5:$B$2001,$B949,$A$5:$A$2001,"&lt;"&amp;$A949))),""))</f>
        <v/>
      </c>
      <c r="L949" s="14">
        <f>IF(OR('Data Entry'!A949="",$K949=""),"",$H949-$K949)</f>
        <v/>
      </c>
      <c r="M949" s="15">
        <f>IF(OR('Data Entry'!A949="",$K949="",$K949=0),"",$L949/$K949)</f>
        <v/>
      </c>
      <c r="N949" s="12">
        <f>IF('Data Entry'!A949="","",IF($L949="","New item",IF($L949&gt;0,"UP",IF($L949&lt;0,"down","same"))))</f>
        <v/>
      </c>
    </row>
    <row r="950">
      <c r="A950" s="11">
        <f>IF('Data Entry'!A950="","",'Data Entry'!A950)</f>
        <v/>
      </c>
      <c r="B950" s="12">
        <f>IF('Data Entry'!A950="","",'Data Entry'!B950)</f>
        <v/>
      </c>
      <c r="C950" s="12">
        <f>IF('Data Entry'!A950="","",'Data Entry'!C950)</f>
        <v/>
      </c>
      <c r="D950" s="12">
        <f>IF('Data Entry'!A950="","",'Data Entry'!D950)</f>
        <v/>
      </c>
      <c r="E950" s="12">
        <f>IF('Data Entry'!A950="","",'Data Entry'!E950)</f>
        <v/>
      </c>
      <c r="F950" s="12">
        <f>IF('Data Entry'!A950="","",'Data Entry'!F950)</f>
        <v/>
      </c>
      <c r="G950" s="13">
        <f>IF('Data Entry'!A950="","",'Data Entry'!G950)</f>
        <v/>
      </c>
      <c r="H950" s="10">
        <f>IF('Data Entry'!A950="","",'Data Entry'!H950)</f>
        <v/>
      </c>
      <c r="I950" s="10">
        <f>IF('Data Entry'!A950="","",'Data Entry'!I950)</f>
        <v/>
      </c>
      <c r="J950" s="12">
        <f>IF('Data Entry'!A950="","",IF('Data Entry'!D950&lt;&gt;"",'Data Entry'!D950,'Data Entry'!E950))</f>
        <v/>
      </c>
      <c r="K950" s="10">
        <f>IF('Data Entry'!A950="","",IFERROR(SUMIFS($H$5:$H$2001,$J$5:$J$2001,$J950,$B$5:$B$2001,$B950,$A$5:$A$2001,(MAXIFS($A$5:$A$2001,$J$5:$J$2001,$J950,$B$5:$B$2001,$B950,$A$5:$A$2001,"&lt;"&amp;$A950))),""))</f>
        <v/>
      </c>
      <c r="L950" s="14">
        <f>IF(OR('Data Entry'!A950="",$K950=""),"",$H950-$K950)</f>
        <v/>
      </c>
      <c r="M950" s="15">
        <f>IF(OR('Data Entry'!A950="",$K950="",$K950=0),"",$L950/$K950)</f>
        <v/>
      </c>
      <c r="N950" s="12">
        <f>IF('Data Entry'!A950="","",IF($L950="","New item",IF($L950&gt;0,"UP",IF($L950&lt;0,"down","same"))))</f>
        <v/>
      </c>
    </row>
    <row r="951">
      <c r="A951" s="11">
        <f>IF('Data Entry'!A951="","",'Data Entry'!A951)</f>
        <v/>
      </c>
      <c r="B951" s="12">
        <f>IF('Data Entry'!A951="","",'Data Entry'!B951)</f>
        <v/>
      </c>
      <c r="C951" s="12">
        <f>IF('Data Entry'!A951="","",'Data Entry'!C951)</f>
        <v/>
      </c>
      <c r="D951" s="12">
        <f>IF('Data Entry'!A951="","",'Data Entry'!D951)</f>
        <v/>
      </c>
      <c r="E951" s="12">
        <f>IF('Data Entry'!A951="","",'Data Entry'!E951)</f>
        <v/>
      </c>
      <c r="F951" s="12">
        <f>IF('Data Entry'!A951="","",'Data Entry'!F951)</f>
        <v/>
      </c>
      <c r="G951" s="13">
        <f>IF('Data Entry'!A951="","",'Data Entry'!G951)</f>
        <v/>
      </c>
      <c r="H951" s="10">
        <f>IF('Data Entry'!A951="","",'Data Entry'!H951)</f>
        <v/>
      </c>
      <c r="I951" s="10">
        <f>IF('Data Entry'!A951="","",'Data Entry'!I951)</f>
        <v/>
      </c>
      <c r="J951" s="12">
        <f>IF('Data Entry'!A951="","",IF('Data Entry'!D951&lt;&gt;"",'Data Entry'!D951,'Data Entry'!E951))</f>
        <v/>
      </c>
      <c r="K951" s="10">
        <f>IF('Data Entry'!A951="","",IFERROR(SUMIFS($H$5:$H$2001,$J$5:$J$2001,$J951,$B$5:$B$2001,$B951,$A$5:$A$2001,(MAXIFS($A$5:$A$2001,$J$5:$J$2001,$J951,$B$5:$B$2001,$B951,$A$5:$A$2001,"&lt;"&amp;$A951))),""))</f>
        <v/>
      </c>
      <c r="L951" s="14">
        <f>IF(OR('Data Entry'!A951="",$K951=""),"",$H951-$K951)</f>
        <v/>
      </c>
      <c r="M951" s="15">
        <f>IF(OR('Data Entry'!A951="",$K951="",$K951=0),"",$L951/$K951)</f>
        <v/>
      </c>
      <c r="N951" s="12">
        <f>IF('Data Entry'!A951="","",IF($L951="","New item",IF($L951&gt;0,"UP",IF($L951&lt;0,"down","same"))))</f>
        <v/>
      </c>
    </row>
    <row r="952">
      <c r="A952" s="11">
        <f>IF('Data Entry'!A952="","",'Data Entry'!A952)</f>
        <v/>
      </c>
      <c r="B952" s="12">
        <f>IF('Data Entry'!A952="","",'Data Entry'!B952)</f>
        <v/>
      </c>
      <c r="C952" s="12">
        <f>IF('Data Entry'!A952="","",'Data Entry'!C952)</f>
        <v/>
      </c>
      <c r="D952" s="12">
        <f>IF('Data Entry'!A952="","",'Data Entry'!D952)</f>
        <v/>
      </c>
      <c r="E952" s="12">
        <f>IF('Data Entry'!A952="","",'Data Entry'!E952)</f>
        <v/>
      </c>
      <c r="F952" s="12">
        <f>IF('Data Entry'!A952="","",'Data Entry'!F952)</f>
        <v/>
      </c>
      <c r="G952" s="13">
        <f>IF('Data Entry'!A952="","",'Data Entry'!G952)</f>
        <v/>
      </c>
      <c r="H952" s="10">
        <f>IF('Data Entry'!A952="","",'Data Entry'!H952)</f>
        <v/>
      </c>
      <c r="I952" s="10">
        <f>IF('Data Entry'!A952="","",'Data Entry'!I952)</f>
        <v/>
      </c>
      <c r="J952" s="12">
        <f>IF('Data Entry'!A952="","",IF('Data Entry'!D952&lt;&gt;"",'Data Entry'!D952,'Data Entry'!E952))</f>
        <v/>
      </c>
      <c r="K952" s="10">
        <f>IF('Data Entry'!A952="","",IFERROR(SUMIFS($H$5:$H$2001,$J$5:$J$2001,$J952,$B$5:$B$2001,$B952,$A$5:$A$2001,(MAXIFS($A$5:$A$2001,$J$5:$J$2001,$J952,$B$5:$B$2001,$B952,$A$5:$A$2001,"&lt;"&amp;$A952))),""))</f>
        <v/>
      </c>
      <c r="L952" s="14">
        <f>IF(OR('Data Entry'!A952="",$K952=""),"",$H952-$K952)</f>
        <v/>
      </c>
      <c r="M952" s="15">
        <f>IF(OR('Data Entry'!A952="",$K952="",$K952=0),"",$L952/$K952)</f>
        <v/>
      </c>
      <c r="N952" s="12">
        <f>IF('Data Entry'!A952="","",IF($L952="","New item",IF($L952&gt;0,"UP",IF($L952&lt;0,"down","same"))))</f>
        <v/>
      </c>
    </row>
    <row r="953">
      <c r="A953" s="11">
        <f>IF('Data Entry'!A953="","",'Data Entry'!A953)</f>
        <v/>
      </c>
      <c r="B953" s="12">
        <f>IF('Data Entry'!A953="","",'Data Entry'!B953)</f>
        <v/>
      </c>
      <c r="C953" s="12">
        <f>IF('Data Entry'!A953="","",'Data Entry'!C953)</f>
        <v/>
      </c>
      <c r="D953" s="12">
        <f>IF('Data Entry'!A953="","",'Data Entry'!D953)</f>
        <v/>
      </c>
      <c r="E953" s="12">
        <f>IF('Data Entry'!A953="","",'Data Entry'!E953)</f>
        <v/>
      </c>
      <c r="F953" s="12">
        <f>IF('Data Entry'!A953="","",'Data Entry'!F953)</f>
        <v/>
      </c>
      <c r="G953" s="13">
        <f>IF('Data Entry'!A953="","",'Data Entry'!G953)</f>
        <v/>
      </c>
      <c r="H953" s="10">
        <f>IF('Data Entry'!A953="","",'Data Entry'!H953)</f>
        <v/>
      </c>
      <c r="I953" s="10">
        <f>IF('Data Entry'!A953="","",'Data Entry'!I953)</f>
        <v/>
      </c>
      <c r="J953" s="12">
        <f>IF('Data Entry'!A953="","",IF('Data Entry'!D953&lt;&gt;"",'Data Entry'!D953,'Data Entry'!E953))</f>
        <v/>
      </c>
      <c r="K953" s="10">
        <f>IF('Data Entry'!A953="","",IFERROR(SUMIFS($H$5:$H$2001,$J$5:$J$2001,$J953,$B$5:$B$2001,$B953,$A$5:$A$2001,(MAXIFS($A$5:$A$2001,$J$5:$J$2001,$J953,$B$5:$B$2001,$B953,$A$5:$A$2001,"&lt;"&amp;$A953))),""))</f>
        <v/>
      </c>
      <c r="L953" s="14">
        <f>IF(OR('Data Entry'!A953="",$K953=""),"",$H953-$K953)</f>
        <v/>
      </c>
      <c r="M953" s="15">
        <f>IF(OR('Data Entry'!A953="",$K953="",$K953=0),"",$L953/$K953)</f>
        <v/>
      </c>
      <c r="N953" s="12">
        <f>IF('Data Entry'!A953="","",IF($L953="","New item",IF($L953&gt;0,"UP",IF($L953&lt;0,"down","same"))))</f>
        <v/>
      </c>
    </row>
    <row r="954">
      <c r="A954" s="11">
        <f>IF('Data Entry'!A954="","",'Data Entry'!A954)</f>
        <v/>
      </c>
      <c r="B954" s="12">
        <f>IF('Data Entry'!A954="","",'Data Entry'!B954)</f>
        <v/>
      </c>
      <c r="C954" s="12">
        <f>IF('Data Entry'!A954="","",'Data Entry'!C954)</f>
        <v/>
      </c>
      <c r="D954" s="12">
        <f>IF('Data Entry'!A954="","",'Data Entry'!D954)</f>
        <v/>
      </c>
      <c r="E954" s="12">
        <f>IF('Data Entry'!A954="","",'Data Entry'!E954)</f>
        <v/>
      </c>
      <c r="F954" s="12">
        <f>IF('Data Entry'!A954="","",'Data Entry'!F954)</f>
        <v/>
      </c>
      <c r="G954" s="13">
        <f>IF('Data Entry'!A954="","",'Data Entry'!G954)</f>
        <v/>
      </c>
      <c r="H954" s="10">
        <f>IF('Data Entry'!A954="","",'Data Entry'!H954)</f>
        <v/>
      </c>
      <c r="I954" s="10">
        <f>IF('Data Entry'!A954="","",'Data Entry'!I954)</f>
        <v/>
      </c>
      <c r="J954" s="12">
        <f>IF('Data Entry'!A954="","",IF('Data Entry'!D954&lt;&gt;"",'Data Entry'!D954,'Data Entry'!E954))</f>
        <v/>
      </c>
      <c r="K954" s="10">
        <f>IF('Data Entry'!A954="","",IFERROR(SUMIFS($H$5:$H$2001,$J$5:$J$2001,$J954,$B$5:$B$2001,$B954,$A$5:$A$2001,(MAXIFS($A$5:$A$2001,$J$5:$J$2001,$J954,$B$5:$B$2001,$B954,$A$5:$A$2001,"&lt;"&amp;$A954))),""))</f>
        <v/>
      </c>
      <c r="L954" s="14">
        <f>IF(OR('Data Entry'!A954="",$K954=""),"",$H954-$K954)</f>
        <v/>
      </c>
      <c r="M954" s="15">
        <f>IF(OR('Data Entry'!A954="",$K954="",$K954=0),"",$L954/$K954)</f>
        <v/>
      </c>
      <c r="N954" s="12">
        <f>IF('Data Entry'!A954="","",IF($L954="","New item",IF($L954&gt;0,"UP",IF($L954&lt;0,"down","same"))))</f>
        <v/>
      </c>
    </row>
    <row r="955">
      <c r="A955" s="11">
        <f>IF('Data Entry'!A955="","",'Data Entry'!A955)</f>
        <v/>
      </c>
      <c r="B955" s="12">
        <f>IF('Data Entry'!A955="","",'Data Entry'!B955)</f>
        <v/>
      </c>
      <c r="C955" s="12">
        <f>IF('Data Entry'!A955="","",'Data Entry'!C955)</f>
        <v/>
      </c>
      <c r="D955" s="12">
        <f>IF('Data Entry'!A955="","",'Data Entry'!D955)</f>
        <v/>
      </c>
      <c r="E955" s="12">
        <f>IF('Data Entry'!A955="","",'Data Entry'!E955)</f>
        <v/>
      </c>
      <c r="F955" s="12">
        <f>IF('Data Entry'!A955="","",'Data Entry'!F955)</f>
        <v/>
      </c>
      <c r="G955" s="13">
        <f>IF('Data Entry'!A955="","",'Data Entry'!G955)</f>
        <v/>
      </c>
      <c r="H955" s="10">
        <f>IF('Data Entry'!A955="","",'Data Entry'!H955)</f>
        <v/>
      </c>
      <c r="I955" s="10">
        <f>IF('Data Entry'!A955="","",'Data Entry'!I955)</f>
        <v/>
      </c>
      <c r="J955" s="12">
        <f>IF('Data Entry'!A955="","",IF('Data Entry'!D955&lt;&gt;"",'Data Entry'!D955,'Data Entry'!E955))</f>
        <v/>
      </c>
      <c r="K955" s="10">
        <f>IF('Data Entry'!A955="","",IFERROR(SUMIFS($H$5:$H$2001,$J$5:$J$2001,$J955,$B$5:$B$2001,$B955,$A$5:$A$2001,(MAXIFS($A$5:$A$2001,$J$5:$J$2001,$J955,$B$5:$B$2001,$B955,$A$5:$A$2001,"&lt;"&amp;$A955))),""))</f>
        <v/>
      </c>
      <c r="L955" s="14">
        <f>IF(OR('Data Entry'!A955="",$K955=""),"",$H955-$K955)</f>
        <v/>
      </c>
      <c r="M955" s="15">
        <f>IF(OR('Data Entry'!A955="",$K955="",$K955=0),"",$L955/$K955)</f>
        <v/>
      </c>
      <c r="N955" s="12">
        <f>IF('Data Entry'!A955="","",IF($L955="","New item",IF($L955&gt;0,"UP",IF($L955&lt;0,"down","same"))))</f>
        <v/>
      </c>
    </row>
    <row r="956">
      <c r="A956" s="11">
        <f>IF('Data Entry'!A956="","",'Data Entry'!A956)</f>
        <v/>
      </c>
      <c r="B956" s="12">
        <f>IF('Data Entry'!A956="","",'Data Entry'!B956)</f>
        <v/>
      </c>
      <c r="C956" s="12">
        <f>IF('Data Entry'!A956="","",'Data Entry'!C956)</f>
        <v/>
      </c>
      <c r="D956" s="12">
        <f>IF('Data Entry'!A956="","",'Data Entry'!D956)</f>
        <v/>
      </c>
      <c r="E956" s="12">
        <f>IF('Data Entry'!A956="","",'Data Entry'!E956)</f>
        <v/>
      </c>
      <c r="F956" s="12">
        <f>IF('Data Entry'!A956="","",'Data Entry'!F956)</f>
        <v/>
      </c>
      <c r="G956" s="13">
        <f>IF('Data Entry'!A956="","",'Data Entry'!G956)</f>
        <v/>
      </c>
      <c r="H956" s="10">
        <f>IF('Data Entry'!A956="","",'Data Entry'!H956)</f>
        <v/>
      </c>
      <c r="I956" s="10">
        <f>IF('Data Entry'!A956="","",'Data Entry'!I956)</f>
        <v/>
      </c>
      <c r="J956" s="12">
        <f>IF('Data Entry'!A956="","",IF('Data Entry'!D956&lt;&gt;"",'Data Entry'!D956,'Data Entry'!E956))</f>
        <v/>
      </c>
      <c r="K956" s="10">
        <f>IF('Data Entry'!A956="","",IFERROR(SUMIFS($H$5:$H$2001,$J$5:$J$2001,$J956,$B$5:$B$2001,$B956,$A$5:$A$2001,(MAXIFS($A$5:$A$2001,$J$5:$J$2001,$J956,$B$5:$B$2001,$B956,$A$5:$A$2001,"&lt;"&amp;$A956))),""))</f>
        <v/>
      </c>
      <c r="L956" s="14">
        <f>IF(OR('Data Entry'!A956="",$K956=""),"",$H956-$K956)</f>
        <v/>
      </c>
      <c r="M956" s="15">
        <f>IF(OR('Data Entry'!A956="",$K956="",$K956=0),"",$L956/$K956)</f>
        <v/>
      </c>
      <c r="N956" s="12">
        <f>IF('Data Entry'!A956="","",IF($L956="","New item",IF($L956&gt;0,"UP",IF($L956&lt;0,"down","same"))))</f>
        <v/>
      </c>
    </row>
    <row r="957">
      <c r="A957" s="11">
        <f>IF('Data Entry'!A957="","",'Data Entry'!A957)</f>
        <v/>
      </c>
      <c r="B957" s="12">
        <f>IF('Data Entry'!A957="","",'Data Entry'!B957)</f>
        <v/>
      </c>
      <c r="C957" s="12">
        <f>IF('Data Entry'!A957="","",'Data Entry'!C957)</f>
        <v/>
      </c>
      <c r="D957" s="12">
        <f>IF('Data Entry'!A957="","",'Data Entry'!D957)</f>
        <v/>
      </c>
      <c r="E957" s="12">
        <f>IF('Data Entry'!A957="","",'Data Entry'!E957)</f>
        <v/>
      </c>
      <c r="F957" s="12">
        <f>IF('Data Entry'!A957="","",'Data Entry'!F957)</f>
        <v/>
      </c>
      <c r="G957" s="13">
        <f>IF('Data Entry'!A957="","",'Data Entry'!G957)</f>
        <v/>
      </c>
      <c r="H957" s="10">
        <f>IF('Data Entry'!A957="","",'Data Entry'!H957)</f>
        <v/>
      </c>
      <c r="I957" s="10">
        <f>IF('Data Entry'!A957="","",'Data Entry'!I957)</f>
        <v/>
      </c>
      <c r="J957" s="12">
        <f>IF('Data Entry'!A957="","",IF('Data Entry'!D957&lt;&gt;"",'Data Entry'!D957,'Data Entry'!E957))</f>
        <v/>
      </c>
      <c r="K957" s="10">
        <f>IF('Data Entry'!A957="","",IFERROR(SUMIFS($H$5:$H$2001,$J$5:$J$2001,$J957,$B$5:$B$2001,$B957,$A$5:$A$2001,(MAXIFS($A$5:$A$2001,$J$5:$J$2001,$J957,$B$5:$B$2001,$B957,$A$5:$A$2001,"&lt;"&amp;$A957))),""))</f>
        <v/>
      </c>
      <c r="L957" s="14">
        <f>IF(OR('Data Entry'!A957="",$K957=""),"",$H957-$K957)</f>
        <v/>
      </c>
      <c r="M957" s="15">
        <f>IF(OR('Data Entry'!A957="",$K957="",$K957=0),"",$L957/$K957)</f>
        <v/>
      </c>
      <c r="N957" s="12">
        <f>IF('Data Entry'!A957="","",IF($L957="","New item",IF($L957&gt;0,"UP",IF($L957&lt;0,"down","same"))))</f>
        <v/>
      </c>
    </row>
    <row r="958">
      <c r="A958" s="11">
        <f>IF('Data Entry'!A958="","",'Data Entry'!A958)</f>
        <v/>
      </c>
      <c r="B958" s="12">
        <f>IF('Data Entry'!A958="","",'Data Entry'!B958)</f>
        <v/>
      </c>
      <c r="C958" s="12">
        <f>IF('Data Entry'!A958="","",'Data Entry'!C958)</f>
        <v/>
      </c>
      <c r="D958" s="12">
        <f>IF('Data Entry'!A958="","",'Data Entry'!D958)</f>
        <v/>
      </c>
      <c r="E958" s="12">
        <f>IF('Data Entry'!A958="","",'Data Entry'!E958)</f>
        <v/>
      </c>
      <c r="F958" s="12">
        <f>IF('Data Entry'!A958="","",'Data Entry'!F958)</f>
        <v/>
      </c>
      <c r="G958" s="13">
        <f>IF('Data Entry'!A958="","",'Data Entry'!G958)</f>
        <v/>
      </c>
      <c r="H958" s="10">
        <f>IF('Data Entry'!A958="","",'Data Entry'!H958)</f>
        <v/>
      </c>
      <c r="I958" s="10">
        <f>IF('Data Entry'!A958="","",'Data Entry'!I958)</f>
        <v/>
      </c>
      <c r="J958" s="12">
        <f>IF('Data Entry'!A958="","",IF('Data Entry'!D958&lt;&gt;"",'Data Entry'!D958,'Data Entry'!E958))</f>
        <v/>
      </c>
      <c r="K958" s="10">
        <f>IF('Data Entry'!A958="","",IFERROR(SUMIFS($H$5:$H$2001,$J$5:$J$2001,$J958,$B$5:$B$2001,$B958,$A$5:$A$2001,(MAXIFS($A$5:$A$2001,$J$5:$J$2001,$J958,$B$5:$B$2001,$B958,$A$5:$A$2001,"&lt;"&amp;$A958))),""))</f>
        <v/>
      </c>
      <c r="L958" s="14">
        <f>IF(OR('Data Entry'!A958="",$K958=""),"",$H958-$K958)</f>
        <v/>
      </c>
      <c r="M958" s="15">
        <f>IF(OR('Data Entry'!A958="",$K958="",$K958=0),"",$L958/$K958)</f>
        <v/>
      </c>
      <c r="N958" s="12">
        <f>IF('Data Entry'!A958="","",IF($L958="","New item",IF($L958&gt;0,"UP",IF($L958&lt;0,"down","same"))))</f>
        <v/>
      </c>
    </row>
    <row r="959">
      <c r="A959" s="11">
        <f>IF('Data Entry'!A959="","",'Data Entry'!A959)</f>
        <v/>
      </c>
      <c r="B959" s="12">
        <f>IF('Data Entry'!A959="","",'Data Entry'!B959)</f>
        <v/>
      </c>
      <c r="C959" s="12">
        <f>IF('Data Entry'!A959="","",'Data Entry'!C959)</f>
        <v/>
      </c>
      <c r="D959" s="12">
        <f>IF('Data Entry'!A959="","",'Data Entry'!D959)</f>
        <v/>
      </c>
      <c r="E959" s="12">
        <f>IF('Data Entry'!A959="","",'Data Entry'!E959)</f>
        <v/>
      </c>
      <c r="F959" s="12">
        <f>IF('Data Entry'!A959="","",'Data Entry'!F959)</f>
        <v/>
      </c>
      <c r="G959" s="13">
        <f>IF('Data Entry'!A959="","",'Data Entry'!G959)</f>
        <v/>
      </c>
      <c r="H959" s="10">
        <f>IF('Data Entry'!A959="","",'Data Entry'!H959)</f>
        <v/>
      </c>
      <c r="I959" s="10">
        <f>IF('Data Entry'!A959="","",'Data Entry'!I959)</f>
        <v/>
      </c>
      <c r="J959" s="12">
        <f>IF('Data Entry'!A959="","",IF('Data Entry'!D959&lt;&gt;"",'Data Entry'!D959,'Data Entry'!E959))</f>
        <v/>
      </c>
      <c r="K959" s="10">
        <f>IF('Data Entry'!A959="","",IFERROR(SUMIFS($H$5:$H$2001,$J$5:$J$2001,$J959,$B$5:$B$2001,$B959,$A$5:$A$2001,(MAXIFS($A$5:$A$2001,$J$5:$J$2001,$J959,$B$5:$B$2001,$B959,$A$5:$A$2001,"&lt;"&amp;$A959))),""))</f>
        <v/>
      </c>
      <c r="L959" s="14">
        <f>IF(OR('Data Entry'!A959="",$K959=""),"",$H959-$K959)</f>
        <v/>
      </c>
      <c r="M959" s="15">
        <f>IF(OR('Data Entry'!A959="",$K959="",$K959=0),"",$L959/$K959)</f>
        <v/>
      </c>
      <c r="N959" s="12">
        <f>IF('Data Entry'!A959="","",IF($L959="","New item",IF($L959&gt;0,"UP",IF($L959&lt;0,"down","same"))))</f>
        <v/>
      </c>
    </row>
    <row r="960">
      <c r="A960" s="11">
        <f>IF('Data Entry'!A960="","",'Data Entry'!A960)</f>
        <v/>
      </c>
      <c r="B960" s="12">
        <f>IF('Data Entry'!A960="","",'Data Entry'!B960)</f>
        <v/>
      </c>
      <c r="C960" s="12">
        <f>IF('Data Entry'!A960="","",'Data Entry'!C960)</f>
        <v/>
      </c>
      <c r="D960" s="12">
        <f>IF('Data Entry'!A960="","",'Data Entry'!D960)</f>
        <v/>
      </c>
      <c r="E960" s="12">
        <f>IF('Data Entry'!A960="","",'Data Entry'!E960)</f>
        <v/>
      </c>
      <c r="F960" s="12">
        <f>IF('Data Entry'!A960="","",'Data Entry'!F960)</f>
        <v/>
      </c>
      <c r="G960" s="13">
        <f>IF('Data Entry'!A960="","",'Data Entry'!G960)</f>
        <v/>
      </c>
      <c r="H960" s="10">
        <f>IF('Data Entry'!A960="","",'Data Entry'!H960)</f>
        <v/>
      </c>
      <c r="I960" s="10">
        <f>IF('Data Entry'!A960="","",'Data Entry'!I960)</f>
        <v/>
      </c>
      <c r="J960" s="12">
        <f>IF('Data Entry'!A960="","",IF('Data Entry'!D960&lt;&gt;"",'Data Entry'!D960,'Data Entry'!E960))</f>
        <v/>
      </c>
      <c r="K960" s="10">
        <f>IF('Data Entry'!A960="","",IFERROR(SUMIFS($H$5:$H$2001,$J$5:$J$2001,$J960,$B$5:$B$2001,$B960,$A$5:$A$2001,(MAXIFS($A$5:$A$2001,$J$5:$J$2001,$J960,$B$5:$B$2001,$B960,$A$5:$A$2001,"&lt;"&amp;$A960))),""))</f>
        <v/>
      </c>
      <c r="L960" s="14">
        <f>IF(OR('Data Entry'!A960="",$K960=""),"",$H960-$K960)</f>
        <v/>
      </c>
      <c r="M960" s="15">
        <f>IF(OR('Data Entry'!A960="",$K960="",$K960=0),"",$L960/$K960)</f>
        <v/>
      </c>
      <c r="N960" s="12">
        <f>IF('Data Entry'!A960="","",IF($L960="","New item",IF($L960&gt;0,"UP",IF($L960&lt;0,"down","same"))))</f>
        <v/>
      </c>
    </row>
    <row r="961">
      <c r="A961" s="11">
        <f>IF('Data Entry'!A961="","",'Data Entry'!A961)</f>
        <v/>
      </c>
      <c r="B961" s="12">
        <f>IF('Data Entry'!A961="","",'Data Entry'!B961)</f>
        <v/>
      </c>
      <c r="C961" s="12">
        <f>IF('Data Entry'!A961="","",'Data Entry'!C961)</f>
        <v/>
      </c>
      <c r="D961" s="12">
        <f>IF('Data Entry'!A961="","",'Data Entry'!D961)</f>
        <v/>
      </c>
      <c r="E961" s="12">
        <f>IF('Data Entry'!A961="","",'Data Entry'!E961)</f>
        <v/>
      </c>
      <c r="F961" s="12">
        <f>IF('Data Entry'!A961="","",'Data Entry'!F961)</f>
        <v/>
      </c>
      <c r="G961" s="13">
        <f>IF('Data Entry'!A961="","",'Data Entry'!G961)</f>
        <v/>
      </c>
      <c r="H961" s="10">
        <f>IF('Data Entry'!A961="","",'Data Entry'!H961)</f>
        <v/>
      </c>
      <c r="I961" s="10">
        <f>IF('Data Entry'!A961="","",'Data Entry'!I961)</f>
        <v/>
      </c>
      <c r="J961" s="12">
        <f>IF('Data Entry'!A961="","",IF('Data Entry'!D961&lt;&gt;"",'Data Entry'!D961,'Data Entry'!E961))</f>
        <v/>
      </c>
      <c r="K961" s="10">
        <f>IF('Data Entry'!A961="","",IFERROR(SUMIFS($H$5:$H$2001,$J$5:$J$2001,$J961,$B$5:$B$2001,$B961,$A$5:$A$2001,(MAXIFS($A$5:$A$2001,$J$5:$J$2001,$J961,$B$5:$B$2001,$B961,$A$5:$A$2001,"&lt;"&amp;$A961))),""))</f>
        <v/>
      </c>
      <c r="L961" s="14">
        <f>IF(OR('Data Entry'!A961="",$K961=""),"",$H961-$K961)</f>
        <v/>
      </c>
      <c r="M961" s="15">
        <f>IF(OR('Data Entry'!A961="",$K961="",$K961=0),"",$L961/$K961)</f>
        <v/>
      </c>
      <c r="N961" s="12">
        <f>IF('Data Entry'!A961="","",IF($L961="","New item",IF($L961&gt;0,"UP",IF($L961&lt;0,"down","same"))))</f>
        <v/>
      </c>
    </row>
    <row r="962">
      <c r="A962" s="11">
        <f>IF('Data Entry'!A962="","",'Data Entry'!A962)</f>
        <v/>
      </c>
      <c r="B962" s="12">
        <f>IF('Data Entry'!A962="","",'Data Entry'!B962)</f>
        <v/>
      </c>
      <c r="C962" s="12">
        <f>IF('Data Entry'!A962="","",'Data Entry'!C962)</f>
        <v/>
      </c>
      <c r="D962" s="12">
        <f>IF('Data Entry'!A962="","",'Data Entry'!D962)</f>
        <v/>
      </c>
      <c r="E962" s="12">
        <f>IF('Data Entry'!A962="","",'Data Entry'!E962)</f>
        <v/>
      </c>
      <c r="F962" s="12">
        <f>IF('Data Entry'!A962="","",'Data Entry'!F962)</f>
        <v/>
      </c>
      <c r="G962" s="13">
        <f>IF('Data Entry'!A962="","",'Data Entry'!G962)</f>
        <v/>
      </c>
      <c r="H962" s="10">
        <f>IF('Data Entry'!A962="","",'Data Entry'!H962)</f>
        <v/>
      </c>
      <c r="I962" s="10">
        <f>IF('Data Entry'!A962="","",'Data Entry'!I962)</f>
        <v/>
      </c>
      <c r="J962" s="12">
        <f>IF('Data Entry'!A962="","",IF('Data Entry'!D962&lt;&gt;"",'Data Entry'!D962,'Data Entry'!E962))</f>
        <v/>
      </c>
      <c r="K962" s="10">
        <f>IF('Data Entry'!A962="","",IFERROR(SUMIFS($H$5:$H$2001,$J$5:$J$2001,$J962,$B$5:$B$2001,$B962,$A$5:$A$2001,(MAXIFS($A$5:$A$2001,$J$5:$J$2001,$J962,$B$5:$B$2001,$B962,$A$5:$A$2001,"&lt;"&amp;$A962))),""))</f>
        <v/>
      </c>
      <c r="L962" s="14">
        <f>IF(OR('Data Entry'!A962="",$K962=""),"",$H962-$K962)</f>
        <v/>
      </c>
      <c r="M962" s="15">
        <f>IF(OR('Data Entry'!A962="",$K962="",$K962=0),"",$L962/$K962)</f>
        <v/>
      </c>
      <c r="N962" s="12">
        <f>IF('Data Entry'!A962="","",IF($L962="","New item",IF($L962&gt;0,"UP",IF($L962&lt;0,"down","same"))))</f>
        <v/>
      </c>
    </row>
    <row r="963">
      <c r="A963" s="11">
        <f>IF('Data Entry'!A963="","",'Data Entry'!A963)</f>
        <v/>
      </c>
      <c r="B963" s="12">
        <f>IF('Data Entry'!A963="","",'Data Entry'!B963)</f>
        <v/>
      </c>
      <c r="C963" s="12">
        <f>IF('Data Entry'!A963="","",'Data Entry'!C963)</f>
        <v/>
      </c>
      <c r="D963" s="12">
        <f>IF('Data Entry'!A963="","",'Data Entry'!D963)</f>
        <v/>
      </c>
      <c r="E963" s="12">
        <f>IF('Data Entry'!A963="","",'Data Entry'!E963)</f>
        <v/>
      </c>
      <c r="F963" s="12">
        <f>IF('Data Entry'!A963="","",'Data Entry'!F963)</f>
        <v/>
      </c>
      <c r="G963" s="13">
        <f>IF('Data Entry'!A963="","",'Data Entry'!G963)</f>
        <v/>
      </c>
      <c r="H963" s="10">
        <f>IF('Data Entry'!A963="","",'Data Entry'!H963)</f>
        <v/>
      </c>
      <c r="I963" s="10">
        <f>IF('Data Entry'!A963="","",'Data Entry'!I963)</f>
        <v/>
      </c>
      <c r="J963" s="12">
        <f>IF('Data Entry'!A963="","",IF('Data Entry'!D963&lt;&gt;"",'Data Entry'!D963,'Data Entry'!E963))</f>
        <v/>
      </c>
      <c r="K963" s="10">
        <f>IF('Data Entry'!A963="","",IFERROR(SUMIFS($H$5:$H$2001,$J$5:$J$2001,$J963,$B$5:$B$2001,$B963,$A$5:$A$2001,(MAXIFS($A$5:$A$2001,$J$5:$J$2001,$J963,$B$5:$B$2001,$B963,$A$5:$A$2001,"&lt;"&amp;$A963))),""))</f>
        <v/>
      </c>
      <c r="L963" s="14">
        <f>IF(OR('Data Entry'!A963="",$K963=""),"",$H963-$K963)</f>
        <v/>
      </c>
      <c r="M963" s="15">
        <f>IF(OR('Data Entry'!A963="",$K963="",$K963=0),"",$L963/$K963)</f>
        <v/>
      </c>
      <c r="N963" s="12">
        <f>IF('Data Entry'!A963="","",IF($L963="","New item",IF($L963&gt;0,"UP",IF($L963&lt;0,"down","same"))))</f>
        <v/>
      </c>
    </row>
    <row r="964">
      <c r="A964" s="11">
        <f>IF('Data Entry'!A964="","",'Data Entry'!A964)</f>
        <v/>
      </c>
      <c r="B964" s="12">
        <f>IF('Data Entry'!A964="","",'Data Entry'!B964)</f>
        <v/>
      </c>
      <c r="C964" s="12">
        <f>IF('Data Entry'!A964="","",'Data Entry'!C964)</f>
        <v/>
      </c>
      <c r="D964" s="12">
        <f>IF('Data Entry'!A964="","",'Data Entry'!D964)</f>
        <v/>
      </c>
      <c r="E964" s="12">
        <f>IF('Data Entry'!A964="","",'Data Entry'!E964)</f>
        <v/>
      </c>
      <c r="F964" s="12">
        <f>IF('Data Entry'!A964="","",'Data Entry'!F964)</f>
        <v/>
      </c>
      <c r="G964" s="13">
        <f>IF('Data Entry'!A964="","",'Data Entry'!G964)</f>
        <v/>
      </c>
      <c r="H964" s="10">
        <f>IF('Data Entry'!A964="","",'Data Entry'!H964)</f>
        <v/>
      </c>
      <c r="I964" s="10">
        <f>IF('Data Entry'!A964="","",'Data Entry'!I964)</f>
        <v/>
      </c>
      <c r="J964" s="12">
        <f>IF('Data Entry'!A964="","",IF('Data Entry'!D964&lt;&gt;"",'Data Entry'!D964,'Data Entry'!E964))</f>
        <v/>
      </c>
      <c r="K964" s="10">
        <f>IF('Data Entry'!A964="","",IFERROR(SUMIFS($H$5:$H$2001,$J$5:$J$2001,$J964,$B$5:$B$2001,$B964,$A$5:$A$2001,(MAXIFS($A$5:$A$2001,$J$5:$J$2001,$J964,$B$5:$B$2001,$B964,$A$5:$A$2001,"&lt;"&amp;$A964))),""))</f>
        <v/>
      </c>
      <c r="L964" s="14">
        <f>IF(OR('Data Entry'!A964="",$K964=""),"",$H964-$K964)</f>
        <v/>
      </c>
      <c r="M964" s="15">
        <f>IF(OR('Data Entry'!A964="",$K964="",$K964=0),"",$L964/$K964)</f>
        <v/>
      </c>
      <c r="N964" s="12">
        <f>IF('Data Entry'!A964="","",IF($L964="","New item",IF($L964&gt;0,"UP",IF($L964&lt;0,"down","same"))))</f>
        <v/>
      </c>
    </row>
    <row r="965">
      <c r="A965" s="11">
        <f>IF('Data Entry'!A965="","",'Data Entry'!A965)</f>
        <v/>
      </c>
      <c r="B965" s="12">
        <f>IF('Data Entry'!A965="","",'Data Entry'!B965)</f>
        <v/>
      </c>
      <c r="C965" s="12">
        <f>IF('Data Entry'!A965="","",'Data Entry'!C965)</f>
        <v/>
      </c>
      <c r="D965" s="12">
        <f>IF('Data Entry'!A965="","",'Data Entry'!D965)</f>
        <v/>
      </c>
      <c r="E965" s="12">
        <f>IF('Data Entry'!A965="","",'Data Entry'!E965)</f>
        <v/>
      </c>
      <c r="F965" s="12">
        <f>IF('Data Entry'!A965="","",'Data Entry'!F965)</f>
        <v/>
      </c>
      <c r="G965" s="13">
        <f>IF('Data Entry'!A965="","",'Data Entry'!G965)</f>
        <v/>
      </c>
      <c r="H965" s="10">
        <f>IF('Data Entry'!A965="","",'Data Entry'!H965)</f>
        <v/>
      </c>
      <c r="I965" s="10">
        <f>IF('Data Entry'!A965="","",'Data Entry'!I965)</f>
        <v/>
      </c>
      <c r="J965" s="12">
        <f>IF('Data Entry'!A965="","",IF('Data Entry'!D965&lt;&gt;"",'Data Entry'!D965,'Data Entry'!E965))</f>
        <v/>
      </c>
      <c r="K965" s="10">
        <f>IF('Data Entry'!A965="","",IFERROR(SUMIFS($H$5:$H$2001,$J$5:$J$2001,$J965,$B$5:$B$2001,$B965,$A$5:$A$2001,(MAXIFS($A$5:$A$2001,$J$5:$J$2001,$J965,$B$5:$B$2001,$B965,$A$5:$A$2001,"&lt;"&amp;$A965))),""))</f>
        <v/>
      </c>
      <c r="L965" s="14">
        <f>IF(OR('Data Entry'!A965="",$K965=""),"",$H965-$K965)</f>
        <v/>
      </c>
      <c r="M965" s="15">
        <f>IF(OR('Data Entry'!A965="",$K965="",$K965=0),"",$L965/$K965)</f>
        <v/>
      </c>
      <c r="N965" s="12">
        <f>IF('Data Entry'!A965="","",IF($L965="","New item",IF($L965&gt;0,"UP",IF($L965&lt;0,"down","same"))))</f>
        <v/>
      </c>
    </row>
    <row r="966">
      <c r="A966" s="11">
        <f>IF('Data Entry'!A966="","",'Data Entry'!A966)</f>
        <v/>
      </c>
      <c r="B966" s="12">
        <f>IF('Data Entry'!A966="","",'Data Entry'!B966)</f>
        <v/>
      </c>
      <c r="C966" s="12">
        <f>IF('Data Entry'!A966="","",'Data Entry'!C966)</f>
        <v/>
      </c>
      <c r="D966" s="12">
        <f>IF('Data Entry'!A966="","",'Data Entry'!D966)</f>
        <v/>
      </c>
      <c r="E966" s="12">
        <f>IF('Data Entry'!A966="","",'Data Entry'!E966)</f>
        <v/>
      </c>
      <c r="F966" s="12">
        <f>IF('Data Entry'!A966="","",'Data Entry'!F966)</f>
        <v/>
      </c>
      <c r="G966" s="13">
        <f>IF('Data Entry'!A966="","",'Data Entry'!G966)</f>
        <v/>
      </c>
      <c r="H966" s="10">
        <f>IF('Data Entry'!A966="","",'Data Entry'!H966)</f>
        <v/>
      </c>
      <c r="I966" s="10">
        <f>IF('Data Entry'!A966="","",'Data Entry'!I966)</f>
        <v/>
      </c>
      <c r="J966" s="12">
        <f>IF('Data Entry'!A966="","",IF('Data Entry'!D966&lt;&gt;"",'Data Entry'!D966,'Data Entry'!E966))</f>
        <v/>
      </c>
      <c r="K966" s="10">
        <f>IF('Data Entry'!A966="","",IFERROR(SUMIFS($H$5:$H$2001,$J$5:$J$2001,$J966,$B$5:$B$2001,$B966,$A$5:$A$2001,(MAXIFS($A$5:$A$2001,$J$5:$J$2001,$J966,$B$5:$B$2001,$B966,$A$5:$A$2001,"&lt;"&amp;$A966))),""))</f>
        <v/>
      </c>
      <c r="L966" s="14">
        <f>IF(OR('Data Entry'!A966="",$K966=""),"",$H966-$K966)</f>
        <v/>
      </c>
      <c r="M966" s="15">
        <f>IF(OR('Data Entry'!A966="",$K966="",$K966=0),"",$L966/$K966)</f>
        <v/>
      </c>
      <c r="N966" s="12">
        <f>IF('Data Entry'!A966="","",IF($L966="","New item",IF($L966&gt;0,"UP",IF($L966&lt;0,"down","same"))))</f>
        <v/>
      </c>
    </row>
    <row r="967">
      <c r="A967" s="11">
        <f>IF('Data Entry'!A967="","",'Data Entry'!A967)</f>
        <v/>
      </c>
      <c r="B967" s="12">
        <f>IF('Data Entry'!A967="","",'Data Entry'!B967)</f>
        <v/>
      </c>
      <c r="C967" s="12">
        <f>IF('Data Entry'!A967="","",'Data Entry'!C967)</f>
        <v/>
      </c>
      <c r="D967" s="12">
        <f>IF('Data Entry'!A967="","",'Data Entry'!D967)</f>
        <v/>
      </c>
      <c r="E967" s="12">
        <f>IF('Data Entry'!A967="","",'Data Entry'!E967)</f>
        <v/>
      </c>
      <c r="F967" s="12">
        <f>IF('Data Entry'!A967="","",'Data Entry'!F967)</f>
        <v/>
      </c>
      <c r="G967" s="13">
        <f>IF('Data Entry'!A967="","",'Data Entry'!G967)</f>
        <v/>
      </c>
      <c r="H967" s="10">
        <f>IF('Data Entry'!A967="","",'Data Entry'!H967)</f>
        <v/>
      </c>
      <c r="I967" s="10">
        <f>IF('Data Entry'!A967="","",'Data Entry'!I967)</f>
        <v/>
      </c>
      <c r="J967" s="12">
        <f>IF('Data Entry'!A967="","",IF('Data Entry'!D967&lt;&gt;"",'Data Entry'!D967,'Data Entry'!E967))</f>
        <v/>
      </c>
      <c r="K967" s="10">
        <f>IF('Data Entry'!A967="","",IFERROR(SUMIFS($H$5:$H$2001,$J$5:$J$2001,$J967,$B$5:$B$2001,$B967,$A$5:$A$2001,(MAXIFS($A$5:$A$2001,$J$5:$J$2001,$J967,$B$5:$B$2001,$B967,$A$5:$A$2001,"&lt;"&amp;$A967))),""))</f>
        <v/>
      </c>
      <c r="L967" s="14">
        <f>IF(OR('Data Entry'!A967="",$K967=""),"",$H967-$K967)</f>
        <v/>
      </c>
      <c r="M967" s="15">
        <f>IF(OR('Data Entry'!A967="",$K967="",$K967=0),"",$L967/$K967)</f>
        <v/>
      </c>
      <c r="N967" s="12">
        <f>IF('Data Entry'!A967="","",IF($L967="","New item",IF($L967&gt;0,"UP",IF($L967&lt;0,"down","same"))))</f>
        <v/>
      </c>
    </row>
    <row r="968">
      <c r="A968" s="11">
        <f>IF('Data Entry'!A968="","",'Data Entry'!A968)</f>
        <v/>
      </c>
      <c r="B968" s="12">
        <f>IF('Data Entry'!A968="","",'Data Entry'!B968)</f>
        <v/>
      </c>
      <c r="C968" s="12">
        <f>IF('Data Entry'!A968="","",'Data Entry'!C968)</f>
        <v/>
      </c>
      <c r="D968" s="12">
        <f>IF('Data Entry'!A968="","",'Data Entry'!D968)</f>
        <v/>
      </c>
      <c r="E968" s="12">
        <f>IF('Data Entry'!A968="","",'Data Entry'!E968)</f>
        <v/>
      </c>
      <c r="F968" s="12">
        <f>IF('Data Entry'!A968="","",'Data Entry'!F968)</f>
        <v/>
      </c>
      <c r="G968" s="13">
        <f>IF('Data Entry'!A968="","",'Data Entry'!G968)</f>
        <v/>
      </c>
      <c r="H968" s="10">
        <f>IF('Data Entry'!A968="","",'Data Entry'!H968)</f>
        <v/>
      </c>
      <c r="I968" s="10">
        <f>IF('Data Entry'!A968="","",'Data Entry'!I968)</f>
        <v/>
      </c>
      <c r="J968" s="12">
        <f>IF('Data Entry'!A968="","",IF('Data Entry'!D968&lt;&gt;"",'Data Entry'!D968,'Data Entry'!E968))</f>
        <v/>
      </c>
      <c r="K968" s="10">
        <f>IF('Data Entry'!A968="","",IFERROR(SUMIFS($H$5:$H$2001,$J$5:$J$2001,$J968,$B$5:$B$2001,$B968,$A$5:$A$2001,(MAXIFS($A$5:$A$2001,$J$5:$J$2001,$J968,$B$5:$B$2001,$B968,$A$5:$A$2001,"&lt;"&amp;$A968))),""))</f>
        <v/>
      </c>
      <c r="L968" s="14">
        <f>IF(OR('Data Entry'!A968="",$K968=""),"",$H968-$K968)</f>
        <v/>
      </c>
      <c r="M968" s="15">
        <f>IF(OR('Data Entry'!A968="",$K968="",$K968=0),"",$L968/$K968)</f>
        <v/>
      </c>
      <c r="N968" s="12">
        <f>IF('Data Entry'!A968="","",IF($L968="","New item",IF($L968&gt;0,"UP",IF($L968&lt;0,"down","same"))))</f>
        <v/>
      </c>
    </row>
    <row r="969">
      <c r="A969" s="11">
        <f>IF('Data Entry'!A969="","",'Data Entry'!A969)</f>
        <v/>
      </c>
      <c r="B969" s="12">
        <f>IF('Data Entry'!A969="","",'Data Entry'!B969)</f>
        <v/>
      </c>
      <c r="C969" s="12">
        <f>IF('Data Entry'!A969="","",'Data Entry'!C969)</f>
        <v/>
      </c>
      <c r="D969" s="12">
        <f>IF('Data Entry'!A969="","",'Data Entry'!D969)</f>
        <v/>
      </c>
      <c r="E969" s="12">
        <f>IF('Data Entry'!A969="","",'Data Entry'!E969)</f>
        <v/>
      </c>
      <c r="F969" s="12">
        <f>IF('Data Entry'!A969="","",'Data Entry'!F969)</f>
        <v/>
      </c>
      <c r="G969" s="13">
        <f>IF('Data Entry'!A969="","",'Data Entry'!G969)</f>
        <v/>
      </c>
      <c r="H969" s="10">
        <f>IF('Data Entry'!A969="","",'Data Entry'!H969)</f>
        <v/>
      </c>
      <c r="I969" s="10">
        <f>IF('Data Entry'!A969="","",'Data Entry'!I969)</f>
        <v/>
      </c>
      <c r="J969" s="12">
        <f>IF('Data Entry'!A969="","",IF('Data Entry'!D969&lt;&gt;"",'Data Entry'!D969,'Data Entry'!E969))</f>
        <v/>
      </c>
      <c r="K969" s="10">
        <f>IF('Data Entry'!A969="","",IFERROR(SUMIFS($H$5:$H$2001,$J$5:$J$2001,$J969,$B$5:$B$2001,$B969,$A$5:$A$2001,(MAXIFS($A$5:$A$2001,$J$5:$J$2001,$J969,$B$5:$B$2001,$B969,$A$5:$A$2001,"&lt;"&amp;$A969))),""))</f>
        <v/>
      </c>
      <c r="L969" s="14">
        <f>IF(OR('Data Entry'!A969="",$K969=""),"",$H969-$K969)</f>
        <v/>
      </c>
      <c r="M969" s="15">
        <f>IF(OR('Data Entry'!A969="",$K969="",$K969=0),"",$L969/$K969)</f>
        <v/>
      </c>
      <c r="N969" s="12">
        <f>IF('Data Entry'!A969="","",IF($L969="","New item",IF($L969&gt;0,"UP",IF($L969&lt;0,"down","same"))))</f>
        <v/>
      </c>
    </row>
    <row r="970">
      <c r="A970" s="11">
        <f>IF('Data Entry'!A970="","",'Data Entry'!A970)</f>
        <v/>
      </c>
      <c r="B970" s="12">
        <f>IF('Data Entry'!A970="","",'Data Entry'!B970)</f>
        <v/>
      </c>
      <c r="C970" s="12">
        <f>IF('Data Entry'!A970="","",'Data Entry'!C970)</f>
        <v/>
      </c>
      <c r="D970" s="12">
        <f>IF('Data Entry'!A970="","",'Data Entry'!D970)</f>
        <v/>
      </c>
      <c r="E970" s="12">
        <f>IF('Data Entry'!A970="","",'Data Entry'!E970)</f>
        <v/>
      </c>
      <c r="F970" s="12">
        <f>IF('Data Entry'!A970="","",'Data Entry'!F970)</f>
        <v/>
      </c>
      <c r="G970" s="13">
        <f>IF('Data Entry'!A970="","",'Data Entry'!G970)</f>
        <v/>
      </c>
      <c r="H970" s="10">
        <f>IF('Data Entry'!A970="","",'Data Entry'!H970)</f>
        <v/>
      </c>
      <c r="I970" s="10">
        <f>IF('Data Entry'!A970="","",'Data Entry'!I970)</f>
        <v/>
      </c>
      <c r="J970" s="12">
        <f>IF('Data Entry'!A970="","",IF('Data Entry'!D970&lt;&gt;"",'Data Entry'!D970,'Data Entry'!E970))</f>
        <v/>
      </c>
      <c r="K970" s="10">
        <f>IF('Data Entry'!A970="","",IFERROR(SUMIFS($H$5:$H$2001,$J$5:$J$2001,$J970,$B$5:$B$2001,$B970,$A$5:$A$2001,(MAXIFS($A$5:$A$2001,$J$5:$J$2001,$J970,$B$5:$B$2001,$B970,$A$5:$A$2001,"&lt;"&amp;$A970))),""))</f>
        <v/>
      </c>
      <c r="L970" s="14">
        <f>IF(OR('Data Entry'!A970="",$K970=""),"",$H970-$K970)</f>
        <v/>
      </c>
      <c r="M970" s="15">
        <f>IF(OR('Data Entry'!A970="",$K970="",$K970=0),"",$L970/$K970)</f>
        <v/>
      </c>
      <c r="N970" s="12">
        <f>IF('Data Entry'!A970="","",IF($L970="","New item",IF($L970&gt;0,"UP",IF($L970&lt;0,"down","same"))))</f>
        <v/>
      </c>
    </row>
    <row r="971">
      <c r="A971" s="11">
        <f>IF('Data Entry'!A971="","",'Data Entry'!A971)</f>
        <v/>
      </c>
      <c r="B971" s="12">
        <f>IF('Data Entry'!A971="","",'Data Entry'!B971)</f>
        <v/>
      </c>
      <c r="C971" s="12">
        <f>IF('Data Entry'!A971="","",'Data Entry'!C971)</f>
        <v/>
      </c>
      <c r="D971" s="12">
        <f>IF('Data Entry'!A971="","",'Data Entry'!D971)</f>
        <v/>
      </c>
      <c r="E971" s="12">
        <f>IF('Data Entry'!A971="","",'Data Entry'!E971)</f>
        <v/>
      </c>
      <c r="F971" s="12">
        <f>IF('Data Entry'!A971="","",'Data Entry'!F971)</f>
        <v/>
      </c>
      <c r="G971" s="13">
        <f>IF('Data Entry'!A971="","",'Data Entry'!G971)</f>
        <v/>
      </c>
      <c r="H971" s="10">
        <f>IF('Data Entry'!A971="","",'Data Entry'!H971)</f>
        <v/>
      </c>
      <c r="I971" s="10">
        <f>IF('Data Entry'!A971="","",'Data Entry'!I971)</f>
        <v/>
      </c>
      <c r="J971" s="12">
        <f>IF('Data Entry'!A971="","",IF('Data Entry'!D971&lt;&gt;"",'Data Entry'!D971,'Data Entry'!E971))</f>
        <v/>
      </c>
      <c r="K971" s="10">
        <f>IF('Data Entry'!A971="","",IFERROR(SUMIFS($H$5:$H$2001,$J$5:$J$2001,$J971,$B$5:$B$2001,$B971,$A$5:$A$2001,(MAXIFS($A$5:$A$2001,$J$5:$J$2001,$J971,$B$5:$B$2001,$B971,$A$5:$A$2001,"&lt;"&amp;$A971))),""))</f>
        <v/>
      </c>
      <c r="L971" s="14">
        <f>IF(OR('Data Entry'!A971="",$K971=""),"",$H971-$K971)</f>
        <v/>
      </c>
      <c r="M971" s="15">
        <f>IF(OR('Data Entry'!A971="",$K971="",$K971=0),"",$L971/$K971)</f>
        <v/>
      </c>
      <c r="N971" s="12">
        <f>IF('Data Entry'!A971="","",IF($L971="","New item",IF($L971&gt;0,"UP",IF($L971&lt;0,"down","same"))))</f>
        <v/>
      </c>
    </row>
    <row r="972">
      <c r="A972" s="11">
        <f>IF('Data Entry'!A972="","",'Data Entry'!A972)</f>
        <v/>
      </c>
      <c r="B972" s="12">
        <f>IF('Data Entry'!A972="","",'Data Entry'!B972)</f>
        <v/>
      </c>
      <c r="C972" s="12">
        <f>IF('Data Entry'!A972="","",'Data Entry'!C972)</f>
        <v/>
      </c>
      <c r="D972" s="12">
        <f>IF('Data Entry'!A972="","",'Data Entry'!D972)</f>
        <v/>
      </c>
      <c r="E972" s="12">
        <f>IF('Data Entry'!A972="","",'Data Entry'!E972)</f>
        <v/>
      </c>
      <c r="F972" s="12">
        <f>IF('Data Entry'!A972="","",'Data Entry'!F972)</f>
        <v/>
      </c>
      <c r="G972" s="13">
        <f>IF('Data Entry'!A972="","",'Data Entry'!G972)</f>
        <v/>
      </c>
      <c r="H972" s="10">
        <f>IF('Data Entry'!A972="","",'Data Entry'!H972)</f>
        <v/>
      </c>
      <c r="I972" s="10">
        <f>IF('Data Entry'!A972="","",'Data Entry'!I972)</f>
        <v/>
      </c>
      <c r="J972" s="12">
        <f>IF('Data Entry'!A972="","",IF('Data Entry'!D972&lt;&gt;"",'Data Entry'!D972,'Data Entry'!E972))</f>
        <v/>
      </c>
      <c r="K972" s="10">
        <f>IF('Data Entry'!A972="","",IFERROR(SUMIFS($H$5:$H$2001,$J$5:$J$2001,$J972,$B$5:$B$2001,$B972,$A$5:$A$2001,(MAXIFS($A$5:$A$2001,$J$5:$J$2001,$J972,$B$5:$B$2001,$B972,$A$5:$A$2001,"&lt;"&amp;$A972))),""))</f>
        <v/>
      </c>
      <c r="L972" s="14">
        <f>IF(OR('Data Entry'!A972="",$K972=""),"",$H972-$K972)</f>
        <v/>
      </c>
      <c r="M972" s="15">
        <f>IF(OR('Data Entry'!A972="",$K972="",$K972=0),"",$L972/$K972)</f>
        <v/>
      </c>
      <c r="N972" s="12">
        <f>IF('Data Entry'!A972="","",IF($L972="","New item",IF($L972&gt;0,"UP",IF($L972&lt;0,"down","same"))))</f>
        <v/>
      </c>
    </row>
    <row r="973">
      <c r="A973" s="11">
        <f>IF('Data Entry'!A973="","",'Data Entry'!A973)</f>
        <v/>
      </c>
      <c r="B973" s="12">
        <f>IF('Data Entry'!A973="","",'Data Entry'!B973)</f>
        <v/>
      </c>
      <c r="C973" s="12">
        <f>IF('Data Entry'!A973="","",'Data Entry'!C973)</f>
        <v/>
      </c>
      <c r="D973" s="12">
        <f>IF('Data Entry'!A973="","",'Data Entry'!D973)</f>
        <v/>
      </c>
      <c r="E973" s="12">
        <f>IF('Data Entry'!A973="","",'Data Entry'!E973)</f>
        <v/>
      </c>
      <c r="F973" s="12">
        <f>IF('Data Entry'!A973="","",'Data Entry'!F973)</f>
        <v/>
      </c>
      <c r="G973" s="13">
        <f>IF('Data Entry'!A973="","",'Data Entry'!G973)</f>
        <v/>
      </c>
      <c r="H973" s="10">
        <f>IF('Data Entry'!A973="","",'Data Entry'!H973)</f>
        <v/>
      </c>
      <c r="I973" s="10">
        <f>IF('Data Entry'!A973="","",'Data Entry'!I973)</f>
        <v/>
      </c>
      <c r="J973" s="12">
        <f>IF('Data Entry'!A973="","",IF('Data Entry'!D973&lt;&gt;"",'Data Entry'!D973,'Data Entry'!E973))</f>
        <v/>
      </c>
      <c r="K973" s="10">
        <f>IF('Data Entry'!A973="","",IFERROR(SUMIFS($H$5:$H$2001,$J$5:$J$2001,$J973,$B$5:$B$2001,$B973,$A$5:$A$2001,(MAXIFS($A$5:$A$2001,$J$5:$J$2001,$J973,$B$5:$B$2001,$B973,$A$5:$A$2001,"&lt;"&amp;$A973))),""))</f>
        <v/>
      </c>
      <c r="L973" s="14">
        <f>IF(OR('Data Entry'!A973="",$K973=""),"",$H973-$K973)</f>
        <v/>
      </c>
      <c r="M973" s="15">
        <f>IF(OR('Data Entry'!A973="",$K973="",$K973=0),"",$L973/$K973)</f>
        <v/>
      </c>
      <c r="N973" s="12">
        <f>IF('Data Entry'!A973="","",IF($L973="","New item",IF($L973&gt;0,"UP",IF($L973&lt;0,"down","same"))))</f>
        <v/>
      </c>
    </row>
    <row r="974">
      <c r="A974" s="11">
        <f>IF('Data Entry'!A974="","",'Data Entry'!A974)</f>
        <v/>
      </c>
      <c r="B974" s="12">
        <f>IF('Data Entry'!A974="","",'Data Entry'!B974)</f>
        <v/>
      </c>
      <c r="C974" s="12">
        <f>IF('Data Entry'!A974="","",'Data Entry'!C974)</f>
        <v/>
      </c>
      <c r="D974" s="12">
        <f>IF('Data Entry'!A974="","",'Data Entry'!D974)</f>
        <v/>
      </c>
      <c r="E974" s="12">
        <f>IF('Data Entry'!A974="","",'Data Entry'!E974)</f>
        <v/>
      </c>
      <c r="F974" s="12">
        <f>IF('Data Entry'!A974="","",'Data Entry'!F974)</f>
        <v/>
      </c>
      <c r="G974" s="13">
        <f>IF('Data Entry'!A974="","",'Data Entry'!G974)</f>
        <v/>
      </c>
      <c r="H974" s="10">
        <f>IF('Data Entry'!A974="","",'Data Entry'!H974)</f>
        <v/>
      </c>
      <c r="I974" s="10">
        <f>IF('Data Entry'!A974="","",'Data Entry'!I974)</f>
        <v/>
      </c>
      <c r="J974" s="12">
        <f>IF('Data Entry'!A974="","",IF('Data Entry'!D974&lt;&gt;"",'Data Entry'!D974,'Data Entry'!E974))</f>
        <v/>
      </c>
      <c r="K974" s="10">
        <f>IF('Data Entry'!A974="","",IFERROR(SUMIFS($H$5:$H$2001,$J$5:$J$2001,$J974,$B$5:$B$2001,$B974,$A$5:$A$2001,(MAXIFS($A$5:$A$2001,$J$5:$J$2001,$J974,$B$5:$B$2001,$B974,$A$5:$A$2001,"&lt;"&amp;$A974))),""))</f>
        <v/>
      </c>
      <c r="L974" s="14">
        <f>IF(OR('Data Entry'!A974="",$K974=""),"",$H974-$K974)</f>
        <v/>
      </c>
      <c r="M974" s="15">
        <f>IF(OR('Data Entry'!A974="",$K974="",$K974=0),"",$L974/$K974)</f>
        <v/>
      </c>
      <c r="N974" s="12">
        <f>IF('Data Entry'!A974="","",IF($L974="","New item",IF($L974&gt;0,"UP",IF($L974&lt;0,"down","same"))))</f>
        <v/>
      </c>
    </row>
    <row r="975">
      <c r="A975" s="11">
        <f>IF('Data Entry'!A975="","",'Data Entry'!A975)</f>
        <v/>
      </c>
      <c r="B975" s="12">
        <f>IF('Data Entry'!A975="","",'Data Entry'!B975)</f>
        <v/>
      </c>
      <c r="C975" s="12">
        <f>IF('Data Entry'!A975="","",'Data Entry'!C975)</f>
        <v/>
      </c>
      <c r="D975" s="12">
        <f>IF('Data Entry'!A975="","",'Data Entry'!D975)</f>
        <v/>
      </c>
      <c r="E975" s="12">
        <f>IF('Data Entry'!A975="","",'Data Entry'!E975)</f>
        <v/>
      </c>
      <c r="F975" s="12">
        <f>IF('Data Entry'!A975="","",'Data Entry'!F975)</f>
        <v/>
      </c>
      <c r="G975" s="13">
        <f>IF('Data Entry'!A975="","",'Data Entry'!G975)</f>
        <v/>
      </c>
      <c r="H975" s="10">
        <f>IF('Data Entry'!A975="","",'Data Entry'!H975)</f>
        <v/>
      </c>
      <c r="I975" s="10">
        <f>IF('Data Entry'!A975="","",'Data Entry'!I975)</f>
        <v/>
      </c>
      <c r="J975" s="12">
        <f>IF('Data Entry'!A975="","",IF('Data Entry'!D975&lt;&gt;"",'Data Entry'!D975,'Data Entry'!E975))</f>
        <v/>
      </c>
      <c r="K975" s="10">
        <f>IF('Data Entry'!A975="","",IFERROR(SUMIFS($H$5:$H$2001,$J$5:$J$2001,$J975,$B$5:$B$2001,$B975,$A$5:$A$2001,(MAXIFS($A$5:$A$2001,$J$5:$J$2001,$J975,$B$5:$B$2001,$B975,$A$5:$A$2001,"&lt;"&amp;$A975))),""))</f>
        <v/>
      </c>
      <c r="L975" s="14">
        <f>IF(OR('Data Entry'!A975="",$K975=""),"",$H975-$K975)</f>
        <v/>
      </c>
      <c r="M975" s="15">
        <f>IF(OR('Data Entry'!A975="",$K975="",$K975=0),"",$L975/$K975)</f>
        <v/>
      </c>
      <c r="N975" s="12">
        <f>IF('Data Entry'!A975="","",IF($L975="","New item",IF($L975&gt;0,"UP",IF($L975&lt;0,"down","same"))))</f>
        <v/>
      </c>
    </row>
    <row r="976">
      <c r="A976" s="11">
        <f>IF('Data Entry'!A976="","",'Data Entry'!A976)</f>
        <v/>
      </c>
      <c r="B976" s="12">
        <f>IF('Data Entry'!A976="","",'Data Entry'!B976)</f>
        <v/>
      </c>
      <c r="C976" s="12">
        <f>IF('Data Entry'!A976="","",'Data Entry'!C976)</f>
        <v/>
      </c>
      <c r="D976" s="12">
        <f>IF('Data Entry'!A976="","",'Data Entry'!D976)</f>
        <v/>
      </c>
      <c r="E976" s="12">
        <f>IF('Data Entry'!A976="","",'Data Entry'!E976)</f>
        <v/>
      </c>
      <c r="F976" s="12">
        <f>IF('Data Entry'!A976="","",'Data Entry'!F976)</f>
        <v/>
      </c>
      <c r="G976" s="13">
        <f>IF('Data Entry'!A976="","",'Data Entry'!G976)</f>
        <v/>
      </c>
      <c r="H976" s="10">
        <f>IF('Data Entry'!A976="","",'Data Entry'!H976)</f>
        <v/>
      </c>
      <c r="I976" s="10">
        <f>IF('Data Entry'!A976="","",'Data Entry'!I976)</f>
        <v/>
      </c>
      <c r="J976" s="12">
        <f>IF('Data Entry'!A976="","",IF('Data Entry'!D976&lt;&gt;"",'Data Entry'!D976,'Data Entry'!E976))</f>
        <v/>
      </c>
      <c r="K976" s="10">
        <f>IF('Data Entry'!A976="","",IFERROR(SUMIFS($H$5:$H$2001,$J$5:$J$2001,$J976,$B$5:$B$2001,$B976,$A$5:$A$2001,(MAXIFS($A$5:$A$2001,$J$5:$J$2001,$J976,$B$5:$B$2001,$B976,$A$5:$A$2001,"&lt;"&amp;$A976))),""))</f>
        <v/>
      </c>
      <c r="L976" s="14">
        <f>IF(OR('Data Entry'!A976="",$K976=""),"",$H976-$K976)</f>
        <v/>
      </c>
      <c r="M976" s="15">
        <f>IF(OR('Data Entry'!A976="",$K976="",$K976=0),"",$L976/$K976)</f>
        <v/>
      </c>
      <c r="N976" s="12">
        <f>IF('Data Entry'!A976="","",IF($L976="","New item",IF($L976&gt;0,"UP",IF($L976&lt;0,"down","same"))))</f>
        <v/>
      </c>
    </row>
    <row r="977">
      <c r="A977" s="11">
        <f>IF('Data Entry'!A977="","",'Data Entry'!A977)</f>
        <v/>
      </c>
      <c r="B977" s="12">
        <f>IF('Data Entry'!A977="","",'Data Entry'!B977)</f>
        <v/>
      </c>
      <c r="C977" s="12">
        <f>IF('Data Entry'!A977="","",'Data Entry'!C977)</f>
        <v/>
      </c>
      <c r="D977" s="12">
        <f>IF('Data Entry'!A977="","",'Data Entry'!D977)</f>
        <v/>
      </c>
      <c r="E977" s="12">
        <f>IF('Data Entry'!A977="","",'Data Entry'!E977)</f>
        <v/>
      </c>
      <c r="F977" s="12">
        <f>IF('Data Entry'!A977="","",'Data Entry'!F977)</f>
        <v/>
      </c>
      <c r="G977" s="13">
        <f>IF('Data Entry'!A977="","",'Data Entry'!G977)</f>
        <v/>
      </c>
      <c r="H977" s="10">
        <f>IF('Data Entry'!A977="","",'Data Entry'!H977)</f>
        <v/>
      </c>
      <c r="I977" s="10">
        <f>IF('Data Entry'!A977="","",'Data Entry'!I977)</f>
        <v/>
      </c>
      <c r="J977" s="12">
        <f>IF('Data Entry'!A977="","",IF('Data Entry'!D977&lt;&gt;"",'Data Entry'!D977,'Data Entry'!E977))</f>
        <v/>
      </c>
      <c r="K977" s="10">
        <f>IF('Data Entry'!A977="","",IFERROR(SUMIFS($H$5:$H$2001,$J$5:$J$2001,$J977,$B$5:$B$2001,$B977,$A$5:$A$2001,(MAXIFS($A$5:$A$2001,$J$5:$J$2001,$J977,$B$5:$B$2001,$B977,$A$5:$A$2001,"&lt;"&amp;$A977))),""))</f>
        <v/>
      </c>
      <c r="L977" s="14">
        <f>IF(OR('Data Entry'!A977="",$K977=""),"",$H977-$K977)</f>
        <v/>
      </c>
      <c r="M977" s="15">
        <f>IF(OR('Data Entry'!A977="",$K977="",$K977=0),"",$L977/$K977)</f>
        <v/>
      </c>
      <c r="N977" s="12">
        <f>IF('Data Entry'!A977="","",IF($L977="","New item",IF($L977&gt;0,"UP",IF($L977&lt;0,"down","same"))))</f>
        <v/>
      </c>
    </row>
    <row r="978">
      <c r="A978" s="11">
        <f>IF('Data Entry'!A978="","",'Data Entry'!A978)</f>
        <v/>
      </c>
      <c r="B978" s="12">
        <f>IF('Data Entry'!A978="","",'Data Entry'!B978)</f>
        <v/>
      </c>
      <c r="C978" s="12">
        <f>IF('Data Entry'!A978="","",'Data Entry'!C978)</f>
        <v/>
      </c>
      <c r="D978" s="12">
        <f>IF('Data Entry'!A978="","",'Data Entry'!D978)</f>
        <v/>
      </c>
      <c r="E978" s="12">
        <f>IF('Data Entry'!A978="","",'Data Entry'!E978)</f>
        <v/>
      </c>
      <c r="F978" s="12">
        <f>IF('Data Entry'!A978="","",'Data Entry'!F978)</f>
        <v/>
      </c>
      <c r="G978" s="13">
        <f>IF('Data Entry'!A978="","",'Data Entry'!G978)</f>
        <v/>
      </c>
      <c r="H978" s="10">
        <f>IF('Data Entry'!A978="","",'Data Entry'!H978)</f>
        <v/>
      </c>
      <c r="I978" s="10">
        <f>IF('Data Entry'!A978="","",'Data Entry'!I978)</f>
        <v/>
      </c>
      <c r="J978" s="12">
        <f>IF('Data Entry'!A978="","",IF('Data Entry'!D978&lt;&gt;"",'Data Entry'!D978,'Data Entry'!E978))</f>
        <v/>
      </c>
      <c r="K978" s="10">
        <f>IF('Data Entry'!A978="","",IFERROR(SUMIFS($H$5:$H$2001,$J$5:$J$2001,$J978,$B$5:$B$2001,$B978,$A$5:$A$2001,(MAXIFS($A$5:$A$2001,$J$5:$J$2001,$J978,$B$5:$B$2001,$B978,$A$5:$A$2001,"&lt;"&amp;$A978))),""))</f>
        <v/>
      </c>
      <c r="L978" s="14">
        <f>IF(OR('Data Entry'!A978="",$K978=""),"",$H978-$K978)</f>
        <v/>
      </c>
      <c r="M978" s="15">
        <f>IF(OR('Data Entry'!A978="",$K978="",$K978=0),"",$L978/$K978)</f>
        <v/>
      </c>
      <c r="N978" s="12">
        <f>IF('Data Entry'!A978="","",IF($L978="","New item",IF($L978&gt;0,"UP",IF($L978&lt;0,"down","same"))))</f>
        <v/>
      </c>
    </row>
    <row r="979">
      <c r="A979" s="11">
        <f>IF('Data Entry'!A979="","",'Data Entry'!A979)</f>
        <v/>
      </c>
      <c r="B979" s="12">
        <f>IF('Data Entry'!A979="","",'Data Entry'!B979)</f>
        <v/>
      </c>
      <c r="C979" s="12">
        <f>IF('Data Entry'!A979="","",'Data Entry'!C979)</f>
        <v/>
      </c>
      <c r="D979" s="12">
        <f>IF('Data Entry'!A979="","",'Data Entry'!D979)</f>
        <v/>
      </c>
      <c r="E979" s="12">
        <f>IF('Data Entry'!A979="","",'Data Entry'!E979)</f>
        <v/>
      </c>
      <c r="F979" s="12">
        <f>IF('Data Entry'!A979="","",'Data Entry'!F979)</f>
        <v/>
      </c>
      <c r="G979" s="13">
        <f>IF('Data Entry'!A979="","",'Data Entry'!G979)</f>
        <v/>
      </c>
      <c r="H979" s="10">
        <f>IF('Data Entry'!A979="","",'Data Entry'!H979)</f>
        <v/>
      </c>
      <c r="I979" s="10">
        <f>IF('Data Entry'!A979="","",'Data Entry'!I979)</f>
        <v/>
      </c>
      <c r="J979" s="12">
        <f>IF('Data Entry'!A979="","",IF('Data Entry'!D979&lt;&gt;"",'Data Entry'!D979,'Data Entry'!E979))</f>
        <v/>
      </c>
      <c r="K979" s="10">
        <f>IF('Data Entry'!A979="","",IFERROR(SUMIFS($H$5:$H$2001,$J$5:$J$2001,$J979,$B$5:$B$2001,$B979,$A$5:$A$2001,(MAXIFS($A$5:$A$2001,$J$5:$J$2001,$J979,$B$5:$B$2001,$B979,$A$5:$A$2001,"&lt;"&amp;$A979))),""))</f>
        <v/>
      </c>
      <c r="L979" s="14">
        <f>IF(OR('Data Entry'!A979="",$K979=""),"",$H979-$K979)</f>
        <v/>
      </c>
      <c r="M979" s="15">
        <f>IF(OR('Data Entry'!A979="",$K979="",$K979=0),"",$L979/$K979)</f>
        <v/>
      </c>
      <c r="N979" s="12">
        <f>IF('Data Entry'!A979="","",IF($L979="","New item",IF($L979&gt;0,"UP",IF($L979&lt;0,"down","same"))))</f>
        <v/>
      </c>
    </row>
    <row r="980">
      <c r="A980" s="11">
        <f>IF('Data Entry'!A980="","",'Data Entry'!A980)</f>
        <v/>
      </c>
      <c r="B980" s="12">
        <f>IF('Data Entry'!A980="","",'Data Entry'!B980)</f>
        <v/>
      </c>
      <c r="C980" s="12">
        <f>IF('Data Entry'!A980="","",'Data Entry'!C980)</f>
        <v/>
      </c>
      <c r="D980" s="12">
        <f>IF('Data Entry'!A980="","",'Data Entry'!D980)</f>
        <v/>
      </c>
      <c r="E980" s="12">
        <f>IF('Data Entry'!A980="","",'Data Entry'!E980)</f>
        <v/>
      </c>
      <c r="F980" s="12">
        <f>IF('Data Entry'!A980="","",'Data Entry'!F980)</f>
        <v/>
      </c>
      <c r="G980" s="13">
        <f>IF('Data Entry'!A980="","",'Data Entry'!G980)</f>
        <v/>
      </c>
      <c r="H980" s="10">
        <f>IF('Data Entry'!A980="","",'Data Entry'!H980)</f>
        <v/>
      </c>
      <c r="I980" s="10">
        <f>IF('Data Entry'!A980="","",'Data Entry'!I980)</f>
        <v/>
      </c>
      <c r="J980" s="12">
        <f>IF('Data Entry'!A980="","",IF('Data Entry'!D980&lt;&gt;"",'Data Entry'!D980,'Data Entry'!E980))</f>
        <v/>
      </c>
      <c r="K980" s="10">
        <f>IF('Data Entry'!A980="","",IFERROR(SUMIFS($H$5:$H$2001,$J$5:$J$2001,$J980,$B$5:$B$2001,$B980,$A$5:$A$2001,(MAXIFS($A$5:$A$2001,$J$5:$J$2001,$J980,$B$5:$B$2001,$B980,$A$5:$A$2001,"&lt;"&amp;$A980))),""))</f>
        <v/>
      </c>
      <c r="L980" s="14">
        <f>IF(OR('Data Entry'!A980="",$K980=""),"",$H980-$K980)</f>
        <v/>
      </c>
      <c r="M980" s="15">
        <f>IF(OR('Data Entry'!A980="",$K980="",$K980=0),"",$L980/$K980)</f>
        <v/>
      </c>
      <c r="N980" s="12">
        <f>IF('Data Entry'!A980="","",IF($L980="","New item",IF($L980&gt;0,"UP",IF($L980&lt;0,"down","same"))))</f>
        <v/>
      </c>
    </row>
    <row r="981">
      <c r="A981" s="11">
        <f>IF('Data Entry'!A981="","",'Data Entry'!A981)</f>
        <v/>
      </c>
      <c r="B981" s="12">
        <f>IF('Data Entry'!A981="","",'Data Entry'!B981)</f>
        <v/>
      </c>
      <c r="C981" s="12">
        <f>IF('Data Entry'!A981="","",'Data Entry'!C981)</f>
        <v/>
      </c>
      <c r="D981" s="12">
        <f>IF('Data Entry'!A981="","",'Data Entry'!D981)</f>
        <v/>
      </c>
      <c r="E981" s="12">
        <f>IF('Data Entry'!A981="","",'Data Entry'!E981)</f>
        <v/>
      </c>
      <c r="F981" s="12">
        <f>IF('Data Entry'!A981="","",'Data Entry'!F981)</f>
        <v/>
      </c>
      <c r="G981" s="13">
        <f>IF('Data Entry'!A981="","",'Data Entry'!G981)</f>
        <v/>
      </c>
      <c r="H981" s="10">
        <f>IF('Data Entry'!A981="","",'Data Entry'!H981)</f>
        <v/>
      </c>
      <c r="I981" s="10">
        <f>IF('Data Entry'!A981="","",'Data Entry'!I981)</f>
        <v/>
      </c>
      <c r="J981" s="12">
        <f>IF('Data Entry'!A981="","",IF('Data Entry'!D981&lt;&gt;"",'Data Entry'!D981,'Data Entry'!E981))</f>
        <v/>
      </c>
      <c r="K981" s="10">
        <f>IF('Data Entry'!A981="","",IFERROR(SUMIFS($H$5:$H$2001,$J$5:$J$2001,$J981,$B$5:$B$2001,$B981,$A$5:$A$2001,(MAXIFS($A$5:$A$2001,$J$5:$J$2001,$J981,$B$5:$B$2001,$B981,$A$5:$A$2001,"&lt;"&amp;$A981))),""))</f>
        <v/>
      </c>
      <c r="L981" s="14">
        <f>IF(OR('Data Entry'!A981="",$K981=""),"",$H981-$K981)</f>
        <v/>
      </c>
      <c r="M981" s="15">
        <f>IF(OR('Data Entry'!A981="",$K981="",$K981=0),"",$L981/$K981)</f>
        <v/>
      </c>
      <c r="N981" s="12">
        <f>IF('Data Entry'!A981="","",IF($L981="","New item",IF($L981&gt;0,"UP",IF($L981&lt;0,"down","same"))))</f>
        <v/>
      </c>
    </row>
    <row r="982">
      <c r="A982" s="11">
        <f>IF('Data Entry'!A982="","",'Data Entry'!A982)</f>
        <v/>
      </c>
      <c r="B982" s="12">
        <f>IF('Data Entry'!A982="","",'Data Entry'!B982)</f>
        <v/>
      </c>
      <c r="C982" s="12">
        <f>IF('Data Entry'!A982="","",'Data Entry'!C982)</f>
        <v/>
      </c>
      <c r="D982" s="12">
        <f>IF('Data Entry'!A982="","",'Data Entry'!D982)</f>
        <v/>
      </c>
      <c r="E982" s="12">
        <f>IF('Data Entry'!A982="","",'Data Entry'!E982)</f>
        <v/>
      </c>
      <c r="F982" s="12">
        <f>IF('Data Entry'!A982="","",'Data Entry'!F982)</f>
        <v/>
      </c>
      <c r="G982" s="13">
        <f>IF('Data Entry'!A982="","",'Data Entry'!G982)</f>
        <v/>
      </c>
      <c r="H982" s="10">
        <f>IF('Data Entry'!A982="","",'Data Entry'!H982)</f>
        <v/>
      </c>
      <c r="I982" s="10">
        <f>IF('Data Entry'!A982="","",'Data Entry'!I982)</f>
        <v/>
      </c>
      <c r="J982" s="12">
        <f>IF('Data Entry'!A982="","",IF('Data Entry'!D982&lt;&gt;"",'Data Entry'!D982,'Data Entry'!E982))</f>
        <v/>
      </c>
      <c r="K982" s="10">
        <f>IF('Data Entry'!A982="","",IFERROR(SUMIFS($H$5:$H$2001,$J$5:$J$2001,$J982,$B$5:$B$2001,$B982,$A$5:$A$2001,(MAXIFS($A$5:$A$2001,$J$5:$J$2001,$J982,$B$5:$B$2001,$B982,$A$5:$A$2001,"&lt;"&amp;$A982))),""))</f>
        <v/>
      </c>
      <c r="L982" s="14">
        <f>IF(OR('Data Entry'!A982="",$K982=""),"",$H982-$K982)</f>
        <v/>
      </c>
      <c r="M982" s="15">
        <f>IF(OR('Data Entry'!A982="",$K982="",$K982=0),"",$L982/$K982)</f>
        <v/>
      </c>
      <c r="N982" s="12">
        <f>IF('Data Entry'!A982="","",IF($L982="","New item",IF($L982&gt;0,"UP",IF($L982&lt;0,"down","same"))))</f>
        <v/>
      </c>
    </row>
    <row r="983">
      <c r="A983" s="11">
        <f>IF('Data Entry'!A983="","",'Data Entry'!A983)</f>
        <v/>
      </c>
      <c r="B983" s="12">
        <f>IF('Data Entry'!A983="","",'Data Entry'!B983)</f>
        <v/>
      </c>
      <c r="C983" s="12">
        <f>IF('Data Entry'!A983="","",'Data Entry'!C983)</f>
        <v/>
      </c>
      <c r="D983" s="12">
        <f>IF('Data Entry'!A983="","",'Data Entry'!D983)</f>
        <v/>
      </c>
      <c r="E983" s="12">
        <f>IF('Data Entry'!A983="","",'Data Entry'!E983)</f>
        <v/>
      </c>
      <c r="F983" s="12">
        <f>IF('Data Entry'!A983="","",'Data Entry'!F983)</f>
        <v/>
      </c>
      <c r="G983" s="13">
        <f>IF('Data Entry'!A983="","",'Data Entry'!G983)</f>
        <v/>
      </c>
      <c r="H983" s="10">
        <f>IF('Data Entry'!A983="","",'Data Entry'!H983)</f>
        <v/>
      </c>
      <c r="I983" s="10">
        <f>IF('Data Entry'!A983="","",'Data Entry'!I983)</f>
        <v/>
      </c>
      <c r="J983" s="12">
        <f>IF('Data Entry'!A983="","",IF('Data Entry'!D983&lt;&gt;"",'Data Entry'!D983,'Data Entry'!E983))</f>
        <v/>
      </c>
      <c r="K983" s="10">
        <f>IF('Data Entry'!A983="","",IFERROR(SUMIFS($H$5:$H$2001,$J$5:$J$2001,$J983,$B$5:$B$2001,$B983,$A$5:$A$2001,(MAXIFS($A$5:$A$2001,$J$5:$J$2001,$J983,$B$5:$B$2001,$B983,$A$5:$A$2001,"&lt;"&amp;$A983))),""))</f>
        <v/>
      </c>
      <c r="L983" s="14">
        <f>IF(OR('Data Entry'!A983="",$K983=""),"",$H983-$K983)</f>
        <v/>
      </c>
      <c r="M983" s="15">
        <f>IF(OR('Data Entry'!A983="",$K983="",$K983=0),"",$L983/$K983)</f>
        <v/>
      </c>
      <c r="N983" s="12">
        <f>IF('Data Entry'!A983="","",IF($L983="","New item",IF($L983&gt;0,"UP",IF($L983&lt;0,"down","same"))))</f>
        <v/>
      </c>
    </row>
    <row r="984">
      <c r="A984" s="11">
        <f>IF('Data Entry'!A984="","",'Data Entry'!A984)</f>
        <v/>
      </c>
      <c r="B984" s="12">
        <f>IF('Data Entry'!A984="","",'Data Entry'!B984)</f>
        <v/>
      </c>
      <c r="C984" s="12">
        <f>IF('Data Entry'!A984="","",'Data Entry'!C984)</f>
        <v/>
      </c>
      <c r="D984" s="12">
        <f>IF('Data Entry'!A984="","",'Data Entry'!D984)</f>
        <v/>
      </c>
      <c r="E984" s="12">
        <f>IF('Data Entry'!A984="","",'Data Entry'!E984)</f>
        <v/>
      </c>
      <c r="F984" s="12">
        <f>IF('Data Entry'!A984="","",'Data Entry'!F984)</f>
        <v/>
      </c>
      <c r="G984" s="13">
        <f>IF('Data Entry'!A984="","",'Data Entry'!G984)</f>
        <v/>
      </c>
      <c r="H984" s="10">
        <f>IF('Data Entry'!A984="","",'Data Entry'!H984)</f>
        <v/>
      </c>
      <c r="I984" s="10">
        <f>IF('Data Entry'!A984="","",'Data Entry'!I984)</f>
        <v/>
      </c>
      <c r="J984" s="12">
        <f>IF('Data Entry'!A984="","",IF('Data Entry'!D984&lt;&gt;"",'Data Entry'!D984,'Data Entry'!E984))</f>
        <v/>
      </c>
      <c r="K984" s="10">
        <f>IF('Data Entry'!A984="","",IFERROR(SUMIFS($H$5:$H$2001,$J$5:$J$2001,$J984,$B$5:$B$2001,$B984,$A$5:$A$2001,(MAXIFS($A$5:$A$2001,$J$5:$J$2001,$J984,$B$5:$B$2001,$B984,$A$5:$A$2001,"&lt;"&amp;$A984))),""))</f>
        <v/>
      </c>
      <c r="L984" s="14">
        <f>IF(OR('Data Entry'!A984="",$K984=""),"",$H984-$K984)</f>
        <v/>
      </c>
      <c r="M984" s="15">
        <f>IF(OR('Data Entry'!A984="",$K984="",$K984=0),"",$L984/$K984)</f>
        <v/>
      </c>
      <c r="N984" s="12">
        <f>IF('Data Entry'!A984="","",IF($L984="","New item",IF($L984&gt;0,"UP",IF($L984&lt;0,"down","same"))))</f>
        <v/>
      </c>
    </row>
    <row r="985">
      <c r="A985" s="11">
        <f>IF('Data Entry'!A985="","",'Data Entry'!A985)</f>
        <v/>
      </c>
      <c r="B985" s="12">
        <f>IF('Data Entry'!A985="","",'Data Entry'!B985)</f>
        <v/>
      </c>
      <c r="C985" s="12">
        <f>IF('Data Entry'!A985="","",'Data Entry'!C985)</f>
        <v/>
      </c>
      <c r="D985" s="12">
        <f>IF('Data Entry'!A985="","",'Data Entry'!D985)</f>
        <v/>
      </c>
      <c r="E985" s="12">
        <f>IF('Data Entry'!A985="","",'Data Entry'!E985)</f>
        <v/>
      </c>
      <c r="F985" s="12">
        <f>IF('Data Entry'!A985="","",'Data Entry'!F985)</f>
        <v/>
      </c>
      <c r="G985" s="13">
        <f>IF('Data Entry'!A985="","",'Data Entry'!G985)</f>
        <v/>
      </c>
      <c r="H985" s="10">
        <f>IF('Data Entry'!A985="","",'Data Entry'!H985)</f>
        <v/>
      </c>
      <c r="I985" s="10">
        <f>IF('Data Entry'!A985="","",'Data Entry'!I985)</f>
        <v/>
      </c>
      <c r="J985" s="12">
        <f>IF('Data Entry'!A985="","",IF('Data Entry'!D985&lt;&gt;"",'Data Entry'!D985,'Data Entry'!E985))</f>
        <v/>
      </c>
      <c r="K985" s="10">
        <f>IF('Data Entry'!A985="","",IFERROR(SUMIFS($H$5:$H$2001,$J$5:$J$2001,$J985,$B$5:$B$2001,$B985,$A$5:$A$2001,(MAXIFS($A$5:$A$2001,$J$5:$J$2001,$J985,$B$5:$B$2001,$B985,$A$5:$A$2001,"&lt;"&amp;$A985))),""))</f>
        <v/>
      </c>
      <c r="L985" s="14">
        <f>IF(OR('Data Entry'!A985="",$K985=""),"",$H985-$K985)</f>
        <v/>
      </c>
      <c r="M985" s="15">
        <f>IF(OR('Data Entry'!A985="",$K985="",$K985=0),"",$L985/$K985)</f>
        <v/>
      </c>
      <c r="N985" s="12">
        <f>IF('Data Entry'!A985="","",IF($L985="","New item",IF($L985&gt;0,"UP",IF($L985&lt;0,"down","same"))))</f>
        <v/>
      </c>
    </row>
    <row r="986">
      <c r="A986" s="11">
        <f>IF('Data Entry'!A986="","",'Data Entry'!A986)</f>
        <v/>
      </c>
      <c r="B986" s="12">
        <f>IF('Data Entry'!A986="","",'Data Entry'!B986)</f>
        <v/>
      </c>
      <c r="C986" s="12">
        <f>IF('Data Entry'!A986="","",'Data Entry'!C986)</f>
        <v/>
      </c>
      <c r="D986" s="12">
        <f>IF('Data Entry'!A986="","",'Data Entry'!D986)</f>
        <v/>
      </c>
      <c r="E986" s="12">
        <f>IF('Data Entry'!A986="","",'Data Entry'!E986)</f>
        <v/>
      </c>
      <c r="F986" s="12">
        <f>IF('Data Entry'!A986="","",'Data Entry'!F986)</f>
        <v/>
      </c>
      <c r="G986" s="13">
        <f>IF('Data Entry'!A986="","",'Data Entry'!G986)</f>
        <v/>
      </c>
      <c r="H986" s="10">
        <f>IF('Data Entry'!A986="","",'Data Entry'!H986)</f>
        <v/>
      </c>
      <c r="I986" s="10">
        <f>IF('Data Entry'!A986="","",'Data Entry'!I986)</f>
        <v/>
      </c>
      <c r="J986" s="12">
        <f>IF('Data Entry'!A986="","",IF('Data Entry'!D986&lt;&gt;"",'Data Entry'!D986,'Data Entry'!E986))</f>
        <v/>
      </c>
      <c r="K986" s="10">
        <f>IF('Data Entry'!A986="","",IFERROR(SUMIFS($H$5:$H$2001,$J$5:$J$2001,$J986,$B$5:$B$2001,$B986,$A$5:$A$2001,(MAXIFS($A$5:$A$2001,$J$5:$J$2001,$J986,$B$5:$B$2001,$B986,$A$5:$A$2001,"&lt;"&amp;$A986))),""))</f>
        <v/>
      </c>
      <c r="L986" s="14">
        <f>IF(OR('Data Entry'!A986="",$K986=""),"",$H986-$K986)</f>
        <v/>
      </c>
      <c r="M986" s="15">
        <f>IF(OR('Data Entry'!A986="",$K986="",$K986=0),"",$L986/$K986)</f>
        <v/>
      </c>
      <c r="N986" s="12">
        <f>IF('Data Entry'!A986="","",IF($L986="","New item",IF($L986&gt;0,"UP",IF($L986&lt;0,"down","same"))))</f>
        <v/>
      </c>
    </row>
    <row r="987">
      <c r="A987" s="11">
        <f>IF('Data Entry'!A987="","",'Data Entry'!A987)</f>
        <v/>
      </c>
      <c r="B987" s="12">
        <f>IF('Data Entry'!A987="","",'Data Entry'!B987)</f>
        <v/>
      </c>
      <c r="C987" s="12">
        <f>IF('Data Entry'!A987="","",'Data Entry'!C987)</f>
        <v/>
      </c>
      <c r="D987" s="12">
        <f>IF('Data Entry'!A987="","",'Data Entry'!D987)</f>
        <v/>
      </c>
      <c r="E987" s="12">
        <f>IF('Data Entry'!A987="","",'Data Entry'!E987)</f>
        <v/>
      </c>
      <c r="F987" s="12">
        <f>IF('Data Entry'!A987="","",'Data Entry'!F987)</f>
        <v/>
      </c>
      <c r="G987" s="13">
        <f>IF('Data Entry'!A987="","",'Data Entry'!G987)</f>
        <v/>
      </c>
      <c r="H987" s="10">
        <f>IF('Data Entry'!A987="","",'Data Entry'!H987)</f>
        <v/>
      </c>
      <c r="I987" s="10">
        <f>IF('Data Entry'!A987="","",'Data Entry'!I987)</f>
        <v/>
      </c>
      <c r="J987" s="12">
        <f>IF('Data Entry'!A987="","",IF('Data Entry'!D987&lt;&gt;"",'Data Entry'!D987,'Data Entry'!E987))</f>
        <v/>
      </c>
      <c r="K987" s="10">
        <f>IF('Data Entry'!A987="","",IFERROR(SUMIFS($H$5:$H$2001,$J$5:$J$2001,$J987,$B$5:$B$2001,$B987,$A$5:$A$2001,(MAXIFS($A$5:$A$2001,$J$5:$J$2001,$J987,$B$5:$B$2001,$B987,$A$5:$A$2001,"&lt;"&amp;$A987))),""))</f>
        <v/>
      </c>
      <c r="L987" s="14">
        <f>IF(OR('Data Entry'!A987="",$K987=""),"",$H987-$K987)</f>
        <v/>
      </c>
      <c r="M987" s="15">
        <f>IF(OR('Data Entry'!A987="",$K987="",$K987=0),"",$L987/$K987)</f>
        <v/>
      </c>
      <c r="N987" s="12">
        <f>IF('Data Entry'!A987="","",IF($L987="","New item",IF($L987&gt;0,"UP",IF($L987&lt;0,"down","same"))))</f>
        <v/>
      </c>
    </row>
    <row r="988">
      <c r="A988" s="11">
        <f>IF('Data Entry'!A988="","",'Data Entry'!A988)</f>
        <v/>
      </c>
      <c r="B988" s="12">
        <f>IF('Data Entry'!A988="","",'Data Entry'!B988)</f>
        <v/>
      </c>
      <c r="C988" s="12">
        <f>IF('Data Entry'!A988="","",'Data Entry'!C988)</f>
        <v/>
      </c>
      <c r="D988" s="12">
        <f>IF('Data Entry'!A988="","",'Data Entry'!D988)</f>
        <v/>
      </c>
      <c r="E988" s="12">
        <f>IF('Data Entry'!A988="","",'Data Entry'!E988)</f>
        <v/>
      </c>
      <c r="F988" s="12">
        <f>IF('Data Entry'!A988="","",'Data Entry'!F988)</f>
        <v/>
      </c>
      <c r="G988" s="13">
        <f>IF('Data Entry'!A988="","",'Data Entry'!G988)</f>
        <v/>
      </c>
      <c r="H988" s="10">
        <f>IF('Data Entry'!A988="","",'Data Entry'!H988)</f>
        <v/>
      </c>
      <c r="I988" s="10">
        <f>IF('Data Entry'!A988="","",'Data Entry'!I988)</f>
        <v/>
      </c>
      <c r="J988" s="12">
        <f>IF('Data Entry'!A988="","",IF('Data Entry'!D988&lt;&gt;"",'Data Entry'!D988,'Data Entry'!E988))</f>
        <v/>
      </c>
      <c r="K988" s="10">
        <f>IF('Data Entry'!A988="","",IFERROR(SUMIFS($H$5:$H$2001,$J$5:$J$2001,$J988,$B$5:$B$2001,$B988,$A$5:$A$2001,(MAXIFS($A$5:$A$2001,$J$5:$J$2001,$J988,$B$5:$B$2001,$B988,$A$5:$A$2001,"&lt;"&amp;$A988))),""))</f>
        <v/>
      </c>
      <c r="L988" s="14">
        <f>IF(OR('Data Entry'!A988="",$K988=""),"",$H988-$K988)</f>
        <v/>
      </c>
      <c r="M988" s="15">
        <f>IF(OR('Data Entry'!A988="",$K988="",$K988=0),"",$L988/$K988)</f>
        <v/>
      </c>
      <c r="N988" s="12">
        <f>IF('Data Entry'!A988="","",IF($L988="","New item",IF($L988&gt;0,"UP",IF($L988&lt;0,"down","same"))))</f>
        <v/>
      </c>
    </row>
    <row r="989">
      <c r="A989" s="11">
        <f>IF('Data Entry'!A989="","",'Data Entry'!A989)</f>
        <v/>
      </c>
      <c r="B989" s="12">
        <f>IF('Data Entry'!A989="","",'Data Entry'!B989)</f>
        <v/>
      </c>
      <c r="C989" s="12">
        <f>IF('Data Entry'!A989="","",'Data Entry'!C989)</f>
        <v/>
      </c>
      <c r="D989" s="12">
        <f>IF('Data Entry'!A989="","",'Data Entry'!D989)</f>
        <v/>
      </c>
      <c r="E989" s="12">
        <f>IF('Data Entry'!A989="","",'Data Entry'!E989)</f>
        <v/>
      </c>
      <c r="F989" s="12">
        <f>IF('Data Entry'!A989="","",'Data Entry'!F989)</f>
        <v/>
      </c>
      <c r="G989" s="13">
        <f>IF('Data Entry'!A989="","",'Data Entry'!G989)</f>
        <v/>
      </c>
      <c r="H989" s="10">
        <f>IF('Data Entry'!A989="","",'Data Entry'!H989)</f>
        <v/>
      </c>
      <c r="I989" s="10">
        <f>IF('Data Entry'!A989="","",'Data Entry'!I989)</f>
        <v/>
      </c>
      <c r="J989" s="12">
        <f>IF('Data Entry'!A989="","",IF('Data Entry'!D989&lt;&gt;"",'Data Entry'!D989,'Data Entry'!E989))</f>
        <v/>
      </c>
      <c r="K989" s="10">
        <f>IF('Data Entry'!A989="","",IFERROR(SUMIFS($H$5:$H$2001,$J$5:$J$2001,$J989,$B$5:$B$2001,$B989,$A$5:$A$2001,(MAXIFS($A$5:$A$2001,$J$5:$J$2001,$J989,$B$5:$B$2001,$B989,$A$5:$A$2001,"&lt;"&amp;$A989))),""))</f>
        <v/>
      </c>
      <c r="L989" s="14">
        <f>IF(OR('Data Entry'!A989="",$K989=""),"",$H989-$K989)</f>
        <v/>
      </c>
      <c r="M989" s="15">
        <f>IF(OR('Data Entry'!A989="",$K989="",$K989=0),"",$L989/$K989)</f>
        <v/>
      </c>
      <c r="N989" s="12">
        <f>IF('Data Entry'!A989="","",IF($L989="","New item",IF($L989&gt;0,"UP",IF($L989&lt;0,"down","same"))))</f>
        <v/>
      </c>
    </row>
    <row r="990">
      <c r="A990" s="11">
        <f>IF('Data Entry'!A990="","",'Data Entry'!A990)</f>
        <v/>
      </c>
      <c r="B990" s="12">
        <f>IF('Data Entry'!A990="","",'Data Entry'!B990)</f>
        <v/>
      </c>
      <c r="C990" s="12">
        <f>IF('Data Entry'!A990="","",'Data Entry'!C990)</f>
        <v/>
      </c>
      <c r="D990" s="12">
        <f>IF('Data Entry'!A990="","",'Data Entry'!D990)</f>
        <v/>
      </c>
      <c r="E990" s="12">
        <f>IF('Data Entry'!A990="","",'Data Entry'!E990)</f>
        <v/>
      </c>
      <c r="F990" s="12">
        <f>IF('Data Entry'!A990="","",'Data Entry'!F990)</f>
        <v/>
      </c>
      <c r="G990" s="13">
        <f>IF('Data Entry'!A990="","",'Data Entry'!G990)</f>
        <v/>
      </c>
      <c r="H990" s="10">
        <f>IF('Data Entry'!A990="","",'Data Entry'!H990)</f>
        <v/>
      </c>
      <c r="I990" s="10">
        <f>IF('Data Entry'!A990="","",'Data Entry'!I990)</f>
        <v/>
      </c>
      <c r="J990" s="12">
        <f>IF('Data Entry'!A990="","",IF('Data Entry'!D990&lt;&gt;"",'Data Entry'!D990,'Data Entry'!E990))</f>
        <v/>
      </c>
      <c r="K990" s="10">
        <f>IF('Data Entry'!A990="","",IFERROR(SUMIFS($H$5:$H$2001,$J$5:$J$2001,$J990,$B$5:$B$2001,$B990,$A$5:$A$2001,(MAXIFS($A$5:$A$2001,$J$5:$J$2001,$J990,$B$5:$B$2001,$B990,$A$5:$A$2001,"&lt;"&amp;$A990))),""))</f>
        <v/>
      </c>
      <c r="L990" s="14">
        <f>IF(OR('Data Entry'!A990="",$K990=""),"",$H990-$K990)</f>
        <v/>
      </c>
      <c r="M990" s="15">
        <f>IF(OR('Data Entry'!A990="",$K990="",$K990=0),"",$L990/$K990)</f>
        <v/>
      </c>
      <c r="N990" s="12">
        <f>IF('Data Entry'!A990="","",IF($L990="","New item",IF($L990&gt;0,"UP",IF($L990&lt;0,"down","same"))))</f>
        <v/>
      </c>
    </row>
    <row r="991">
      <c r="A991" s="11">
        <f>IF('Data Entry'!A991="","",'Data Entry'!A991)</f>
        <v/>
      </c>
      <c r="B991" s="12">
        <f>IF('Data Entry'!A991="","",'Data Entry'!B991)</f>
        <v/>
      </c>
      <c r="C991" s="12">
        <f>IF('Data Entry'!A991="","",'Data Entry'!C991)</f>
        <v/>
      </c>
      <c r="D991" s="12">
        <f>IF('Data Entry'!A991="","",'Data Entry'!D991)</f>
        <v/>
      </c>
      <c r="E991" s="12">
        <f>IF('Data Entry'!A991="","",'Data Entry'!E991)</f>
        <v/>
      </c>
      <c r="F991" s="12">
        <f>IF('Data Entry'!A991="","",'Data Entry'!F991)</f>
        <v/>
      </c>
      <c r="G991" s="13">
        <f>IF('Data Entry'!A991="","",'Data Entry'!G991)</f>
        <v/>
      </c>
      <c r="H991" s="10">
        <f>IF('Data Entry'!A991="","",'Data Entry'!H991)</f>
        <v/>
      </c>
      <c r="I991" s="10">
        <f>IF('Data Entry'!A991="","",'Data Entry'!I991)</f>
        <v/>
      </c>
      <c r="J991" s="12">
        <f>IF('Data Entry'!A991="","",IF('Data Entry'!D991&lt;&gt;"",'Data Entry'!D991,'Data Entry'!E991))</f>
        <v/>
      </c>
      <c r="K991" s="10">
        <f>IF('Data Entry'!A991="","",IFERROR(SUMIFS($H$5:$H$2001,$J$5:$J$2001,$J991,$B$5:$B$2001,$B991,$A$5:$A$2001,(MAXIFS($A$5:$A$2001,$J$5:$J$2001,$J991,$B$5:$B$2001,$B991,$A$5:$A$2001,"&lt;"&amp;$A991))),""))</f>
        <v/>
      </c>
      <c r="L991" s="14">
        <f>IF(OR('Data Entry'!A991="",$K991=""),"",$H991-$K991)</f>
        <v/>
      </c>
      <c r="M991" s="15">
        <f>IF(OR('Data Entry'!A991="",$K991="",$K991=0),"",$L991/$K991)</f>
        <v/>
      </c>
      <c r="N991" s="12">
        <f>IF('Data Entry'!A991="","",IF($L991="","New item",IF($L991&gt;0,"UP",IF($L991&lt;0,"down","same"))))</f>
        <v/>
      </c>
    </row>
    <row r="992">
      <c r="A992" s="11">
        <f>IF('Data Entry'!A992="","",'Data Entry'!A992)</f>
        <v/>
      </c>
      <c r="B992" s="12">
        <f>IF('Data Entry'!A992="","",'Data Entry'!B992)</f>
        <v/>
      </c>
      <c r="C992" s="12">
        <f>IF('Data Entry'!A992="","",'Data Entry'!C992)</f>
        <v/>
      </c>
      <c r="D992" s="12">
        <f>IF('Data Entry'!A992="","",'Data Entry'!D992)</f>
        <v/>
      </c>
      <c r="E992" s="12">
        <f>IF('Data Entry'!A992="","",'Data Entry'!E992)</f>
        <v/>
      </c>
      <c r="F992" s="12">
        <f>IF('Data Entry'!A992="","",'Data Entry'!F992)</f>
        <v/>
      </c>
      <c r="G992" s="13">
        <f>IF('Data Entry'!A992="","",'Data Entry'!G992)</f>
        <v/>
      </c>
      <c r="H992" s="10">
        <f>IF('Data Entry'!A992="","",'Data Entry'!H992)</f>
        <v/>
      </c>
      <c r="I992" s="10">
        <f>IF('Data Entry'!A992="","",'Data Entry'!I992)</f>
        <v/>
      </c>
      <c r="J992" s="12">
        <f>IF('Data Entry'!A992="","",IF('Data Entry'!D992&lt;&gt;"",'Data Entry'!D992,'Data Entry'!E992))</f>
        <v/>
      </c>
      <c r="K992" s="10">
        <f>IF('Data Entry'!A992="","",IFERROR(SUMIFS($H$5:$H$2001,$J$5:$J$2001,$J992,$B$5:$B$2001,$B992,$A$5:$A$2001,(MAXIFS($A$5:$A$2001,$J$5:$J$2001,$J992,$B$5:$B$2001,$B992,$A$5:$A$2001,"&lt;"&amp;$A992))),""))</f>
        <v/>
      </c>
      <c r="L992" s="14">
        <f>IF(OR('Data Entry'!A992="",$K992=""),"",$H992-$K992)</f>
        <v/>
      </c>
      <c r="M992" s="15">
        <f>IF(OR('Data Entry'!A992="",$K992="",$K992=0),"",$L992/$K992)</f>
        <v/>
      </c>
      <c r="N992" s="12">
        <f>IF('Data Entry'!A992="","",IF($L992="","New item",IF($L992&gt;0,"UP",IF($L992&lt;0,"down","same"))))</f>
        <v/>
      </c>
    </row>
    <row r="993">
      <c r="A993" s="11">
        <f>IF('Data Entry'!A993="","",'Data Entry'!A993)</f>
        <v/>
      </c>
      <c r="B993" s="12">
        <f>IF('Data Entry'!A993="","",'Data Entry'!B993)</f>
        <v/>
      </c>
      <c r="C993" s="12">
        <f>IF('Data Entry'!A993="","",'Data Entry'!C993)</f>
        <v/>
      </c>
      <c r="D993" s="12">
        <f>IF('Data Entry'!A993="","",'Data Entry'!D993)</f>
        <v/>
      </c>
      <c r="E993" s="12">
        <f>IF('Data Entry'!A993="","",'Data Entry'!E993)</f>
        <v/>
      </c>
      <c r="F993" s="12">
        <f>IF('Data Entry'!A993="","",'Data Entry'!F993)</f>
        <v/>
      </c>
      <c r="G993" s="13">
        <f>IF('Data Entry'!A993="","",'Data Entry'!G993)</f>
        <v/>
      </c>
      <c r="H993" s="10">
        <f>IF('Data Entry'!A993="","",'Data Entry'!H993)</f>
        <v/>
      </c>
      <c r="I993" s="10">
        <f>IF('Data Entry'!A993="","",'Data Entry'!I993)</f>
        <v/>
      </c>
      <c r="J993" s="12">
        <f>IF('Data Entry'!A993="","",IF('Data Entry'!D993&lt;&gt;"",'Data Entry'!D993,'Data Entry'!E993))</f>
        <v/>
      </c>
      <c r="K993" s="10">
        <f>IF('Data Entry'!A993="","",IFERROR(SUMIFS($H$5:$H$2001,$J$5:$J$2001,$J993,$B$5:$B$2001,$B993,$A$5:$A$2001,(MAXIFS($A$5:$A$2001,$J$5:$J$2001,$J993,$B$5:$B$2001,$B993,$A$5:$A$2001,"&lt;"&amp;$A993))),""))</f>
        <v/>
      </c>
      <c r="L993" s="14">
        <f>IF(OR('Data Entry'!A993="",$K993=""),"",$H993-$K993)</f>
        <v/>
      </c>
      <c r="M993" s="15">
        <f>IF(OR('Data Entry'!A993="",$K993="",$K993=0),"",$L993/$K993)</f>
        <v/>
      </c>
      <c r="N993" s="12">
        <f>IF('Data Entry'!A993="","",IF($L993="","New item",IF($L993&gt;0,"UP",IF($L993&lt;0,"down","same"))))</f>
        <v/>
      </c>
    </row>
    <row r="994">
      <c r="A994" s="11">
        <f>IF('Data Entry'!A994="","",'Data Entry'!A994)</f>
        <v/>
      </c>
      <c r="B994" s="12">
        <f>IF('Data Entry'!A994="","",'Data Entry'!B994)</f>
        <v/>
      </c>
      <c r="C994" s="12">
        <f>IF('Data Entry'!A994="","",'Data Entry'!C994)</f>
        <v/>
      </c>
      <c r="D994" s="12">
        <f>IF('Data Entry'!A994="","",'Data Entry'!D994)</f>
        <v/>
      </c>
      <c r="E994" s="12">
        <f>IF('Data Entry'!A994="","",'Data Entry'!E994)</f>
        <v/>
      </c>
      <c r="F994" s="12">
        <f>IF('Data Entry'!A994="","",'Data Entry'!F994)</f>
        <v/>
      </c>
      <c r="G994" s="13">
        <f>IF('Data Entry'!A994="","",'Data Entry'!G994)</f>
        <v/>
      </c>
      <c r="H994" s="10">
        <f>IF('Data Entry'!A994="","",'Data Entry'!H994)</f>
        <v/>
      </c>
      <c r="I994" s="10">
        <f>IF('Data Entry'!A994="","",'Data Entry'!I994)</f>
        <v/>
      </c>
      <c r="J994" s="12">
        <f>IF('Data Entry'!A994="","",IF('Data Entry'!D994&lt;&gt;"",'Data Entry'!D994,'Data Entry'!E994))</f>
        <v/>
      </c>
      <c r="K994" s="10">
        <f>IF('Data Entry'!A994="","",IFERROR(SUMIFS($H$5:$H$2001,$J$5:$J$2001,$J994,$B$5:$B$2001,$B994,$A$5:$A$2001,(MAXIFS($A$5:$A$2001,$J$5:$J$2001,$J994,$B$5:$B$2001,$B994,$A$5:$A$2001,"&lt;"&amp;$A994))),""))</f>
        <v/>
      </c>
      <c r="L994" s="14">
        <f>IF(OR('Data Entry'!A994="",$K994=""),"",$H994-$K994)</f>
        <v/>
      </c>
      <c r="M994" s="15">
        <f>IF(OR('Data Entry'!A994="",$K994="",$K994=0),"",$L994/$K994)</f>
        <v/>
      </c>
      <c r="N994" s="12">
        <f>IF('Data Entry'!A994="","",IF($L994="","New item",IF($L994&gt;0,"UP",IF($L994&lt;0,"down","same"))))</f>
        <v/>
      </c>
    </row>
    <row r="995">
      <c r="A995" s="11">
        <f>IF('Data Entry'!A995="","",'Data Entry'!A995)</f>
        <v/>
      </c>
      <c r="B995" s="12">
        <f>IF('Data Entry'!A995="","",'Data Entry'!B995)</f>
        <v/>
      </c>
      <c r="C995" s="12">
        <f>IF('Data Entry'!A995="","",'Data Entry'!C995)</f>
        <v/>
      </c>
      <c r="D995" s="12">
        <f>IF('Data Entry'!A995="","",'Data Entry'!D995)</f>
        <v/>
      </c>
      <c r="E995" s="12">
        <f>IF('Data Entry'!A995="","",'Data Entry'!E995)</f>
        <v/>
      </c>
      <c r="F995" s="12">
        <f>IF('Data Entry'!A995="","",'Data Entry'!F995)</f>
        <v/>
      </c>
      <c r="G995" s="13">
        <f>IF('Data Entry'!A995="","",'Data Entry'!G995)</f>
        <v/>
      </c>
      <c r="H995" s="10">
        <f>IF('Data Entry'!A995="","",'Data Entry'!H995)</f>
        <v/>
      </c>
      <c r="I995" s="10">
        <f>IF('Data Entry'!A995="","",'Data Entry'!I995)</f>
        <v/>
      </c>
      <c r="J995" s="12">
        <f>IF('Data Entry'!A995="","",IF('Data Entry'!D995&lt;&gt;"",'Data Entry'!D995,'Data Entry'!E995))</f>
        <v/>
      </c>
      <c r="K995" s="10">
        <f>IF('Data Entry'!A995="","",IFERROR(SUMIFS($H$5:$H$2001,$J$5:$J$2001,$J995,$B$5:$B$2001,$B995,$A$5:$A$2001,(MAXIFS($A$5:$A$2001,$J$5:$J$2001,$J995,$B$5:$B$2001,$B995,$A$5:$A$2001,"&lt;"&amp;$A995))),""))</f>
        <v/>
      </c>
      <c r="L995" s="14">
        <f>IF(OR('Data Entry'!A995="",$K995=""),"",$H995-$K995)</f>
        <v/>
      </c>
      <c r="M995" s="15">
        <f>IF(OR('Data Entry'!A995="",$K995="",$K995=0),"",$L995/$K995)</f>
        <v/>
      </c>
      <c r="N995" s="12">
        <f>IF('Data Entry'!A995="","",IF($L995="","New item",IF($L995&gt;0,"UP",IF($L995&lt;0,"down","same"))))</f>
        <v/>
      </c>
    </row>
    <row r="996">
      <c r="A996" s="11">
        <f>IF('Data Entry'!A996="","",'Data Entry'!A996)</f>
        <v/>
      </c>
      <c r="B996" s="12">
        <f>IF('Data Entry'!A996="","",'Data Entry'!B996)</f>
        <v/>
      </c>
      <c r="C996" s="12">
        <f>IF('Data Entry'!A996="","",'Data Entry'!C996)</f>
        <v/>
      </c>
      <c r="D996" s="12">
        <f>IF('Data Entry'!A996="","",'Data Entry'!D996)</f>
        <v/>
      </c>
      <c r="E996" s="12">
        <f>IF('Data Entry'!A996="","",'Data Entry'!E996)</f>
        <v/>
      </c>
      <c r="F996" s="12">
        <f>IF('Data Entry'!A996="","",'Data Entry'!F996)</f>
        <v/>
      </c>
      <c r="G996" s="13">
        <f>IF('Data Entry'!A996="","",'Data Entry'!G996)</f>
        <v/>
      </c>
      <c r="H996" s="10">
        <f>IF('Data Entry'!A996="","",'Data Entry'!H996)</f>
        <v/>
      </c>
      <c r="I996" s="10">
        <f>IF('Data Entry'!A996="","",'Data Entry'!I996)</f>
        <v/>
      </c>
      <c r="J996" s="12">
        <f>IF('Data Entry'!A996="","",IF('Data Entry'!D996&lt;&gt;"",'Data Entry'!D996,'Data Entry'!E996))</f>
        <v/>
      </c>
      <c r="K996" s="10">
        <f>IF('Data Entry'!A996="","",IFERROR(SUMIFS($H$5:$H$2001,$J$5:$J$2001,$J996,$B$5:$B$2001,$B996,$A$5:$A$2001,(MAXIFS($A$5:$A$2001,$J$5:$J$2001,$J996,$B$5:$B$2001,$B996,$A$5:$A$2001,"&lt;"&amp;$A996))),""))</f>
        <v/>
      </c>
      <c r="L996" s="14">
        <f>IF(OR('Data Entry'!A996="",$K996=""),"",$H996-$K996)</f>
        <v/>
      </c>
      <c r="M996" s="15">
        <f>IF(OR('Data Entry'!A996="",$K996="",$K996=0),"",$L996/$K996)</f>
        <v/>
      </c>
      <c r="N996" s="12">
        <f>IF('Data Entry'!A996="","",IF($L996="","New item",IF($L996&gt;0,"UP",IF($L996&lt;0,"down","same"))))</f>
        <v/>
      </c>
    </row>
    <row r="997">
      <c r="A997" s="11">
        <f>IF('Data Entry'!A997="","",'Data Entry'!A997)</f>
        <v/>
      </c>
      <c r="B997" s="12">
        <f>IF('Data Entry'!A997="","",'Data Entry'!B997)</f>
        <v/>
      </c>
      <c r="C997" s="12">
        <f>IF('Data Entry'!A997="","",'Data Entry'!C997)</f>
        <v/>
      </c>
      <c r="D997" s="12">
        <f>IF('Data Entry'!A997="","",'Data Entry'!D997)</f>
        <v/>
      </c>
      <c r="E997" s="12">
        <f>IF('Data Entry'!A997="","",'Data Entry'!E997)</f>
        <v/>
      </c>
      <c r="F997" s="12">
        <f>IF('Data Entry'!A997="","",'Data Entry'!F997)</f>
        <v/>
      </c>
      <c r="G997" s="13">
        <f>IF('Data Entry'!A997="","",'Data Entry'!G997)</f>
        <v/>
      </c>
      <c r="H997" s="10">
        <f>IF('Data Entry'!A997="","",'Data Entry'!H997)</f>
        <v/>
      </c>
      <c r="I997" s="10">
        <f>IF('Data Entry'!A997="","",'Data Entry'!I997)</f>
        <v/>
      </c>
      <c r="J997" s="12">
        <f>IF('Data Entry'!A997="","",IF('Data Entry'!D997&lt;&gt;"",'Data Entry'!D997,'Data Entry'!E997))</f>
        <v/>
      </c>
      <c r="K997" s="10">
        <f>IF('Data Entry'!A997="","",IFERROR(SUMIFS($H$5:$H$2001,$J$5:$J$2001,$J997,$B$5:$B$2001,$B997,$A$5:$A$2001,(MAXIFS($A$5:$A$2001,$J$5:$J$2001,$J997,$B$5:$B$2001,$B997,$A$5:$A$2001,"&lt;"&amp;$A997))),""))</f>
        <v/>
      </c>
      <c r="L997" s="14">
        <f>IF(OR('Data Entry'!A997="",$K997=""),"",$H997-$K997)</f>
        <v/>
      </c>
      <c r="M997" s="15">
        <f>IF(OR('Data Entry'!A997="",$K997="",$K997=0),"",$L997/$K997)</f>
        <v/>
      </c>
      <c r="N997" s="12">
        <f>IF('Data Entry'!A997="","",IF($L997="","New item",IF($L997&gt;0,"UP",IF($L997&lt;0,"down","same"))))</f>
        <v/>
      </c>
    </row>
    <row r="998">
      <c r="A998" s="11">
        <f>IF('Data Entry'!A998="","",'Data Entry'!A998)</f>
        <v/>
      </c>
      <c r="B998" s="12">
        <f>IF('Data Entry'!A998="","",'Data Entry'!B998)</f>
        <v/>
      </c>
      <c r="C998" s="12">
        <f>IF('Data Entry'!A998="","",'Data Entry'!C998)</f>
        <v/>
      </c>
      <c r="D998" s="12">
        <f>IF('Data Entry'!A998="","",'Data Entry'!D998)</f>
        <v/>
      </c>
      <c r="E998" s="12">
        <f>IF('Data Entry'!A998="","",'Data Entry'!E998)</f>
        <v/>
      </c>
      <c r="F998" s="12">
        <f>IF('Data Entry'!A998="","",'Data Entry'!F998)</f>
        <v/>
      </c>
      <c r="G998" s="13">
        <f>IF('Data Entry'!A998="","",'Data Entry'!G998)</f>
        <v/>
      </c>
      <c r="H998" s="10">
        <f>IF('Data Entry'!A998="","",'Data Entry'!H998)</f>
        <v/>
      </c>
      <c r="I998" s="10">
        <f>IF('Data Entry'!A998="","",'Data Entry'!I998)</f>
        <v/>
      </c>
      <c r="J998" s="12">
        <f>IF('Data Entry'!A998="","",IF('Data Entry'!D998&lt;&gt;"",'Data Entry'!D998,'Data Entry'!E998))</f>
        <v/>
      </c>
      <c r="K998" s="10">
        <f>IF('Data Entry'!A998="","",IFERROR(SUMIFS($H$5:$H$2001,$J$5:$J$2001,$J998,$B$5:$B$2001,$B998,$A$5:$A$2001,(MAXIFS($A$5:$A$2001,$J$5:$J$2001,$J998,$B$5:$B$2001,$B998,$A$5:$A$2001,"&lt;"&amp;$A998))),""))</f>
        <v/>
      </c>
      <c r="L998" s="14">
        <f>IF(OR('Data Entry'!A998="",$K998=""),"",$H998-$K998)</f>
        <v/>
      </c>
      <c r="M998" s="15">
        <f>IF(OR('Data Entry'!A998="",$K998="",$K998=0),"",$L998/$K998)</f>
        <v/>
      </c>
      <c r="N998" s="12">
        <f>IF('Data Entry'!A998="","",IF($L998="","New item",IF($L998&gt;0,"UP",IF($L998&lt;0,"down","same"))))</f>
        <v/>
      </c>
    </row>
    <row r="999">
      <c r="A999" s="11">
        <f>IF('Data Entry'!A999="","",'Data Entry'!A999)</f>
        <v/>
      </c>
      <c r="B999" s="12">
        <f>IF('Data Entry'!A999="","",'Data Entry'!B999)</f>
        <v/>
      </c>
      <c r="C999" s="12">
        <f>IF('Data Entry'!A999="","",'Data Entry'!C999)</f>
        <v/>
      </c>
      <c r="D999" s="12">
        <f>IF('Data Entry'!A999="","",'Data Entry'!D999)</f>
        <v/>
      </c>
      <c r="E999" s="12">
        <f>IF('Data Entry'!A999="","",'Data Entry'!E999)</f>
        <v/>
      </c>
      <c r="F999" s="12">
        <f>IF('Data Entry'!A999="","",'Data Entry'!F999)</f>
        <v/>
      </c>
      <c r="G999" s="13">
        <f>IF('Data Entry'!A999="","",'Data Entry'!G999)</f>
        <v/>
      </c>
      <c r="H999" s="10">
        <f>IF('Data Entry'!A999="","",'Data Entry'!H999)</f>
        <v/>
      </c>
      <c r="I999" s="10">
        <f>IF('Data Entry'!A999="","",'Data Entry'!I999)</f>
        <v/>
      </c>
      <c r="J999" s="12">
        <f>IF('Data Entry'!A999="","",IF('Data Entry'!D999&lt;&gt;"",'Data Entry'!D999,'Data Entry'!E999))</f>
        <v/>
      </c>
      <c r="K999" s="10">
        <f>IF('Data Entry'!A999="","",IFERROR(SUMIFS($H$5:$H$2001,$J$5:$J$2001,$J999,$B$5:$B$2001,$B999,$A$5:$A$2001,(MAXIFS($A$5:$A$2001,$J$5:$J$2001,$J999,$B$5:$B$2001,$B999,$A$5:$A$2001,"&lt;"&amp;$A999))),""))</f>
        <v/>
      </c>
      <c r="L999" s="14">
        <f>IF(OR('Data Entry'!A999="",$K999=""),"",$H999-$K999)</f>
        <v/>
      </c>
      <c r="M999" s="15">
        <f>IF(OR('Data Entry'!A999="",$K999="",$K999=0),"",$L999/$K999)</f>
        <v/>
      </c>
      <c r="N999" s="12">
        <f>IF('Data Entry'!A999="","",IF($L999="","New item",IF($L999&gt;0,"UP",IF($L999&lt;0,"down","same"))))</f>
        <v/>
      </c>
    </row>
    <row r="1000">
      <c r="A1000" s="11">
        <f>IF('Data Entry'!A1000="","",'Data Entry'!A1000)</f>
        <v/>
      </c>
      <c r="B1000" s="12">
        <f>IF('Data Entry'!A1000="","",'Data Entry'!B1000)</f>
        <v/>
      </c>
      <c r="C1000" s="12">
        <f>IF('Data Entry'!A1000="","",'Data Entry'!C1000)</f>
        <v/>
      </c>
      <c r="D1000" s="12">
        <f>IF('Data Entry'!A1000="","",'Data Entry'!D1000)</f>
        <v/>
      </c>
      <c r="E1000" s="12">
        <f>IF('Data Entry'!A1000="","",'Data Entry'!E1000)</f>
        <v/>
      </c>
      <c r="F1000" s="12">
        <f>IF('Data Entry'!A1000="","",'Data Entry'!F1000)</f>
        <v/>
      </c>
      <c r="G1000" s="13">
        <f>IF('Data Entry'!A1000="","",'Data Entry'!G1000)</f>
        <v/>
      </c>
      <c r="H1000" s="10">
        <f>IF('Data Entry'!A1000="","",'Data Entry'!H1000)</f>
        <v/>
      </c>
      <c r="I1000" s="10">
        <f>IF('Data Entry'!A1000="","",'Data Entry'!I1000)</f>
        <v/>
      </c>
      <c r="J1000" s="12">
        <f>IF('Data Entry'!A1000="","",IF('Data Entry'!D1000&lt;&gt;"",'Data Entry'!D1000,'Data Entry'!E1000))</f>
        <v/>
      </c>
      <c r="K1000" s="10">
        <f>IF('Data Entry'!A1000="","",IFERROR(SUMIFS($H$5:$H$2001,$J$5:$J$2001,$J1000,$B$5:$B$2001,$B1000,$A$5:$A$2001,(MAXIFS($A$5:$A$2001,$J$5:$J$2001,$J1000,$B$5:$B$2001,$B1000,$A$5:$A$2001,"&lt;"&amp;$A1000))),""))</f>
        <v/>
      </c>
      <c r="L1000" s="14">
        <f>IF(OR('Data Entry'!A1000="",$K1000=""),"",$H1000-$K1000)</f>
        <v/>
      </c>
      <c r="M1000" s="15">
        <f>IF(OR('Data Entry'!A1000="",$K1000="",$K1000=0),"",$L1000/$K1000)</f>
        <v/>
      </c>
      <c r="N1000" s="12">
        <f>IF('Data Entry'!A1000="","",IF($L1000="","New item",IF($L1000&gt;0,"UP",IF($L1000&lt;0,"down","same"))))</f>
        <v/>
      </c>
    </row>
    <row r="1001">
      <c r="A1001" s="11">
        <f>IF('Data Entry'!A1001="","",'Data Entry'!A1001)</f>
        <v/>
      </c>
      <c r="B1001" s="12">
        <f>IF('Data Entry'!A1001="","",'Data Entry'!B1001)</f>
        <v/>
      </c>
      <c r="C1001" s="12">
        <f>IF('Data Entry'!A1001="","",'Data Entry'!C1001)</f>
        <v/>
      </c>
      <c r="D1001" s="12">
        <f>IF('Data Entry'!A1001="","",'Data Entry'!D1001)</f>
        <v/>
      </c>
      <c r="E1001" s="12">
        <f>IF('Data Entry'!A1001="","",'Data Entry'!E1001)</f>
        <v/>
      </c>
      <c r="F1001" s="12">
        <f>IF('Data Entry'!A1001="","",'Data Entry'!F1001)</f>
        <v/>
      </c>
      <c r="G1001" s="13">
        <f>IF('Data Entry'!A1001="","",'Data Entry'!G1001)</f>
        <v/>
      </c>
      <c r="H1001" s="10">
        <f>IF('Data Entry'!A1001="","",'Data Entry'!H1001)</f>
        <v/>
      </c>
      <c r="I1001" s="10">
        <f>IF('Data Entry'!A1001="","",'Data Entry'!I1001)</f>
        <v/>
      </c>
      <c r="J1001" s="12">
        <f>IF('Data Entry'!A1001="","",IF('Data Entry'!D1001&lt;&gt;"",'Data Entry'!D1001,'Data Entry'!E1001))</f>
        <v/>
      </c>
      <c r="K1001" s="10">
        <f>IF('Data Entry'!A1001="","",IFERROR(SUMIFS($H$5:$H$2001,$J$5:$J$2001,$J1001,$B$5:$B$2001,$B1001,$A$5:$A$2001,(MAXIFS($A$5:$A$2001,$J$5:$J$2001,$J1001,$B$5:$B$2001,$B1001,$A$5:$A$2001,"&lt;"&amp;$A1001))),""))</f>
        <v/>
      </c>
      <c r="L1001" s="14">
        <f>IF(OR('Data Entry'!A1001="",$K1001=""),"",$H1001-$K1001)</f>
        <v/>
      </c>
      <c r="M1001" s="15">
        <f>IF(OR('Data Entry'!A1001="",$K1001="",$K1001=0),"",$L1001/$K1001)</f>
        <v/>
      </c>
      <c r="N1001" s="12">
        <f>IF('Data Entry'!A1001="","",IF($L1001="","New item",IF($L1001&gt;0,"UP",IF($L1001&lt;0,"down","same"))))</f>
        <v/>
      </c>
    </row>
    <row r="1002">
      <c r="A1002" s="11">
        <f>IF('Data Entry'!A1002="","",'Data Entry'!A1002)</f>
        <v/>
      </c>
      <c r="B1002" s="12">
        <f>IF('Data Entry'!A1002="","",'Data Entry'!B1002)</f>
        <v/>
      </c>
      <c r="C1002" s="12">
        <f>IF('Data Entry'!A1002="","",'Data Entry'!C1002)</f>
        <v/>
      </c>
      <c r="D1002" s="12">
        <f>IF('Data Entry'!A1002="","",'Data Entry'!D1002)</f>
        <v/>
      </c>
      <c r="E1002" s="12">
        <f>IF('Data Entry'!A1002="","",'Data Entry'!E1002)</f>
        <v/>
      </c>
      <c r="F1002" s="12">
        <f>IF('Data Entry'!A1002="","",'Data Entry'!F1002)</f>
        <v/>
      </c>
      <c r="G1002" s="13">
        <f>IF('Data Entry'!A1002="","",'Data Entry'!G1002)</f>
        <v/>
      </c>
      <c r="H1002" s="10">
        <f>IF('Data Entry'!A1002="","",'Data Entry'!H1002)</f>
        <v/>
      </c>
      <c r="I1002" s="10">
        <f>IF('Data Entry'!A1002="","",'Data Entry'!I1002)</f>
        <v/>
      </c>
      <c r="J1002" s="12">
        <f>IF('Data Entry'!A1002="","",IF('Data Entry'!D1002&lt;&gt;"",'Data Entry'!D1002,'Data Entry'!E1002))</f>
        <v/>
      </c>
      <c r="K1002" s="10">
        <f>IF('Data Entry'!A1002="","",IFERROR(SUMIFS($H$5:$H$2001,$J$5:$J$2001,$J1002,$B$5:$B$2001,$B1002,$A$5:$A$2001,(MAXIFS($A$5:$A$2001,$J$5:$J$2001,$J1002,$B$5:$B$2001,$B1002,$A$5:$A$2001,"&lt;"&amp;$A1002))),""))</f>
        <v/>
      </c>
      <c r="L1002" s="14">
        <f>IF(OR('Data Entry'!A1002="",$K1002=""),"",$H1002-$K1002)</f>
        <v/>
      </c>
      <c r="M1002" s="15">
        <f>IF(OR('Data Entry'!A1002="",$K1002="",$K1002=0),"",$L1002/$K1002)</f>
        <v/>
      </c>
      <c r="N1002" s="12">
        <f>IF('Data Entry'!A1002="","",IF($L1002="","New item",IF($L1002&gt;0,"UP",IF($L1002&lt;0,"down","same"))))</f>
        <v/>
      </c>
    </row>
    <row r="1003">
      <c r="A1003" s="11">
        <f>IF('Data Entry'!A1003="","",'Data Entry'!A1003)</f>
        <v/>
      </c>
      <c r="B1003" s="12">
        <f>IF('Data Entry'!A1003="","",'Data Entry'!B1003)</f>
        <v/>
      </c>
      <c r="C1003" s="12">
        <f>IF('Data Entry'!A1003="","",'Data Entry'!C1003)</f>
        <v/>
      </c>
      <c r="D1003" s="12">
        <f>IF('Data Entry'!A1003="","",'Data Entry'!D1003)</f>
        <v/>
      </c>
      <c r="E1003" s="12">
        <f>IF('Data Entry'!A1003="","",'Data Entry'!E1003)</f>
        <v/>
      </c>
      <c r="F1003" s="12">
        <f>IF('Data Entry'!A1003="","",'Data Entry'!F1003)</f>
        <v/>
      </c>
      <c r="G1003" s="13">
        <f>IF('Data Entry'!A1003="","",'Data Entry'!G1003)</f>
        <v/>
      </c>
      <c r="H1003" s="10">
        <f>IF('Data Entry'!A1003="","",'Data Entry'!H1003)</f>
        <v/>
      </c>
      <c r="I1003" s="10">
        <f>IF('Data Entry'!A1003="","",'Data Entry'!I1003)</f>
        <v/>
      </c>
      <c r="J1003" s="12">
        <f>IF('Data Entry'!A1003="","",IF('Data Entry'!D1003&lt;&gt;"",'Data Entry'!D1003,'Data Entry'!E1003))</f>
        <v/>
      </c>
      <c r="K1003" s="10">
        <f>IF('Data Entry'!A1003="","",IFERROR(SUMIFS($H$5:$H$2001,$J$5:$J$2001,$J1003,$B$5:$B$2001,$B1003,$A$5:$A$2001,(MAXIFS($A$5:$A$2001,$J$5:$J$2001,$J1003,$B$5:$B$2001,$B1003,$A$5:$A$2001,"&lt;"&amp;$A1003))),""))</f>
        <v/>
      </c>
      <c r="L1003" s="14">
        <f>IF(OR('Data Entry'!A1003="",$K1003=""),"",$H1003-$K1003)</f>
        <v/>
      </c>
      <c r="M1003" s="15">
        <f>IF(OR('Data Entry'!A1003="",$K1003="",$K1003=0),"",$L1003/$K1003)</f>
        <v/>
      </c>
      <c r="N1003" s="12">
        <f>IF('Data Entry'!A1003="","",IF($L1003="","New item",IF($L1003&gt;0,"UP",IF($L1003&lt;0,"down","same"))))</f>
        <v/>
      </c>
    </row>
    <row r="1004">
      <c r="A1004" s="11">
        <f>IF('Data Entry'!A1004="","",'Data Entry'!A1004)</f>
        <v/>
      </c>
      <c r="B1004" s="12">
        <f>IF('Data Entry'!A1004="","",'Data Entry'!B1004)</f>
        <v/>
      </c>
      <c r="C1004" s="12">
        <f>IF('Data Entry'!A1004="","",'Data Entry'!C1004)</f>
        <v/>
      </c>
      <c r="D1004" s="12">
        <f>IF('Data Entry'!A1004="","",'Data Entry'!D1004)</f>
        <v/>
      </c>
      <c r="E1004" s="12">
        <f>IF('Data Entry'!A1004="","",'Data Entry'!E1004)</f>
        <v/>
      </c>
      <c r="F1004" s="12">
        <f>IF('Data Entry'!A1004="","",'Data Entry'!F1004)</f>
        <v/>
      </c>
      <c r="G1004" s="13">
        <f>IF('Data Entry'!A1004="","",'Data Entry'!G1004)</f>
        <v/>
      </c>
      <c r="H1004" s="10">
        <f>IF('Data Entry'!A1004="","",'Data Entry'!H1004)</f>
        <v/>
      </c>
      <c r="I1004" s="10">
        <f>IF('Data Entry'!A1004="","",'Data Entry'!I1004)</f>
        <v/>
      </c>
      <c r="J1004" s="12">
        <f>IF('Data Entry'!A1004="","",IF('Data Entry'!D1004&lt;&gt;"",'Data Entry'!D1004,'Data Entry'!E1004))</f>
        <v/>
      </c>
      <c r="K1004" s="10">
        <f>IF('Data Entry'!A1004="","",IFERROR(SUMIFS($H$5:$H$2001,$J$5:$J$2001,$J1004,$B$5:$B$2001,$B1004,$A$5:$A$2001,(MAXIFS($A$5:$A$2001,$J$5:$J$2001,$J1004,$B$5:$B$2001,$B1004,$A$5:$A$2001,"&lt;"&amp;$A1004))),""))</f>
        <v/>
      </c>
      <c r="L1004" s="14">
        <f>IF(OR('Data Entry'!A1004="",$K1004=""),"",$H1004-$K1004)</f>
        <v/>
      </c>
      <c r="M1004" s="15">
        <f>IF(OR('Data Entry'!A1004="",$K1004="",$K1004=0),"",$L1004/$K1004)</f>
        <v/>
      </c>
      <c r="N1004" s="12">
        <f>IF('Data Entry'!A1004="","",IF($L1004="","New item",IF($L1004&gt;0,"UP",IF($L1004&lt;0,"down","same"))))</f>
        <v/>
      </c>
    </row>
    <row r="1005">
      <c r="A1005" s="11">
        <f>IF('Data Entry'!A1005="","",'Data Entry'!A1005)</f>
        <v/>
      </c>
      <c r="B1005" s="12">
        <f>IF('Data Entry'!A1005="","",'Data Entry'!B1005)</f>
        <v/>
      </c>
      <c r="C1005" s="12">
        <f>IF('Data Entry'!A1005="","",'Data Entry'!C1005)</f>
        <v/>
      </c>
      <c r="D1005" s="12">
        <f>IF('Data Entry'!A1005="","",'Data Entry'!D1005)</f>
        <v/>
      </c>
      <c r="E1005" s="12">
        <f>IF('Data Entry'!A1005="","",'Data Entry'!E1005)</f>
        <v/>
      </c>
      <c r="F1005" s="12">
        <f>IF('Data Entry'!A1005="","",'Data Entry'!F1005)</f>
        <v/>
      </c>
      <c r="G1005" s="13">
        <f>IF('Data Entry'!A1005="","",'Data Entry'!G1005)</f>
        <v/>
      </c>
      <c r="H1005" s="10">
        <f>IF('Data Entry'!A1005="","",'Data Entry'!H1005)</f>
        <v/>
      </c>
      <c r="I1005" s="10">
        <f>IF('Data Entry'!A1005="","",'Data Entry'!I1005)</f>
        <v/>
      </c>
      <c r="J1005" s="12">
        <f>IF('Data Entry'!A1005="","",IF('Data Entry'!D1005&lt;&gt;"",'Data Entry'!D1005,'Data Entry'!E1005))</f>
        <v/>
      </c>
      <c r="K1005" s="10">
        <f>IF('Data Entry'!A1005="","",IFERROR(SUMIFS($H$5:$H$2001,$J$5:$J$2001,$J1005,$B$5:$B$2001,$B1005,$A$5:$A$2001,(MAXIFS($A$5:$A$2001,$J$5:$J$2001,$J1005,$B$5:$B$2001,$B1005,$A$5:$A$2001,"&lt;"&amp;$A1005))),""))</f>
        <v/>
      </c>
      <c r="L1005" s="14">
        <f>IF(OR('Data Entry'!A1005="",$K1005=""),"",$H1005-$K1005)</f>
        <v/>
      </c>
      <c r="M1005" s="15">
        <f>IF(OR('Data Entry'!A1005="",$K1005="",$K1005=0),"",$L1005/$K1005)</f>
        <v/>
      </c>
      <c r="N1005" s="12">
        <f>IF('Data Entry'!A1005="","",IF($L1005="","New item",IF($L1005&gt;0,"UP",IF($L1005&lt;0,"down","same"))))</f>
        <v/>
      </c>
    </row>
    <row r="1006">
      <c r="A1006" s="11">
        <f>IF('Data Entry'!A1006="","",'Data Entry'!A1006)</f>
        <v/>
      </c>
      <c r="B1006" s="12">
        <f>IF('Data Entry'!A1006="","",'Data Entry'!B1006)</f>
        <v/>
      </c>
      <c r="C1006" s="12">
        <f>IF('Data Entry'!A1006="","",'Data Entry'!C1006)</f>
        <v/>
      </c>
      <c r="D1006" s="12">
        <f>IF('Data Entry'!A1006="","",'Data Entry'!D1006)</f>
        <v/>
      </c>
      <c r="E1006" s="12">
        <f>IF('Data Entry'!A1006="","",'Data Entry'!E1006)</f>
        <v/>
      </c>
      <c r="F1006" s="12">
        <f>IF('Data Entry'!A1006="","",'Data Entry'!F1006)</f>
        <v/>
      </c>
      <c r="G1006" s="13">
        <f>IF('Data Entry'!A1006="","",'Data Entry'!G1006)</f>
        <v/>
      </c>
      <c r="H1006" s="10">
        <f>IF('Data Entry'!A1006="","",'Data Entry'!H1006)</f>
        <v/>
      </c>
      <c r="I1006" s="10">
        <f>IF('Data Entry'!A1006="","",'Data Entry'!I1006)</f>
        <v/>
      </c>
      <c r="J1006" s="12">
        <f>IF('Data Entry'!A1006="","",IF('Data Entry'!D1006&lt;&gt;"",'Data Entry'!D1006,'Data Entry'!E1006))</f>
        <v/>
      </c>
      <c r="K1006" s="10">
        <f>IF('Data Entry'!A1006="","",IFERROR(SUMIFS($H$5:$H$2001,$J$5:$J$2001,$J1006,$B$5:$B$2001,$B1006,$A$5:$A$2001,(MAXIFS($A$5:$A$2001,$J$5:$J$2001,$J1006,$B$5:$B$2001,$B1006,$A$5:$A$2001,"&lt;"&amp;$A1006))),""))</f>
        <v/>
      </c>
      <c r="L1006" s="14">
        <f>IF(OR('Data Entry'!A1006="",$K1006=""),"",$H1006-$K1006)</f>
        <v/>
      </c>
      <c r="M1006" s="15">
        <f>IF(OR('Data Entry'!A1006="",$K1006="",$K1006=0),"",$L1006/$K1006)</f>
        <v/>
      </c>
      <c r="N1006" s="12">
        <f>IF('Data Entry'!A1006="","",IF($L1006="","New item",IF($L1006&gt;0,"UP",IF($L1006&lt;0,"down","same"))))</f>
        <v/>
      </c>
    </row>
    <row r="1007">
      <c r="A1007" s="11">
        <f>IF('Data Entry'!A1007="","",'Data Entry'!A1007)</f>
        <v/>
      </c>
      <c r="B1007" s="12">
        <f>IF('Data Entry'!A1007="","",'Data Entry'!B1007)</f>
        <v/>
      </c>
      <c r="C1007" s="12">
        <f>IF('Data Entry'!A1007="","",'Data Entry'!C1007)</f>
        <v/>
      </c>
      <c r="D1007" s="12">
        <f>IF('Data Entry'!A1007="","",'Data Entry'!D1007)</f>
        <v/>
      </c>
      <c r="E1007" s="12">
        <f>IF('Data Entry'!A1007="","",'Data Entry'!E1007)</f>
        <v/>
      </c>
      <c r="F1007" s="12">
        <f>IF('Data Entry'!A1007="","",'Data Entry'!F1007)</f>
        <v/>
      </c>
      <c r="G1007" s="13">
        <f>IF('Data Entry'!A1007="","",'Data Entry'!G1007)</f>
        <v/>
      </c>
      <c r="H1007" s="10">
        <f>IF('Data Entry'!A1007="","",'Data Entry'!H1007)</f>
        <v/>
      </c>
      <c r="I1007" s="10">
        <f>IF('Data Entry'!A1007="","",'Data Entry'!I1007)</f>
        <v/>
      </c>
      <c r="J1007" s="12">
        <f>IF('Data Entry'!A1007="","",IF('Data Entry'!D1007&lt;&gt;"",'Data Entry'!D1007,'Data Entry'!E1007))</f>
        <v/>
      </c>
      <c r="K1007" s="10">
        <f>IF('Data Entry'!A1007="","",IFERROR(SUMIFS($H$5:$H$2001,$J$5:$J$2001,$J1007,$B$5:$B$2001,$B1007,$A$5:$A$2001,(MAXIFS($A$5:$A$2001,$J$5:$J$2001,$J1007,$B$5:$B$2001,$B1007,$A$5:$A$2001,"&lt;"&amp;$A1007))),""))</f>
        <v/>
      </c>
      <c r="L1007" s="14">
        <f>IF(OR('Data Entry'!A1007="",$K1007=""),"",$H1007-$K1007)</f>
        <v/>
      </c>
      <c r="M1007" s="15">
        <f>IF(OR('Data Entry'!A1007="",$K1007="",$K1007=0),"",$L1007/$K1007)</f>
        <v/>
      </c>
      <c r="N1007" s="12">
        <f>IF('Data Entry'!A1007="","",IF($L1007="","New item",IF($L1007&gt;0,"UP",IF($L1007&lt;0,"down","same"))))</f>
        <v/>
      </c>
    </row>
    <row r="1008">
      <c r="A1008" s="11">
        <f>IF('Data Entry'!A1008="","",'Data Entry'!A1008)</f>
        <v/>
      </c>
      <c r="B1008" s="12">
        <f>IF('Data Entry'!A1008="","",'Data Entry'!B1008)</f>
        <v/>
      </c>
      <c r="C1008" s="12">
        <f>IF('Data Entry'!A1008="","",'Data Entry'!C1008)</f>
        <v/>
      </c>
      <c r="D1008" s="12">
        <f>IF('Data Entry'!A1008="","",'Data Entry'!D1008)</f>
        <v/>
      </c>
      <c r="E1008" s="12">
        <f>IF('Data Entry'!A1008="","",'Data Entry'!E1008)</f>
        <v/>
      </c>
      <c r="F1008" s="12">
        <f>IF('Data Entry'!A1008="","",'Data Entry'!F1008)</f>
        <v/>
      </c>
      <c r="G1008" s="13">
        <f>IF('Data Entry'!A1008="","",'Data Entry'!G1008)</f>
        <v/>
      </c>
      <c r="H1008" s="10">
        <f>IF('Data Entry'!A1008="","",'Data Entry'!H1008)</f>
        <v/>
      </c>
      <c r="I1008" s="10">
        <f>IF('Data Entry'!A1008="","",'Data Entry'!I1008)</f>
        <v/>
      </c>
      <c r="J1008" s="12">
        <f>IF('Data Entry'!A1008="","",IF('Data Entry'!D1008&lt;&gt;"",'Data Entry'!D1008,'Data Entry'!E1008))</f>
        <v/>
      </c>
      <c r="K1008" s="10">
        <f>IF('Data Entry'!A1008="","",IFERROR(SUMIFS($H$5:$H$2001,$J$5:$J$2001,$J1008,$B$5:$B$2001,$B1008,$A$5:$A$2001,(MAXIFS($A$5:$A$2001,$J$5:$J$2001,$J1008,$B$5:$B$2001,$B1008,$A$5:$A$2001,"&lt;"&amp;$A1008))),""))</f>
        <v/>
      </c>
      <c r="L1008" s="14">
        <f>IF(OR('Data Entry'!A1008="",$K1008=""),"",$H1008-$K1008)</f>
        <v/>
      </c>
      <c r="M1008" s="15">
        <f>IF(OR('Data Entry'!A1008="",$K1008="",$K1008=0),"",$L1008/$K1008)</f>
        <v/>
      </c>
      <c r="N1008" s="12">
        <f>IF('Data Entry'!A1008="","",IF($L1008="","New item",IF($L1008&gt;0,"UP",IF($L1008&lt;0,"down","same"))))</f>
        <v/>
      </c>
    </row>
    <row r="1009">
      <c r="A1009" s="11">
        <f>IF('Data Entry'!A1009="","",'Data Entry'!A1009)</f>
        <v/>
      </c>
      <c r="B1009" s="12">
        <f>IF('Data Entry'!A1009="","",'Data Entry'!B1009)</f>
        <v/>
      </c>
      <c r="C1009" s="12">
        <f>IF('Data Entry'!A1009="","",'Data Entry'!C1009)</f>
        <v/>
      </c>
      <c r="D1009" s="12">
        <f>IF('Data Entry'!A1009="","",'Data Entry'!D1009)</f>
        <v/>
      </c>
      <c r="E1009" s="12">
        <f>IF('Data Entry'!A1009="","",'Data Entry'!E1009)</f>
        <v/>
      </c>
      <c r="F1009" s="12">
        <f>IF('Data Entry'!A1009="","",'Data Entry'!F1009)</f>
        <v/>
      </c>
      <c r="G1009" s="13">
        <f>IF('Data Entry'!A1009="","",'Data Entry'!G1009)</f>
        <v/>
      </c>
      <c r="H1009" s="10">
        <f>IF('Data Entry'!A1009="","",'Data Entry'!H1009)</f>
        <v/>
      </c>
      <c r="I1009" s="10">
        <f>IF('Data Entry'!A1009="","",'Data Entry'!I1009)</f>
        <v/>
      </c>
      <c r="J1009" s="12">
        <f>IF('Data Entry'!A1009="","",IF('Data Entry'!D1009&lt;&gt;"",'Data Entry'!D1009,'Data Entry'!E1009))</f>
        <v/>
      </c>
      <c r="K1009" s="10">
        <f>IF('Data Entry'!A1009="","",IFERROR(SUMIFS($H$5:$H$2001,$J$5:$J$2001,$J1009,$B$5:$B$2001,$B1009,$A$5:$A$2001,(MAXIFS($A$5:$A$2001,$J$5:$J$2001,$J1009,$B$5:$B$2001,$B1009,$A$5:$A$2001,"&lt;"&amp;$A1009))),""))</f>
        <v/>
      </c>
      <c r="L1009" s="14">
        <f>IF(OR('Data Entry'!A1009="",$K1009=""),"",$H1009-$K1009)</f>
        <v/>
      </c>
      <c r="M1009" s="15">
        <f>IF(OR('Data Entry'!A1009="",$K1009="",$K1009=0),"",$L1009/$K1009)</f>
        <v/>
      </c>
      <c r="N1009" s="12">
        <f>IF('Data Entry'!A1009="","",IF($L1009="","New item",IF($L1009&gt;0,"UP",IF($L1009&lt;0,"down","same"))))</f>
        <v/>
      </c>
    </row>
    <row r="1010">
      <c r="A1010" s="11">
        <f>IF('Data Entry'!A1010="","",'Data Entry'!A1010)</f>
        <v/>
      </c>
      <c r="B1010" s="12">
        <f>IF('Data Entry'!A1010="","",'Data Entry'!B1010)</f>
        <v/>
      </c>
      <c r="C1010" s="12">
        <f>IF('Data Entry'!A1010="","",'Data Entry'!C1010)</f>
        <v/>
      </c>
      <c r="D1010" s="12">
        <f>IF('Data Entry'!A1010="","",'Data Entry'!D1010)</f>
        <v/>
      </c>
      <c r="E1010" s="12">
        <f>IF('Data Entry'!A1010="","",'Data Entry'!E1010)</f>
        <v/>
      </c>
      <c r="F1010" s="12">
        <f>IF('Data Entry'!A1010="","",'Data Entry'!F1010)</f>
        <v/>
      </c>
      <c r="G1010" s="13">
        <f>IF('Data Entry'!A1010="","",'Data Entry'!G1010)</f>
        <v/>
      </c>
      <c r="H1010" s="10">
        <f>IF('Data Entry'!A1010="","",'Data Entry'!H1010)</f>
        <v/>
      </c>
      <c r="I1010" s="10">
        <f>IF('Data Entry'!A1010="","",'Data Entry'!I1010)</f>
        <v/>
      </c>
      <c r="J1010" s="12">
        <f>IF('Data Entry'!A1010="","",IF('Data Entry'!D1010&lt;&gt;"",'Data Entry'!D1010,'Data Entry'!E1010))</f>
        <v/>
      </c>
      <c r="K1010" s="10">
        <f>IF('Data Entry'!A1010="","",IFERROR(SUMIFS($H$5:$H$2001,$J$5:$J$2001,$J1010,$B$5:$B$2001,$B1010,$A$5:$A$2001,(MAXIFS($A$5:$A$2001,$J$5:$J$2001,$J1010,$B$5:$B$2001,$B1010,$A$5:$A$2001,"&lt;"&amp;$A1010))),""))</f>
        <v/>
      </c>
      <c r="L1010" s="14">
        <f>IF(OR('Data Entry'!A1010="",$K1010=""),"",$H1010-$K1010)</f>
        <v/>
      </c>
      <c r="M1010" s="15">
        <f>IF(OR('Data Entry'!A1010="",$K1010="",$K1010=0),"",$L1010/$K1010)</f>
        <v/>
      </c>
      <c r="N1010" s="12">
        <f>IF('Data Entry'!A1010="","",IF($L1010="","New item",IF($L1010&gt;0,"UP",IF($L1010&lt;0,"down","same"))))</f>
        <v/>
      </c>
    </row>
    <row r="1011">
      <c r="A1011" s="11">
        <f>IF('Data Entry'!A1011="","",'Data Entry'!A1011)</f>
        <v/>
      </c>
      <c r="B1011" s="12">
        <f>IF('Data Entry'!A1011="","",'Data Entry'!B1011)</f>
        <v/>
      </c>
      <c r="C1011" s="12">
        <f>IF('Data Entry'!A1011="","",'Data Entry'!C1011)</f>
        <v/>
      </c>
      <c r="D1011" s="12">
        <f>IF('Data Entry'!A1011="","",'Data Entry'!D1011)</f>
        <v/>
      </c>
      <c r="E1011" s="12">
        <f>IF('Data Entry'!A1011="","",'Data Entry'!E1011)</f>
        <v/>
      </c>
      <c r="F1011" s="12">
        <f>IF('Data Entry'!A1011="","",'Data Entry'!F1011)</f>
        <v/>
      </c>
      <c r="G1011" s="13">
        <f>IF('Data Entry'!A1011="","",'Data Entry'!G1011)</f>
        <v/>
      </c>
      <c r="H1011" s="10">
        <f>IF('Data Entry'!A1011="","",'Data Entry'!H1011)</f>
        <v/>
      </c>
      <c r="I1011" s="10">
        <f>IF('Data Entry'!A1011="","",'Data Entry'!I1011)</f>
        <v/>
      </c>
      <c r="J1011" s="12">
        <f>IF('Data Entry'!A1011="","",IF('Data Entry'!D1011&lt;&gt;"",'Data Entry'!D1011,'Data Entry'!E1011))</f>
        <v/>
      </c>
      <c r="K1011" s="10">
        <f>IF('Data Entry'!A1011="","",IFERROR(SUMIFS($H$5:$H$2001,$J$5:$J$2001,$J1011,$B$5:$B$2001,$B1011,$A$5:$A$2001,(MAXIFS($A$5:$A$2001,$J$5:$J$2001,$J1011,$B$5:$B$2001,$B1011,$A$5:$A$2001,"&lt;"&amp;$A1011))),""))</f>
        <v/>
      </c>
      <c r="L1011" s="14">
        <f>IF(OR('Data Entry'!A1011="",$K1011=""),"",$H1011-$K1011)</f>
        <v/>
      </c>
      <c r="M1011" s="15">
        <f>IF(OR('Data Entry'!A1011="",$K1011="",$K1011=0),"",$L1011/$K1011)</f>
        <v/>
      </c>
      <c r="N1011" s="12">
        <f>IF('Data Entry'!A1011="","",IF($L1011="","New item",IF($L1011&gt;0,"UP",IF($L1011&lt;0,"down","same"))))</f>
        <v/>
      </c>
    </row>
    <row r="1012">
      <c r="A1012" s="11">
        <f>IF('Data Entry'!A1012="","",'Data Entry'!A1012)</f>
        <v/>
      </c>
      <c r="B1012" s="12">
        <f>IF('Data Entry'!A1012="","",'Data Entry'!B1012)</f>
        <v/>
      </c>
      <c r="C1012" s="12">
        <f>IF('Data Entry'!A1012="","",'Data Entry'!C1012)</f>
        <v/>
      </c>
      <c r="D1012" s="12">
        <f>IF('Data Entry'!A1012="","",'Data Entry'!D1012)</f>
        <v/>
      </c>
      <c r="E1012" s="12">
        <f>IF('Data Entry'!A1012="","",'Data Entry'!E1012)</f>
        <v/>
      </c>
      <c r="F1012" s="12">
        <f>IF('Data Entry'!A1012="","",'Data Entry'!F1012)</f>
        <v/>
      </c>
      <c r="G1012" s="13">
        <f>IF('Data Entry'!A1012="","",'Data Entry'!G1012)</f>
        <v/>
      </c>
      <c r="H1012" s="10">
        <f>IF('Data Entry'!A1012="","",'Data Entry'!H1012)</f>
        <v/>
      </c>
      <c r="I1012" s="10">
        <f>IF('Data Entry'!A1012="","",'Data Entry'!I1012)</f>
        <v/>
      </c>
      <c r="J1012" s="12">
        <f>IF('Data Entry'!A1012="","",IF('Data Entry'!D1012&lt;&gt;"",'Data Entry'!D1012,'Data Entry'!E1012))</f>
        <v/>
      </c>
      <c r="K1012" s="10">
        <f>IF('Data Entry'!A1012="","",IFERROR(SUMIFS($H$5:$H$2001,$J$5:$J$2001,$J1012,$B$5:$B$2001,$B1012,$A$5:$A$2001,(MAXIFS($A$5:$A$2001,$J$5:$J$2001,$J1012,$B$5:$B$2001,$B1012,$A$5:$A$2001,"&lt;"&amp;$A1012))),""))</f>
        <v/>
      </c>
      <c r="L1012" s="14">
        <f>IF(OR('Data Entry'!A1012="",$K1012=""),"",$H1012-$K1012)</f>
        <v/>
      </c>
      <c r="M1012" s="15">
        <f>IF(OR('Data Entry'!A1012="",$K1012="",$K1012=0),"",$L1012/$K1012)</f>
        <v/>
      </c>
      <c r="N1012" s="12">
        <f>IF('Data Entry'!A1012="","",IF($L1012="","New item",IF($L1012&gt;0,"UP",IF($L1012&lt;0,"down","same"))))</f>
        <v/>
      </c>
    </row>
    <row r="1013">
      <c r="A1013" s="11">
        <f>IF('Data Entry'!A1013="","",'Data Entry'!A1013)</f>
        <v/>
      </c>
      <c r="B1013" s="12">
        <f>IF('Data Entry'!A1013="","",'Data Entry'!B1013)</f>
        <v/>
      </c>
      <c r="C1013" s="12">
        <f>IF('Data Entry'!A1013="","",'Data Entry'!C1013)</f>
        <v/>
      </c>
      <c r="D1013" s="12">
        <f>IF('Data Entry'!A1013="","",'Data Entry'!D1013)</f>
        <v/>
      </c>
      <c r="E1013" s="12">
        <f>IF('Data Entry'!A1013="","",'Data Entry'!E1013)</f>
        <v/>
      </c>
      <c r="F1013" s="12">
        <f>IF('Data Entry'!A1013="","",'Data Entry'!F1013)</f>
        <v/>
      </c>
      <c r="G1013" s="13">
        <f>IF('Data Entry'!A1013="","",'Data Entry'!G1013)</f>
        <v/>
      </c>
      <c r="H1013" s="10">
        <f>IF('Data Entry'!A1013="","",'Data Entry'!H1013)</f>
        <v/>
      </c>
      <c r="I1013" s="10">
        <f>IF('Data Entry'!A1013="","",'Data Entry'!I1013)</f>
        <v/>
      </c>
      <c r="J1013" s="12">
        <f>IF('Data Entry'!A1013="","",IF('Data Entry'!D1013&lt;&gt;"",'Data Entry'!D1013,'Data Entry'!E1013))</f>
        <v/>
      </c>
      <c r="K1013" s="10">
        <f>IF('Data Entry'!A1013="","",IFERROR(SUMIFS($H$5:$H$2001,$J$5:$J$2001,$J1013,$B$5:$B$2001,$B1013,$A$5:$A$2001,(MAXIFS($A$5:$A$2001,$J$5:$J$2001,$J1013,$B$5:$B$2001,$B1013,$A$5:$A$2001,"&lt;"&amp;$A1013))),""))</f>
        <v/>
      </c>
      <c r="L1013" s="14">
        <f>IF(OR('Data Entry'!A1013="",$K1013=""),"",$H1013-$K1013)</f>
        <v/>
      </c>
      <c r="M1013" s="15">
        <f>IF(OR('Data Entry'!A1013="",$K1013="",$K1013=0),"",$L1013/$K1013)</f>
        <v/>
      </c>
      <c r="N1013" s="12">
        <f>IF('Data Entry'!A1013="","",IF($L1013="","New item",IF($L1013&gt;0,"UP",IF($L1013&lt;0,"down","same"))))</f>
        <v/>
      </c>
    </row>
    <row r="1014">
      <c r="A1014" s="11">
        <f>IF('Data Entry'!A1014="","",'Data Entry'!A1014)</f>
        <v/>
      </c>
      <c r="B1014" s="12">
        <f>IF('Data Entry'!A1014="","",'Data Entry'!B1014)</f>
        <v/>
      </c>
      <c r="C1014" s="12">
        <f>IF('Data Entry'!A1014="","",'Data Entry'!C1014)</f>
        <v/>
      </c>
      <c r="D1014" s="12">
        <f>IF('Data Entry'!A1014="","",'Data Entry'!D1014)</f>
        <v/>
      </c>
      <c r="E1014" s="12">
        <f>IF('Data Entry'!A1014="","",'Data Entry'!E1014)</f>
        <v/>
      </c>
      <c r="F1014" s="12">
        <f>IF('Data Entry'!A1014="","",'Data Entry'!F1014)</f>
        <v/>
      </c>
      <c r="G1014" s="13">
        <f>IF('Data Entry'!A1014="","",'Data Entry'!G1014)</f>
        <v/>
      </c>
      <c r="H1014" s="10">
        <f>IF('Data Entry'!A1014="","",'Data Entry'!H1014)</f>
        <v/>
      </c>
      <c r="I1014" s="10">
        <f>IF('Data Entry'!A1014="","",'Data Entry'!I1014)</f>
        <v/>
      </c>
      <c r="J1014" s="12">
        <f>IF('Data Entry'!A1014="","",IF('Data Entry'!D1014&lt;&gt;"",'Data Entry'!D1014,'Data Entry'!E1014))</f>
        <v/>
      </c>
      <c r="K1014" s="10">
        <f>IF('Data Entry'!A1014="","",IFERROR(SUMIFS($H$5:$H$2001,$J$5:$J$2001,$J1014,$B$5:$B$2001,$B1014,$A$5:$A$2001,(MAXIFS($A$5:$A$2001,$J$5:$J$2001,$J1014,$B$5:$B$2001,$B1014,$A$5:$A$2001,"&lt;"&amp;$A1014))),""))</f>
        <v/>
      </c>
      <c r="L1014" s="14">
        <f>IF(OR('Data Entry'!A1014="",$K1014=""),"",$H1014-$K1014)</f>
        <v/>
      </c>
      <c r="M1014" s="15">
        <f>IF(OR('Data Entry'!A1014="",$K1014="",$K1014=0),"",$L1014/$K1014)</f>
        <v/>
      </c>
      <c r="N1014" s="12">
        <f>IF('Data Entry'!A1014="","",IF($L1014="","New item",IF($L1014&gt;0,"UP",IF($L1014&lt;0,"down","same"))))</f>
        <v/>
      </c>
    </row>
    <row r="1015">
      <c r="A1015" s="11">
        <f>IF('Data Entry'!A1015="","",'Data Entry'!A1015)</f>
        <v/>
      </c>
      <c r="B1015" s="12">
        <f>IF('Data Entry'!A1015="","",'Data Entry'!B1015)</f>
        <v/>
      </c>
      <c r="C1015" s="12">
        <f>IF('Data Entry'!A1015="","",'Data Entry'!C1015)</f>
        <v/>
      </c>
      <c r="D1015" s="12">
        <f>IF('Data Entry'!A1015="","",'Data Entry'!D1015)</f>
        <v/>
      </c>
      <c r="E1015" s="12">
        <f>IF('Data Entry'!A1015="","",'Data Entry'!E1015)</f>
        <v/>
      </c>
      <c r="F1015" s="12">
        <f>IF('Data Entry'!A1015="","",'Data Entry'!F1015)</f>
        <v/>
      </c>
      <c r="G1015" s="13">
        <f>IF('Data Entry'!A1015="","",'Data Entry'!G1015)</f>
        <v/>
      </c>
      <c r="H1015" s="10">
        <f>IF('Data Entry'!A1015="","",'Data Entry'!H1015)</f>
        <v/>
      </c>
      <c r="I1015" s="10">
        <f>IF('Data Entry'!A1015="","",'Data Entry'!I1015)</f>
        <v/>
      </c>
      <c r="J1015" s="12">
        <f>IF('Data Entry'!A1015="","",IF('Data Entry'!D1015&lt;&gt;"",'Data Entry'!D1015,'Data Entry'!E1015))</f>
        <v/>
      </c>
      <c r="K1015" s="10">
        <f>IF('Data Entry'!A1015="","",IFERROR(SUMIFS($H$5:$H$2001,$J$5:$J$2001,$J1015,$B$5:$B$2001,$B1015,$A$5:$A$2001,(MAXIFS($A$5:$A$2001,$J$5:$J$2001,$J1015,$B$5:$B$2001,$B1015,$A$5:$A$2001,"&lt;"&amp;$A1015))),""))</f>
        <v/>
      </c>
      <c r="L1015" s="14">
        <f>IF(OR('Data Entry'!A1015="",$K1015=""),"",$H1015-$K1015)</f>
        <v/>
      </c>
      <c r="M1015" s="15">
        <f>IF(OR('Data Entry'!A1015="",$K1015="",$K1015=0),"",$L1015/$K1015)</f>
        <v/>
      </c>
      <c r="N1015" s="12">
        <f>IF('Data Entry'!A1015="","",IF($L1015="","New item",IF($L1015&gt;0,"UP",IF($L1015&lt;0,"down","same"))))</f>
        <v/>
      </c>
    </row>
    <row r="1016">
      <c r="A1016" s="11">
        <f>IF('Data Entry'!A1016="","",'Data Entry'!A1016)</f>
        <v/>
      </c>
      <c r="B1016" s="12">
        <f>IF('Data Entry'!A1016="","",'Data Entry'!B1016)</f>
        <v/>
      </c>
      <c r="C1016" s="12">
        <f>IF('Data Entry'!A1016="","",'Data Entry'!C1016)</f>
        <v/>
      </c>
      <c r="D1016" s="12">
        <f>IF('Data Entry'!A1016="","",'Data Entry'!D1016)</f>
        <v/>
      </c>
      <c r="E1016" s="12">
        <f>IF('Data Entry'!A1016="","",'Data Entry'!E1016)</f>
        <v/>
      </c>
      <c r="F1016" s="12">
        <f>IF('Data Entry'!A1016="","",'Data Entry'!F1016)</f>
        <v/>
      </c>
      <c r="G1016" s="13">
        <f>IF('Data Entry'!A1016="","",'Data Entry'!G1016)</f>
        <v/>
      </c>
      <c r="H1016" s="10">
        <f>IF('Data Entry'!A1016="","",'Data Entry'!H1016)</f>
        <v/>
      </c>
      <c r="I1016" s="10">
        <f>IF('Data Entry'!A1016="","",'Data Entry'!I1016)</f>
        <v/>
      </c>
      <c r="J1016" s="12">
        <f>IF('Data Entry'!A1016="","",IF('Data Entry'!D1016&lt;&gt;"",'Data Entry'!D1016,'Data Entry'!E1016))</f>
        <v/>
      </c>
      <c r="K1016" s="10">
        <f>IF('Data Entry'!A1016="","",IFERROR(SUMIFS($H$5:$H$2001,$J$5:$J$2001,$J1016,$B$5:$B$2001,$B1016,$A$5:$A$2001,(MAXIFS($A$5:$A$2001,$J$5:$J$2001,$J1016,$B$5:$B$2001,$B1016,$A$5:$A$2001,"&lt;"&amp;$A1016))),""))</f>
        <v/>
      </c>
      <c r="L1016" s="14">
        <f>IF(OR('Data Entry'!A1016="",$K1016=""),"",$H1016-$K1016)</f>
        <v/>
      </c>
      <c r="M1016" s="15">
        <f>IF(OR('Data Entry'!A1016="",$K1016="",$K1016=0),"",$L1016/$K1016)</f>
        <v/>
      </c>
      <c r="N1016" s="12">
        <f>IF('Data Entry'!A1016="","",IF($L1016="","New item",IF($L1016&gt;0,"UP",IF($L1016&lt;0,"down","same"))))</f>
        <v/>
      </c>
    </row>
    <row r="1017">
      <c r="A1017" s="11">
        <f>IF('Data Entry'!A1017="","",'Data Entry'!A1017)</f>
        <v/>
      </c>
      <c r="B1017" s="12">
        <f>IF('Data Entry'!A1017="","",'Data Entry'!B1017)</f>
        <v/>
      </c>
      <c r="C1017" s="12">
        <f>IF('Data Entry'!A1017="","",'Data Entry'!C1017)</f>
        <v/>
      </c>
      <c r="D1017" s="12">
        <f>IF('Data Entry'!A1017="","",'Data Entry'!D1017)</f>
        <v/>
      </c>
      <c r="E1017" s="12">
        <f>IF('Data Entry'!A1017="","",'Data Entry'!E1017)</f>
        <v/>
      </c>
      <c r="F1017" s="12">
        <f>IF('Data Entry'!A1017="","",'Data Entry'!F1017)</f>
        <v/>
      </c>
      <c r="G1017" s="13">
        <f>IF('Data Entry'!A1017="","",'Data Entry'!G1017)</f>
        <v/>
      </c>
      <c r="H1017" s="10">
        <f>IF('Data Entry'!A1017="","",'Data Entry'!H1017)</f>
        <v/>
      </c>
      <c r="I1017" s="10">
        <f>IF('Data Entry'!A1017="","",'Data Entry'!I1017)</f>
        <v/>
      </c>
      <c r="J1017" s="12">
        <f>IF('Data Entry'!A1017="","",IF('Data Entry'!D1017&lt;&gt;"",'Data Entry'!D1017,'Data Entry'!E1017))</f>
        <v/>
      </c>
      <c r="K1017" s="10">
        <f>IF('Data Entry'!A1017="","",IFERROR(SUMIFS($H$5:$H$2001,$J$5:$J$2001,$J1017,$B$5:$B$2001,$B1017,$A$5:$A$2001,(MAXIFS($A$5:$A$2001,$J$5:$J$2001,$J1017,$B$5:$B$2001,$B1017,$A$5:$A$2001,"&lt;"&amp;$A1017))),""))</f>
        <v/>
      </c>
      <c r="L1017" s="14">
        <f>IF(OR('Data Entry'!A1017="",$K1017=""),"",$H1017-$K1017)</f>
        <v/>
      </c>
      <c r="M1017" s="15">
        <f>IF(OR('Data Entry'!A1017="",$K1017="",$K1017=0),"",$L1017/$K1017)</f>
        <v/>
      </c>
      <c r="N1017" s="12">
        <f>IF('Data Entry'!A1017="","",IF($L1017="","New item",IF($L1017&gt;0,"UP",IF($L1017&lt;0,"down","same"))))</f>
        <v/>
      </c>
    </row>
    <row r="1018">
      <c r="A1018" s="11">
        <f>IF('Data Entry'!A1018="","",'Data Entry'!A1018)</f>
        <v/>
      </c>
      <c r="B1018" s="12">
        <f>IF('Data Entry'!A1018="","",'Data Entry'!B1018)</f>
        <v/>
      </c>
      <c r="C1018" s="12">
        <f>IF('Data Entry'!A1018="","",'Data Entry'!C1018)</f>
        <v/>
      </c>
      <c r="D1018" s="12">
        <f>IF('Data Entry'!A1018="","",'Data Entry'!D1018)</f>
        <v/>
      </c>
      <c r="E1018" s="12">
        <f>IF('Data Entry'!A1018="","",'Data Entry'!E1018)</f>
        <v/>
      </c>
      <c r="F1018" s="12">
        <f>IF('Data Entry'!A1018="","",'Data Entry'!F1018)</f>
        <v/>
      </c>
      <c r="G1018" s="13">
        <f>IF('Data Entry'!A1018="","",'Data Entry'!G1018)</f>
        <v/>
      </c>
      <c r="H1018" s="10">
        <f>IF('Data Entry'!A1018="","",'Data Entry'!H1018)</f>
        <v/>
      </c>
      <c r="I1018" s="10">
        <f>IF('Data Entry'!A1018="","",'Data Entry'!I1018)</f>
        <v/>
      </c>
      <c r="J1018" s="12">
        <f>IF('Data Entry'!A1018="","",IF('Data Entry'!D1018&lt;&gt;"",'Data Entry'!D1018,'Data Entry'!E1018))</f>
        <v/>
      </c>
      <c r="K1018" s="10">
        <f>IF('Data Entry'!A1018="","",IFERROR(SUMIFS($H$5:$H$2001,$J$5:$J$2001,$J1018,$B$5:$B$2001,$B1018,$A$5:$A$2001,(MAXIFS($A$5:$A$2001,$J$5:$J$2001,$J1018,$B$5:$B$2001,$B1018,$A$5:$A$2001,"&lt;"&amp;$A1018))),""))</f>
        <v/>
      </c>
      <c r="L1018" s="14">
        <f>IF(OR('Data Entry'!A1018="",$K1018=""),"",$H1018-$K1018)</f>
        <v/>
      </c>
      <c r="M1018" s="15">
        <f>IF(OR('Data Entry'!A1018="",$K1018="",$K1018=0),"",$L1018/$K1018)</f>
        <v/>
      </c>
      <c r="N1018" s="12">
        <f>IF('Data Entry'!A1018="","",IF($L1018="","New item",IF($L1018&gt;0,"UP",IF($L1018&lt;0,"down","same"))))</f>
        <v/>
      </c>
    </row>
    <row r="1019">
      <c r="A1019" s="11">
        <f>IF('Data Entry'!A1019="","",'Data Entry'!A1019)</f>
        <v/>
      </c>
      <c r="B1019" s="12">
        <f>IF('Data Entry'!A1019="","",'Data Entry'!B1019)</f>
        <v/>
      </c>
      <c r="C1019" s="12">
        <f>IF('Data Entry'!A1019="","",'Data Entry'!C1019)</f>
        <v/>
      </c>
      <c r="D1019" s="12">
        <f>IF('Data Entry'!A1019="","",'Data Entry'!D1019)</f>
        <v/>
      </c>
      <c r="E1019" s="12">
        <f>IF('Data Entry'!A1019="","",'Data Entry'!E1019)</f>
        <v/>
      </c>
      <c r="F1019" s="12">
        <f>IF('Data Entry'!A1019="","",'Data Entry'!F1019)</f>
        <v/>
      </c>
      <c r="G1019" s="13">
        <f>IF('Data Entry'!A1019="","",'Data Entry'!G1019)</f>
        <v/>
      </c>
      <c r="H1019" s="10">
        <f>IF('Data Entry'!A1019="","",'Data Entry'!H1019)</f>
        <v/>
      </c>
      <c r="I1019" s="10">
        <f>IF('Data Entry'!A1019="","",'Data Entry'!I1019)</f>
        <v/>
      </c>
      <c r="J1019" s="12">
        <f>IF('Data Entry'!A1019="","",IF('Data Entry'!D1019&lt;&gt;"",'Data Entry'!D1019,'Data Entry'!E1019))</f>
        <v/>
      </c>
      <c r="K1019" s="10">
        <f>IF('Data Entry'!A1019="","",IFERROR(SUMIFS($H$5:$H$2001,$J$5:$J$2001,$J1019,$B$5:$B$2001,$B1019,$A$5:$A$2001,(MAXIFS($A$5:$A$2001,$J$5:$J$2001,$J1019,$B$5:$B$2001,$B1019,$A$5:$A$2001,"&lt;"&amp;$A1019))),""))</f>
        <v/>
      </c>
      <c r="L1019" s="14">
        <f>IF(OR('Data Entry'!A1019="",$K1019=""),"",$H1019-$K1019)</f>
        <v/>
      </c>
      <c r="M1019" s="15">
        <f>IF(OR('Data Entry'!A1019="",$K1019="",$K1019=0),"",$L1019/$K1019)</f>
        <v/>
      </c>
      <c r="N1019" s="12">
        <f>IF('Data Entry'!A1019="","",IF($L1019="","New item",IF($L1019&gt;0,"UP",IF($L1019&lt;0,"down","same"))))</f>
        <v/>
      </c>
    </row>
    <row r="1020">
      <c r="A1020" s="11">
        <f>IF('Data Entry'!A1020="","",'Data Entry'!A1020)</f>
        <v/>
      </c>
      <c r="B1020" s="12">
        <f>IF('Data Entry'!A1020="","",'Data Entry'!B1020)</f>
        <v/>
      </c>
      <c r="C1020" s="12">
        <f>IF('Data Entry'!A1020="","",'Data Entry'!C1020)</f>
        <v/>
      </c>
      <c r="D1020" s="12">
        <f>IF('Data Entry'!A1020="","",'Data Entry'!D1020)</f>
        <v/>
      </c>
      <c r="E1020" s="12">
        <f>IF('Data Entry'!A1020="","",'Data Entry'!E1020)</f>
        <v/>
      </c>
      <c r="F1020" s="12">
        <f>IF('Data Entry'!A1020="","",'Data Entry'!F1020)</f>
        <v/>
      </c>
      <c r="G1020" s="13">
        <f>IF('Data Entry'!A1020="","",'Data Entry'!G1020)</f>
        <v/>
      </c>
      <c r="H1020" s="10">
        <f>IF('Data Entry'!A1020="","",'Data Entry'!H1020)</f>
        <v/>
      </c>
      <c r="I1020" s="10">
        <f>IF('Data Entry'!A1020="","",'Data Entry'!I1020)</f>
        <v/>
      </c>
      <c r="J1020" s="12">
        <f>IF('Data Entry'!A1020="","",IF('Data Entry'!D1020&lt;&gt;"",'Data Entry'!D1020,'Data Entry'!E1020))</f>
        <v/>
      </c>
      <c r="K1020" s="10">
        <f>IF('Data Entry'!A1020="","",IFERROR(SUMIFS($H$5:$H$2001,$J$5:$J$2001,$J1020,$B$5:$B$2001,$B1020,$A$5:$A$2001,(MAXIFS($A$5:$A$2001,$J$5:$J$2001,$J1020,$B$5:$B$2001,$B1020,$A$5:$A$2001,"&lt;"&amp;$A1020))),""))</f>
        <v/>
      </c>
      <c r="L1020" s="14">
        <f>IF(OR('Data Entry'!A1020="",$K1020=""),"",$H1020-$K1020)</f>
        <v/>
      </c>
      <c r="M1020" s="15">
        <f>IF(OR('Data Entry'!A1020="",$K1020="",$K1020=0),"",$L1020/$K1020)</f>
        <v/>
      </c>
      <c r="N1020" s="12">
        <f>IF('Data Entry'!A1020="","",IF($L1020="","New item",IF($L1020&gt;0,"UP",IF($L1020&lt;0,"down","same"))))</f>
        <v/>
      </c>
    </row>
    <row r="1021">
      <c r="A1021" s="11">
        <f>IF('Data Entry'!A1021="","",'Data Entry'!A1021)</f>
        <v/>
      </c>
      <c r="B1021" s="12">
        <f>IF('Data Entry'!A1021="","",'Data Entry'!B1021)</f>
        <v/>
      </c>
      <c r="C1021" s="12">
        <f>IF('Data Entry'!A1021="","",'Data Entry'!C1021)</f>
        <v/>
      </c>
      <c r="D1021" s="12">
        <f>IF('Data Entry'!A1021="","",'Data Entry'!D1021)</f>
        <v/>
      </c>
      <c r="E1021" s="12">
        <f>IF('Data Entry'!A1021="","",'Data Entry'!E1021)</f>
        <v/>
      </c>
      <c r="F1021" s="12">
        <f>IF('Data Entry'!A1021="","",'Data Entry'!F1021)</f>
        <v/>
      </c>
      <c r="G1021" s="13">
        <f>IF('Data Entry'!A1021="","",'Data Entry'!G1021)</f>
        <v/>
      </c>
      <c r="H1021" s="10">
        <f>IF('Data Entry'!A1021="","",'Data Entry'!H1021)</f>
        <v/>
      </c>
      <c r="I1021" s="10">
        <f>IF('Data Entry'!A1021="","",'Data Entry'!I1021)</f>
        <v/>
      </c>
      <c r="J1021" s="12">
        <f>IF('Data Entry'!A1021="","",IF('Data Entry'!D1021&lt;&gt;"",'Data Entry'!D1021,'Data Entry'!E1021))</f>
        <v/>
      </c>
      <c r="K1021" s="10">
        <f>IF('Data Entry'!A1021="","",IFERROR(SUMIFS($H$5:$H$2001,$J$5:$J$2001,$J1021,$B$5:$B$2001,$B1021,$A$5:$A$2001,(MAXIFS($A$5:$A$2001,$J$5:$J$2001,$J1021,$B$5:$B$2001,$B1021,$A$5:$A$2001,"&lt;"&amp;$A1021))),""))</f>
        <v/>
      </c>
      <c r="L1021" s="14">
        <f>IF(OR('Data Entry'!A1021="",$K1021=""),"",$H1021-$K1021)</f>
        <v/>
      </c>
      <c r="M1021" s="15">
        <f>IF(OR('Data Entry'!A1021="",$K1021="",$K1021=0),"",$L1021/$K1021)</f>
        <v/>
      </c>
      <c r="N1021" s="12">
        <f>IF('Data Entry'!A1021="","",IF($L1021="","New item",IF($L1021&gt;0,"UP",IF($L1021&lt;0,"down","same"))))</f>
        <v/>
      </c>
    </row>
    <row r="1022">
      <c r="A1022" s="11">
        <f>IF('Data Entry'!A1022="","",'Data Entry'!A1022)</f>
        <v/>
      </c>
      <c r="B1022" s="12">
        <f>IF('Data Entry'!A1022="","",'Data Entry'!B1022)</f>
        <v/>
      </c>
      <c r="C1022" s="12">
        <f>IF('Data Entry'!A1022="","",'Data Entry'!C1022)</f>
        <v/>
      </c>
      <c r="D1022" s="12">
        <f>IF('Data Entry'!A1022="","",'Data Entry'!D1022)</f>
        <v/>
      </c>
      <c r="E1022" s="12">
        <f>IF('Data Entry'!A1022="","",'Data Entry'!E1022)</f>
        <v/>
      </c>
      <c r="F1022" s="12">
        <f>IF('Data Entry'!A1022="","",'Data Entry'!F1022)</f>
        <v/>
      </c>
      <c r="G1022" s="13">
        <f>IF('Data Entry'!A1022="","",'Data Entry'!G1022)</f>
        <v/>
      </c>
      <c r="H1022" s="10">
        <f>IF('Data Entry'!A1022="","",'Data Entry'!H1022)</f>
        <v/>
      </c>
      <c r="I1022" s="10">
        <f>IF('Data Entry'!A1022="","",'Data Entry'!I1022)</f>
        <v/>
      </c>
      <c r="J1022" s="12">
        <f>IF('Data Entry'!A1022="","",IF('Data Entry'!D1022&lt;&gt;"",'Data Entry'!D1022,'Data Entry'!E1022))</f>
        <v/>
      </c>
      <c r="K1022" s="10">
        <f>IF('Data Entry'!A1022="","",IFERROR(SUMIFS($H$5:$H$2001,$J$5:$J$2001,$J1022,$B$5:$B$2001,$B1022,$A$5:$A$2001,(MAXIFS($A$5:$A$2001,$J$5:$J$2001,$J1022,$B$5:$B$2001,$B1022,$A$5:$A$2001,"&lt;"&amp;$A1022))),""))</f>
        <v/>
      </c>
      <c r="L1022" s="14">
        <f>IF(OR('Data Entry'!A1022="",$K1022=""),"",$H1022-$K1022)</f>
        <v/>
      </c>
      <c r="M1022" s="15">
        <f>IF(OR('Data Entry'!A1022="",$K1022="",$K1022=0),"",$L1022/$K1022)</f>
        <v/>
      </c>
      <c r="N1022" s="12">
        <f>IF('Data Entry'!A1022="","",IF($L1022="","New item",IF($L1022&gt;0,"UP",IF($L1022&lt;0,"down","same"))))</f>
        <v/>
      </c>
    </row>
    <row r="1023">
      <c r="A1023" s="11">
        <f>IF('Data Entry'!A1023="","",'Data Entry'!A1023)</f>
        <v/>
      </c>
      <c r="B1023" s="12">
        <f>IF('Data Entry'!A1023="","",'Data Entry'!B1023)</f>
        <v/>
      </c>
      <c r="C1023" s="12">
        <f>IF('Data Entry'!A1023="","",'Data Entry'!C1023)</f>
        <v/>
      </c>
      <c r="D1023" s="12">
        <f>IF('Data Entry'!A1023="","",'Data Entry'!D1023)</f>
        <v/>
      </c>
      <c r="E1023" s="12">
        <f>IF('Data Entry'!A1023="","",'Data Entry'!E1023)</f>
        <v/>
      </c>
      <c r="F1023" s="12">
        <f>IF('Data Entry'!A1023="","",'Data Entry'!F1023)</f>
        <v/>
      </c>
      <c r="G1023" s="13">
        <f>IF('Data Entry'!A1023="","",'Data Entry'!G1023)</f>
        <v/>
      </c>
      <c r="H1023" s="10">
        <f>IF('Data Entry'!A1023="","",'Data Entry'!H1023)</f>
        <v/>
      </c>
      <c r="I1023" s="10">
        <f>IF('Data Entry'!A1023="","",'Data Entry'!I1023)</f>
        <v/>
      </c>
      <c r="J1023" s="12">
        <f>IF('Data Entry'!A1023="","",IF('Data Entry'!D1023&lt;&gt;"",'Data Entry'!D1023,'Data Entry'!E1023))</f>
        <v/>
      </c>
      <c r="K1023" s="10">
        <f>IF('Data Entry'!A1023="","",IFERROR(SUMIFS($H$5:$H$2001,$J$5:$J$2001,$J1023,$B$5:$B$2001,$B1023,$A$5:$A$2001,(MAXIFS($A$5:$A$2001,$J$5:$J$2001,$J1023,$B$5:$B$2001,$B1023,$A$5:$A$2001,"&lt;"&amp;$A1023))),""))</f>
        <v/>
      </c>
      <c r="L1023" s="14">
        <f>IF(OR('Data Entry'!A1023="",$K1023=""),"",$H1023-$K1023)</f>
        <v/>
      </c>
      <c r="M1023" s="15">
        <f>IF(OR('Data Entry'!A1023="",$K1023="",$K1023=0),"",$L1023/$K1023)</f>
        <v/>
      </c>
      <c r="N1023" s="12">
        <f>IF('Data Entry'!A1023="","",IF($L1023="","New item",IF($L1023&gt;0,"UP",IF($L1023&lt;0,"down","same"))))</f>
        <v/>
      </c>
    </row>
    <row r="1024">
      <c r="A1024" s="11">
        <f>IF('Data Entry'!A1024="","",'Data Entry'!A1024)</f>
        <v/>
      </c>
      <c r="B1024" s="12">
        <f>IF('Data Entry'!A1024="","",'Data Entry'!B1024)</f>
        <v/>
      </c>
      <c r="C1024" s="12">
        <f>IF('Data Entry'!A1024="","",'Data Entry'!C1024)</f>
        <v/>
      </c>
      <c r="D1024" s="12">
        <f>IF('Data Entry'!A1024="","",'Data Entry'!D1024)</f>
        <v/>
      </c>
      <c r="E1024" s="12">
        <f>IF('Data Entry'!A1024="","",'Data Entry'!E1024)</f>
        <v/>
      </c>
      <c r="F1024" s="12">
        <f>IF('Data Entry'!A1024="","",'Data Entry'!F1024)</f>
        <v/>
      </c>
      <c r="G1024" s="13">
        <f>IF('Data Entry'!A1024="","",'Data Entry'!G1024)</f>
        <v/>
      </c>
      <c r="H1024" s="10">
        <f>IF('Data Entry'!A1024="","",'Data Entry'!H1024)</f>
        <v/>
      </c>
      <c r="I1024" s="10">
        <f>IF('Data Entry'!A1024="","",'Data Entry'!I1024)</f>
        <v/>
      </c>
      <c r="J1024" s="12">
        <f>IF('Data Entry'!A1024="","",IF('Data Entry'!D1024&lt;&gt;"",'Data Entry'!D1024,'Data Entry'!E1024))</f>
        <v/>
      </c>
      <c r="K1024" s="10">
        <f>IF('Data Entry'!A1024="","",IFERROR(SUMIFS($H$5:$H$2001,$J$5:$J$2001,$J1024,$B$5:$B$2001,$B1024,$A$5:$A$2001,(MAXIFS($A$5:$A$2001,$J$5:$J$2001,$J1024,$B$5:$B$2001,$B1024,$A$5:$A$2001,"&lt;"&amp;$A1024))),""))</f>
        <v/>
      </c>
      <c r="L1024" s="14">
        <f>IF(OR('Data Entry'!A1024="",$K1024=""),"",$H1024-$K1024)</f>
        <v/>
      </c>
      <c r="M1024" s="15">
        <f>IF(OR('Data Entry'!A1024="",$K1024="",$K1024=0),"",$L1024/$K1024)</f>
        <v/>
      </c>
      <c r="N1024" s="12">
        <f>IF('Data Entry'!A1024="","",IF($L1024="","New item",IF($L1024&gt;0,"UP",IF($L1024&lt;0,"down","same"))))</f>
        <v/>
      </c>
    </row>
    <row r="1025">
      <c r="A1025" s="11">
        <f>IF('Data Entry'!A1025="","",'Data Entry'!A1025)</f>
        <v/>
      </c>
      <c r="B1025" s="12">
        <f>IF('Data Entry'!A1025="","",'Data Entry'!B1025)</f>
        <v/>
      </c>
      <c r="C1025" s="12">
        <f>IF('Data Entry'!A1025="","",'Data Entry'!C1025)</f>
        <v/>
      </c>
      <c r="D1025" s="12">
        <f>IF('Data Entry'!A1025="","",'Data Entry'!D1025)</f>
        <v/>
      </c>
      <c r="E1025" s="12">
        <f>IF('Data Entry'!A1025="","",'Data Entry'!E1025)</f>
        <v/>
      </c>
      <c r="F1025" s="12">
        <f>IF('Data Entry'!A1025="","",'Data Entry'!F1025)</f>
        <v/>
      </c>
      <c r="G1025" s="13">
        <f>IF('Data Entry'!A1025="","",'Data Entry'!G1025)</f>
        <v/>
      </c>
      <c r="H1025" s="10">
        <f>IF('Data Entry'!A1025="","",'Data Entry'!H1025)</f>
        <v/>
      </c>
      <c r="I1025" s="10">
        <f>IF('Data Entry'!A1025="","",'Data Entry'!I1025)</f>
        <v/>
      </c>
      <c r="J1025" s="12">
        <f>IF('Data Entry'!A1025="","",IF('Data Entry'!D1025&lt;&gt;"",'Data Entry'!D1025,'Data Entry'!E1025))</f>
        <v/>
      </c>
      <c r="K1025" s="10">
        <f>IF('Data Entry'!A1025="","",IFERROR(SUMIFS($H$5:$H$2001,$J$5:$J$2001,$J1025,$B$5:$B$2001,$B1025,$A$5:$A$2001,(MAXIFS($A$5:$A$2001,$J$5:$J$2001,$J1025,$B$5:$B$2001,$B1025,$A$5:$A$2001,"&lt;"&amp;$A1025))),""))</f>
        <v/>
      </c>
      <c r="L1025" s="14">
        <f>IF(OR('Data Entry'!A1025="",$K1025=""),"",$H1025-$K1025)</f>
        <v/>
      </c>
      <c r="M1025" s="15">
        <f>IF(OR('Data Entry'!A1025="",$K1025="",$K1025=0),"",$L1025/$K1025)</f>
        <v/>
      </c>
      <c r="N1025" s="12">
        <f>IF('Data Entry'!A1025="","",IF($L1025="","New item",IF($L1025&gt;0,"UP",IF($L1025&lt;0,"down","same"))))</f>
        <v/>
      </c>
    </row>
    <row r="1026">
      <c r="A1026" s="11">
        <f>IF('Data Entry'!A1026="","",'Data Entry'!A1026)</f>
        <v/>
      </c>
      <c r="B1026" s="12">
        <f>IF('Data Entry'!A1026="","",'Data Entry'!B1026)</f>
        <v/>
      </c>
      <c r="C1026" s="12">
        <f>IF('Data Entry'!A1026="","",'Data Entry'!C1026)</f>
        <v/>
      </c>
      <c r="D1026" s="12">
        <f>IF('Data Entry'!A1026="","",'Data Entry'!D1026)</f>
        <v/>
      </c>
      <c r="E1026" s="12">
        <f>IF('Data Entry'!A1026="","",'Data Entry'!E1026)</f>
        <v/>
      </c>
      <c r="F1026" s="12">
        <f>IF('Data Entry'!A1026="","",'Data Entry'!F1026)</f>
        <v/>
      </c>
      <c r="G1026" s="13">
        <f>IF('Data Entry'!A1026="","",'Data Entry'!G1026)</f>
        <v/>
      </c>
      <c r="H1026" s="10">
        <f>IF('Data Entry'!A1026="","",'Data Entry'!H1026)</f>
        <v/>
      </c>
      <c r="I1026" s="10">
        <f>IF('Data Entry'!A1026="","",'Data Entry'!I1026)</f>
        <v/>
      </c>
      <c r="J1026" s="12">
        <f>IF('Data Entry'!A1026="","",IF('Data Entry'!D1026&lt;&gt;"",'Data Entry'!D1026,'Data Entry'!E1026))</f>
        <v/>
      </c>
      <c r="K1026" s="10">
        <f>IF('Data Entry'!A1026="","",IFERROR(SUMIFS($H$5:$H$2001,$J$5:$J$2001,$J1026,$B$5:$B$2001,$B1026,$A$5:$A$2001,(MAXIFS($A$5:$A$2001,$J$5:$J$2001,$J1026,$B$5:$B$2001,$B1026,$A$5:$A$2001,"&lt;"&amp;$A1026))),""))</f>
        <v/>
      </c>
      <c r="L1026" s="14">
        <f>IF(OR('Data Entry'!A1026="",$K1026=""),"",$H1026-$K1026)</f>
        <v/>
      </c>
      <c r="M1026" s="15">
        <f>IF(OR('Data Entry'!A1026="",$K1026="",$K1026=0),"",$L1026/$K1026)</f>
        <v/>
      </c>
      <c r="N1026" s="12">
        <f>IF('Data Entry'!A1026="","",IF($L1026="","New item",IF($L1026&gt;0,"UP",IF($L1026&lt;0,"down","same"))))</f>
        <v/>
      </c>
    </row>
    <row r="1027">
      <c r="A1027" s="11">
        <f>IF('Data Entry'!A1027="","",'Data Entry'!A1027)</f>
        <v/>
      </c>
      <c r="B1027" s="12">
        <f>IF('Data Entry'!A1027="","",'Data Entry'!B1027)</f>
        <v/>
      </c>
      <c r="C1027" s="12">
        <f>IF('Data Entry'!A1027="","",'Data Entry'!C1027)</f>
        <v/>
      </c>
      <c r="D1027" s="12">
        <f>IF('Data Entry'!A1027="","",'Data Entry'!D1027)</f>
        <v/>
      </c>
      <c r="E1027" s="12">
        <f>IF('Data Entry'!A1027="","",'Data Entry'!E1027)</f>
        <v/>
      </c>
      <c r="F1027" s="12">
        <f>IF('Data Entry'!A1027="","",'Data Entry'!F1027)</f>
        <v/>
      </c>
      <c r="G1027" s="13">
        <f>IF('Data Entry'!A1027="","",'Data Entry'!G1027)</f>
        <v/>
      </c>
      <c r="H1027" s="10">
        <f>IF('Data Entry'!A1027="","",'Data Entry'!H1027)</f>
        <v/>
      </c>
      <c r="I1027" s="10">
        <f>IF('Data Entry'!A1027="","",'Data Entry'!I1027)</f>
        <v/>
      </c>
      <c r="J1027" s="12">
        <f>IF('Data Entry'!A1027="","",IF('Data Entry'!D1027&lt;&gt;"",'Data Entry'!D1027,'Data Entry'!E1027))</f>
        <v/>
      </c>
      <c r="K1027" s="10">
        <f>IF('Data Entry'!A1027="","",IFERROR(SUMIFS($H$5:$H$2001,$J$5:$J$2001,$J1027,$B$5:$B$2001,$B1027,$A$5:$A$2001,(MAXIFS($A$5:$A$2001,$J$5:$J$2001,$J1027,$B$5:$B$2001,$B1027,$A$5:$A$2001,"&lt;"&amp;$A1027))),""))</f>
        <v/>
      </c>
      <c r="L1027" s="14">
        <f>IF(OR('Data Entry'!A1027="",$K1027=""),"",$H1027-$K1027)</f>
        <v/>
      </c>
      <c r="M1027" s="15">
        <f>IF(OR('Data Entry'!A1027="",$K1027="",$K1027=0),"",$L1027/$K1027)</f>
        <v/>
      </c>
      <c r="N1027" s="12">
        <f>IF('Data Entry'!A1027="","",IF($L1027="","New item",IF($L1027&gt;0,"UP",IF($L1027&lt;0,"down","same"))))</f>
        <v/>
      </c>
    </row>
    <row r="1028">
      <c r="A1028" s="11">
        <f>IF('Data Entry'!A1028="","",'Data Entry'!A1028)</f>
        <v/>
      </c>
      <c r="B1028" s="12">
        <f>IF('Data Entry'!A1028="","",'Data Entry'!B1028)</f>
        <v/>
      </c>
      <c r="C1028" s="12">
        <f>IF('Data Entry'!A1028="","",'Data Entry'!C1028)</f>
        <v/>
      </c>
      <c r="D1028" s="12">
        <f>IF('Data Entry'!A1028="","",'Data Entry'!D1028)</f>
        <v/>
      </c>
      <c r="E1028" s="12">
        <f>IF('Data Entry'!A1028="","",'Data Entry'!E1028)</f>
        <v/>
      </c>
      <c r="F1028" s="12">
        <f>IF('Data Entry'!A1028="","",'Data Entry'!F1028)</f>
        <v/>
      </c>
      <c r="G1028" s="13">
        <f>IF('Data Entry'!A1028="","",'Data Entry'!G1028)</f>
        <v/>
      </c>
      <c r="H1028" s="10">
        <f>IF('Data Entry'!A1028="","",'Data Entry'!H1028)</f>
        <v/>
      </c>
      <c r="I1028" s="10">
        <f>IF('Data Entry'!A1028="","",'Data Entry'!I1028)</f>
        <v/>
      </c>
      <c r="J1028" s="12">
        <f>IF('Data Entry'!A1028="","",IF('Data Entry'!D1028&lt;&gt;"",'Data Entry'!D1028,'Data Entry'!E1028))</f>
        <v/>
      </c>
      <c r="K1028" s="10">
        <f>IF('Data Entry'!A1028="","",IFERROR(SUMIFS($H$5:$H$2001,$J$5:$J$2001,$J1028,$B$5:$B$2001,$B1028,$A$5:$A$2001,(MAXIFS($A$5:$A$2001,$J$5:$J$2001,$J1028,$B$5:$B$2001,$B1028,$A$5:$A$2001,"&lt;"&amp;$A1028))),""))</f>
        <v/>
      </c>
      <c r="L1028" s="14">
        <f>IF(OR('Data Entry'!A1028="",$K1028=""),"",$H1028-$K1028)</f>
        <v/>
      </c>
      <c r="M1028" s="15">
        <f>IF(OR('Data Entry'!A1028="",$K1028="",$K1028=0),"",$L1028/$K1028)</f>
        <v/>
      </c>
      <c r="N1028" s="12">
        <f>IF('Data Entry'!A1028="","",IF($L1028="","New item",IF($L1028&gt;0,"UP",IF($L1028&lt;0,"down","same"))))</f>
        <v/>
      </c>
    </row>
    <row r="1029">
      <c r="A1029" s="11">
        <f>IF('Data Entry'!A1029="","",'Data Entry'!A1029)</f>
        <v/>
      </c>
      <c r="B1029" s="12">
        <f>IF('Data Entry'!A1029="","",'Data Entry'!B1029)</f>
        <v/>
      </c>
      <c r="C1029" s="12">
        <f>IF('Data Entry'!A1029="","",'Data Entry'!C1029)</f>
        <v/>
      </c>
      <c r="D1029" s="12">
        <f>IF('Data Entry'!A1029="","",'Data Entry'!D1029)</f>
        <v/>
      </c>
      <c r="E1029" s="12">
        <f>IF('Data Entry'!A1029="","",'Data Entry'!E1029)</f>
        <v/>
      </c>
      <c r="F1029" s="12">
        <f>IF('Data Entry'!A1029="","",'Data Entry'!F1029)</f>
        <v/>
      </c>
      <c r="G1029" s="13">
        <f>IF('Data Entry'!A1029="","",'Data Entry'!G1029)</f>
        <v/>
      </c>
      <c r="H1029" s="10">
        <f>IF('Data Entry'!A1029="","",'Data Entry'!H1029)</f>
        <v/>
      </c>
      <c r="I1029" s="10">
        <f>IF('Data Entry'!A1029="","",'Data Entry'!I1029)</f>
        <v/>
      </c>
      <c r="J1029" s="12">
        <f>IF('Data Entry'!A1029="","",IF('Data Entry'!D1029&lt;&gt;"",'Data Entry'!D1029,'Data Entry'!E1029))</f>
        <v/>
      </c>
      <c r="K1029" s="10">
        <f>IF('Data Entry'!A1029="","",IFERROR(SUMIFS($H$5:$H$2001,$J$5:$J$2001,$J1029,$B$5:$B$2001,$B1029,$A$5:$A$2001,(MAXIFS($A$5:$A$2001,$J$5:$J$2001,$J1029,$B$5:$B$2001,$B1029,$A$5:$A$2001,"&lt;"&amp;$A1029))),""))</f>
        <v/>
      </c>
      <c r="L1029" s="14">
        <f>IF(OR('Data Entry'!A1029="",$K1029=""),"",$H1029-$K1029)</f>
        <v/>
      </c>
      <c r="M1029" s="15">
        <f>IF(OR('Data Entry'!A1029="",$K1029="",$K1029=0),"",$L1029/$K1029)</f>
        <v/>
      </c>
      <c r="N1029" s="12">
        <f>IF('Data Entry'!A1029="","",IF($L1029="","New item",IF($L1029&gt;0,"UP",IF($L1029&lt;0,"down","same"))))</f>
        <v/>
      </c>
    </row>
    <row r="1030">
      <c r="A1030" s="11">
        <f>IF('Data Entry'!A1030="","",'Data Entry'!A1030)</f>
        <v/>
      </c>
      <c r="B1030" s="12">
        <f>IF('Data Entry'!A1030="","",'Data Entry'!B1030)</f>
        <v/>
      </c>
      <c r="C1030" s="12">
        <f>IF('Data Entry'!A1030="","",'Data Entry'!C1030)</f>
        <v/>
      </c>
      <c r="D1030" s="12">
        <f>IF('Data Entry'!A1030="","",'Data Entry'!D1030)</f>
        <v/>
      </c>
      <c r="E1030" s="12">
        <f>IF('Data Entry'!A1030="","",'Data Entry'!E1030)</f>
        <v/>
      </c>
      <c r="F1030" s="12">
        <f>IF('Data Entry'!A1030="","",'Data Entry'!F1030)</f>
        <v/>
      </c>
      <c r="G1030" s="13">
        <f>IF('Data Entry'!A1030="","",'Data Entry'!G1030)</f>
        <v/>
      </c>
      <c r="H1030" s="10">
        <f>IF('Data Entry'!A1030="","",'Data Entry'!H1030)</f>
        <v/>
      </c>
      <c r="I1030" s="10">
        <f>IF('Data Entry'!A1030="","",'Data Entry'!I1030)</f>
        <v/>
      </c>
      <c r="J1030" s="12">
        <f>IF('Data Entry'!A1030="","",IF('Data Entry'!D1030&lt;&gt;"",'Data Entry'!D1030,'Data Entry'!E1030))</f>
        <v/>
      </c>
      <c r="K1030" s="10">
        <f>IF('Data Entry'!A1030="","",IFERROR(SUMIFS($H$5:$H$2001,$J$5:$J$2001,$J1030,$B$5:$B$2001,$B1030,$A$5:$A$2001,(MAXIFS($A$5:$A$2001,$J$5:$J$2001,$J1030,$B$5:$B$2001,$B1030,$A$5:$A$2001,"&lt;"&amp;$A1030))),""))</f>
        <v/>
      </c>
      <c r="L1030" s="14">
        <f>IF(OR('Data Entry'!A1030="",$K1030=""),"",$H1030-$K1030)</f>
        <v/>
      </c>
      <c r="M1030" s="15">
        <f>IF(OR('Data Entry'!A1030="",$K1030="",$K1030=0),"",$L1030/$K1030)</f>
        <v/>
      </c>
      <c r="N1030" s="12">
        <f>IF('Data Entry'!A1030="","",IF($L1030="","New item",IF($L1030&gt;0,"UP",IF($L1030&lt;0,"down","same"))))</f>
        <v/>
      </c>
    </row>
    <row r="1031">
      <c r="A1031" s="11">
        <f>IF('Data Entry'!A1031="","",'Data Entry'!A1031)</f>
        <v/>
      </c>
      <c r="B1031" s="12">
        <f>IF('Data Entry'!A1031="","",'Data Entry'!B1031)</f>
        <v/>
      </c>
      <c r="C1031" s="12">
        <f>IF('Data Entry'!A1031="","",'Data Entry'!C1031)</f>
        <v/>
      </c>
      <c r="D1031" s="12">
        <f>IF('Data Entry'!A1031="","",'Data Entry'!D1031)</f>
        <v/>
      </c>
      <c r="E1031" s="12">
        <f>IF('Data Entry'!A1031="","",'Data Entry'!E1031)</f>
        <v/>
      </c>
      <c r="F1031" s="12">
        <f>IF('Data Entry'!A1031="","",'Data Entry'!F1031)</f>
        <v/>
      </c>
      <c r="G1031" s="13">
        <f>IF('Data Entry'!A1031="","",'Data Entry'!G1031)</f>
        <v/>
      </c>
      <c r="H1031" s="10">
        <f>IF('Data Entry'!A1031="","",'Data Entry'!H1031)</f>
        <v/>
      </c>
      <c r="I1031" s="10">
        <f>IF('Data Entry'!A1031="","",'Data Entry'!I1031)</f>
        <v/>
      </c>
      <c r="J1031" s="12">
        <f>IF('Data Entry'!A1031="","",IF('Data Entry'!D1031&lt;&gt;"",'Data Entry'!D1031,'Data Entry'!E1031))</f>
        <v/>
      </c>
      <c r="K1031" s="10">
        <f>IF('Data Entry'!A1031="","",IFERROR(SUMIFS($H$5:$H$2001,$J$5:$J$2001,$J1031,$B$5:$B$2001,$B1031,$A$5:$A$2001,(MAXIFS($A$5:$A$2001,$J$5:$J$2001,$J1031,$B$5:$B$2001,$B1031,$A$5:$A$2001,"&lt;"&amp;$A1031))),""))</f>
        <v/>
      </c>
      <c r="L1031" s="14">
        <f>IF(OR('Data Entry'!A1031="",$K1031=""),"",$H1031-$K1031)</f>
        <v/>
      </c>
      <c r="M1031" s="15">
        <f>IF(OR('Data Entry'!A1031="",$K1031="",$K1031=0),"",$L1031/$K1031)</f>
        <v/>
      </c>
      <c r="N1031" s="12">
        <f>IF('Data Entry'!A1031="","",IF($L1031="","New item",IF($L1031&gt;0,"UP",IF($L1031&lt;0,"down","same"))))</f>
        <v/>
      </c>
    </row>
    <row r="1032">
      <c r="A1032" s="11">
        <f>IF('Data Entry'!A1032="","",'Data Entry'!A1032)</f>
        <v/>
      </c>
      <c r="B1032" s="12">
        <f>IF('Data Entry'!A1032="","",'Data Entry'!B1032)</f>
        <v/>
      </c>
      <c r="C1032" s="12">
        <f>IF('Data Entry'!A1032="","",'Data Entry'!C1032)</f>
        <v/>
      </c>
      <c r="D1032" s="12">
        <f>IF('Data Entry'!A1032="","",'Data Entry'!D1032)</f>
        <v/>
      </c>
      <c r="E1032" s="12">
        <f>IF('Data Entry'!A1032="","",'Data Entry'!E1032)</f>
        <v/>
      </c>
      <c r="F1032" s="12">
        <f>IF('Data Entry'!A1032="","",'Data Entry'!F1032)</f>
        <v/>
      </c>
      <c r="G1032" s="13">
        <f>IF('Data Entry'!A1032="","",'Data Entry'!G1032)</f>
        <v/>
      </c>
      <c r="H1032" s="10">
        <f>IF('Data Entry'!A1032="","",'Data Entry'!H1032)</f>
        <v/>
      </c>
      <c r="I1032" s="10">
        <f>IF('Data Entry'!A1032="","",'Data Entry'!I1032)</f>
        <v/>
      </c>
      <c r="J1032" s="12">
        <f>IF('Data Entry'!A1032="","",IF('Data Entry'!D1032&lt;&gt;"",'Data Entry'!D1032,'Data Entry'!E1032))</f>
        <v/>
      </c>
      <c r="K1032" s="10">
        <f>IF('Data Entry'!A1032="","",IFERROR(SUMIFS($H$5:$H$2001,$J$5:$J$2001,$J1032,$B$5:$B$2001,$B1032,$A$5:$A$2001,(MAXIFS($A$5:$A$2001,$J$5:$J$2001,$J1032,$B$5:$B$2001,$B1032,$A$5:$A$2001,"&lt;"&amp;$A1032))),""))</f>
        <v/>
      </c>
      <c r="L1032" s="14">
        <f>IF(OR('Data Entry'!A1032="",$K1032=""),"",$H1032-$K1032)</f>
        <v/>
      </c>
      <c r="M1032" s="15">
        <f>IF(OR('Data Entry'!A1032="",$K1032="",$K1032=0),"",$L1032/$K1032)</f>
        <v/>
      </c>
      <c r="N1032" s="12">
        <f>IF('Data Entry'!A1032="","",IF($L1032="","New item",IF($L1032&gt;0,"UP",IF($L1032&lt;0,"down","same"))))</f>
        <v/>
      </c>
    </row>
    <row r="1033">
      <c r="A1033" s="11">
        <f>IF('Data Entry'!A1033="","",'Data Entry'!A1033)</f>
        <v/>
      </c>
      <c r="B1033" s="12">
        <f>IF('Data Entry'!A1033="","",'Data Entry'!B1033)</f>
        <v/>
      </c>
      <c r="C1033" s="12">
        <f>IF('Data Entry'!A1033="","",'Data Entry'!C1033)</f>
        <v/>
      </c>
      <c r="D1033" s="12">
        <f>IF('Data Entry'!A1033="","",'Data Entry'!D1033)</f>
        <v/>
      </c>
      <c r="E1033" s="12">
        <f>IF('Data Entry'!A1033="","",'Data Entry'!E1033)</f>
        <v/>
      </c>
      <c r="F1033" s="12">
        <f>IF('Data Entry'!A1033="","",'Data Entry'!F1033)</f>
        <v/>
      </c>
      <c r="G1033" s="13">
        <f>IF('Data Entry'!A1033="","",'Data Entry'!G1033)</f>
        <v/>
      </c>
      <c r="H1033" s="10">
        <f>IF('Data Entry'!A1033="","",'Data Entry'!H1033)</f>
        <v/>
      </c>
      <c r="I1033" s="10">
        <f>IF('Data Entry'!A1033="","",'Data Entry'!I1033)</f>
        <v/>
      </c>
      <c r="J1033" s="12">
        <f>IF('Data Entry'!A1033="","",IF('Data Entry'!D1033&lt;&gt;"",'Data Entry'!D1033,'Data Entry'!E1033))</f>
        <v/>
      </c>
      <c r="K1033" s="10">
        <f>IF('Data Entry'!A1033="","",IFERROR(SUMIFS($H$5:$H$2001,$J$5:$J$2001,$J1033,$B$5:$B$2001,$B1033,$A$5:$A$2001,(MAXIFS($A$5:$A$2001,$J$5:$J$2001,$J1033,$B$5:$B$2001,$B1033,$A$5:$A$2001,"&lt;"&amp;$A1033))),""))</f>
        <v/>
      </c>
      <c r="L1033" s="14">
        <f>IF(OR('Data Entry'!A1033="",$K1033=""),"",$H1033-$K1033)</f>
        <v/>
      </c>
      <c r="M1033" s="15">
        <f>IF(OR('Data Entry'!A1033="",$K1033="",$K1033=0),"",$L1033/$K1033)</f>
        <v/>
      </c>
      <c r="N1033" s="12">
        <f>IF('Data Entry'!A1033="","",IF($L1033="","New item",IF($L1033&gt;0,"UP",IF($L1033&lt;0,"down","same"))))</f>
        <v/>
      </c>
    </row>
    <row r="1034">
      <c r="A1034" s="11">
        <f>IF('Data Entry'!A1034="","",'Data Entry'!A1034)</f>
        <v/>
      </c>
      <c r="B1034" s="12">
        <f>IF('Data Entry'!A1034="","",'Data Entry'!B1034)</f>
        <v/>
      </c>
      <c r="C1034" s="12">
        <f>IF('Data Entry'!A1034="","",'Data Entry'!C1034)</f>
        <v/>
      </c>
      <c r="D1034" s="12">
        <f>IF('Data Entry'!A1034="","",'Data Entry'!D1034)</f>
        <v/>
      </c>
      <c r="E1034" s="12">
        <f>IF('Data Entry'!A1034="","",'Data Entry'!E1034)</f>
        <v/>
      </c>
      <c r="F1034" s="12">
        <f>IF('Data Entry'!A1034="","",'Data Entry'!F1034)</f>
        <v/>
      </c>
      <c r="G1034" s="13">
        <f>IF('Data Entry'!A1034="","",'Data Entry'!G1034)</f>
        <v/>
      </c>
      <c r="H1034" s="10">
        <f>IF('Data Entry'!A1034="","",'Data Entry'!H1034)</f>
        <v/>
      </c>
      <c r="I1034" s="10">
        <f>IF('Data Entry'!A1034="","",'Data Entry'!I1034)</f>
        <v/>
      </c>
      <c r="J1034" s="12">
        <f>IF('Data Entry'!A1034="","",IF('Data Entry'!D1034&lt;&gt;"",'Data Entry'!D1034,'Data Entry'!E1034))</f>
        <v/>
      </c>
      <c r="K1034" s="10">
        <f>IF('Data Entry'!A1034="","",IFERROR(SUMIFS($H$5:$H$2001,$J$5:$J$2001,$J1034,$B$5:$B$2001,$B1034,$A$5:$A$2001,(MAXIFS($A$5:$A$2001,$J$5:$J$2001,$J1034,$B$5:$B$2001,$B1034,$A$5:$A$2001,"&lt;"&amp;$A1034))),""))</f>
        <v/>
      </c>
      <c r="L1034" s="14">
        <f>IF(OR('Data Entry'!A1034="",$K1034=""),"",$H1034-$K1034)</f>
        <v/>
      </c>
      <c r="M1034" s="15">
        <f>IF(OR('Data Entry'!A1034="",$K1034="",$K1034=0),"",$L1034/$K1034)</f>
        <v/>
      </c>
      <c r="N1034" s="12">
        <f>IF('Data Entry'!A1034="","",IF($L1034="","New item",IF($L1034&gt;0,"UP",IF($L1034&lt;0,"down","same"))))</f>
        <v/>
      </c>
    </row>
    <row r="1035">
      <c r="A1035" s="11">
        <f>IF('Data Entry'!A1035="","",'Data Entry'!A1035)</f>
        <v/>
      </c>
      <c r="B1035" s="12">
        <f>IF('Data Entry'!A1035="","",'Data Entry'!B1035)</f>
        <v/>
      </c>
      <c r="C1035" s="12">
        <f>IF('Data Entry'!A1035="","",'Data Entry'!C1035)</f>
        <v/>
      </c>
      <c r="D1035" s="12">
        <f>IF('Data Entry'!A1035="","",'Data Entry'!D1035)</f>
        <v/>
      </c>
      <c r="E1035" s="12">
        <f>IF('Data Entry'!A1035="","",'Data Entry'!E1035)</f>
        <v/>
      </c>
      <c r="F1035" s="12">
        <f>IF('Data Entry'!A1035="","",'Data Entry'!F1035)</f>
        <v/>
      </c>
      <c r="G1035" s="13">
        <f>IF('Data Entry'!A1035="","",'Data Entry'!G1035)</f>
        <v/>
      </c>
      <c r="H1035" s="10">
        <f>IF('Data Entry'!A1035="","",'Data Entry'!H1035)</f>
        <v/>
      </c>
      <c r="I1035" s="10">
        <f>IF('Data Entry'!A1035="","",'Data Entry'!I1035)</f>
        <v/>
      </c>
      <c r="J1035" s="12">
        <f>IF('Data Entry'!A1035="","",IF('Data Entry'!D1035&lt;&gt;"",'Data Entry'!D1035,'Data Entry'!E1035))</f>
        <v/>
      </c>
      <c r="K1035" s="10">
        <f>IF('Data Entry'!A1035="","",IFERROR(SUMIFS($H$5:$H$2001,$J$5:$J$2001,$J1035,$B$5:$B$2001,$B1035,$A$5:$A$2001,(MAXIFS($A$5:$A$2001,$J$5:$J$2001,$J1035,$B$5:$B$2001,$B1035,$A$5:$A$2001,"&lt;"&amp;$A1035))),""))</f>
        <v/>
      </c>
      <c r="L1035" s="14">
        <f>IF(OR('Data Entry'!A1035="",$K1035=""),"",$H1035-$K1035)</f>
        <v/>
      </c>
      <c r="M1035" s="15">
        <f>IF(OR('Data Entry'!A1035="",$K1035="",$K1035=0),"",$L1035/$K1035)</f>
        <v/>
      </c>
      <c r="N1035" s="12">
        <f>IF('Data Entry'!A1035="","",IF($L1035="","New item",IF($L1035&gt;0,"UP",IF($L1035&lt;0,"down","same"))))</f>
        <v/>
      </c>
    </row>
    <row r="1036">
      <c r="A1036" s="11">
        <f>IF('Data Entry'!A1036="","",'Data Entry'!A1036)</f>
        <v/>
      </c>
      <c r="B1036" s="12">
        <f>IF('Data Entry'!A1036="","",'Data Entry'!B1036)</f>
        <v/>
      </c>
      <c r="C1036" s="12">
        <f>IF('Data Entry'!A1036="","",'Data Entry'!C1036)</f>
        <v/>
      </c>
      <c r="D1036" s="12">
        <f>IF('Data Entry'!A1036="","",'Data Entry'!D1036)</f>
        <v/>
      </c>
      <c r="E1036" s="12">
        <f>IF('Data Entry'!A1036="","",'Data Entry'!E1036)</f>
        <v/>
      </c>
      <c r="F1036" s="12">
        <f>IF('Data Entry'!A1036="","",'Data Entry'!F1036)</f>
        <v/>
      </c>
      <c r="G1036" s="13">
        <f>IF('Data Entry'!A1036="","",'Data Entry'!G1036)</f>
        <v/>
      </c>
      <c r="H1036" s="10">
        <f>IF('Data Entry'!A1036="","",'Data Entry'!H1036)</f>
        <v/>
      </c>
      <c r="I1036" s="10">
        <f>IF('Data Entry'!A1036="","",'Data Entry'!I1036)</f>
        <v/>
      </c>
      <c r="J1036" s="12">
        <f>IF('Data Entry'!A1036="","",IF('Data Entry'!D1036&lt;&gt;"",'Data Entry'!D1036,'Data Entry'!E1036))</f>
        <v/>
      </c>
      <c r="K1036" s="10">
        <f>IF('Data Entry'!A1036="","",IFERROR(SUMIFS($H$5:$H$2001,$J$5:$J$2001,$J1036,$B$5:$B$2001,$B1036,$A$5:$A$2001,(MAXIFS($A$5:$A$2001,$J$5:$J$2001,$J1036,$B$5:$B$2001,$B1036,$A$5:$A$2001,"&lt;"&amp;$A1036))),""))</f>
        <v/>
      </c>
      <c r="L1036" s="14">
        <f>IF(OR('Data Entry'!A1036="",$K1036=""),"",$H1036-$K1036)</f>
        <v/>
      </c>
      <c r="M1036" s="15">
        <f>IF(OR('Data Entry'!A1036="",$K1036="",$K1036=0),"",$L1036/$K1036)</f>
        <v/>
      </c>
      <c r="N1036" s="12">
        <f>IF('Data Entry'!A1036="","",IF($L1036="","New item",IF($L1036&gt;0,"UP",IF($L1036&lt;0,"down","same"))))</f>
        <v/>
      </c>
    </row>
    <row r="1037">
      <c r="A1037" s="11">
        <f>IF('Data Entry'!A1037="","",'Data Entry'!A1037)</f>
        <v/>
      </c>
      <c r="B1037" s="12">
        <f>IF('Data Entry'!A1037="","",'Data Entry'!B1037)</f>
        <v/>
      </c>
      <c r="C1037" s="12">
        <f>IF('Data Entry'!A1037="","",'Data Entry'!C1037)</f>
        <v/>
      </c>
      <c r="D1037" s="12">
        <f>IF('Data Entry'!A1037="","",'Data Entry'!D1037)</f>
        <v/>
      </c>
      <c r="E1037" s="12">
        <f>IF('Data Entry'!A1037="","",'Data Entry'!E1037)</f>
        <v/>
      </c>
      <c r="F1037" s="12">
        <f>IF('Data Entry'!A1037="","",'Data Entry'!F1037)</f>
        <v/>
      </c>
      <c r="G1037" s="13">
        <f>IF('Data Entry'!A1037="","",'Data Entry'!G1037)</f>
        <v/>
      </c>
      <c r="H1037" s="10">
        <f>IF('Data Entry'!A1037="","",'Data Entry'!H1037)</f>
        <v/>
      </c>
      <c r="I1037" s="10">
        <f>IF('Data Entry'!A1037="","",'Data Entry'!I1037)</f>
        <v/>
      </c>
      <c r="J1037" s="12">
        <f>IF('Data Entry'!A1037="","",IF('Data Entry'!D1037&lt;&gt;"",'Data Entry'!D1037,'Data Entry'!E1037))</f>
        <v/>
      </c>
      <c r="K1037" s="10">
        <f>IF('Data Entry'!A1037="","",IFERROR(SUMIFS($H$5:$H$2001,$J$5:$J$2001,$J1037,$B$5:$B$2001,$B1037,$A$5:$A$2001,(MAXIFS($A$5:$A$2001,$J$5:$J$2001,$J1037,$B$5:$B$2001,$B1037,$A$5:$A$2001,"&lt;"&amp;$A1037))),""))</f>
        <v/>
      </c>
      <c r="L1037" s="14">
        <f>IF(OR('Data Entry'!A1037="",$K1037=""),"",$H1037-$K1037)</f>
        <v/>
      </c>
      <c r="M1037" s="15">
        <f>IF(OR('Data Entry'!A1037="",$K1037="",$K1037=0),"",$L1037/$K1037)</f>
        <v/>
      </c>
      <c r="N1037" s="12">
        <f>IF('Data Entry'!A1037="","",IF($L1037="","New item",IF($L1037&gt;0,"UP",IF($L1037&lt;0,"down","same"))))</f>
        <v/>
      </c>
    </row>
    <row r="1038">
      <c r="A1038" s="11">
        <f>IF('Data Entry'!A1038="","",'Data Entry'!A1038)</f>
        <v/>
      </c>
      <c r="B1038" s="12">
        <f>IF('Data Entry'!A1038="","",'Data Entry'!B1038)</f>
        <v/>
      </c>
      <c r="C1038" s="12">
        <f>IF('Data Entry'!A1038="","",'Data Entry'!C1038)</f>
        <v/>
      </c>
      <c r="D1038" s="12">
        <f>IF('Data Entry'!A1038="","",'Data Entry'!D1038)</f>
        <v/>
      </c>
      <c r="E1038" s="12">
        <f>IF('Data Entry'!A1038="","",'Data Entry'!E1038)</f>
        <v/>
      </c>
      <c r="F1038" s="12">
        <f>IF('Data Entry'!A1038="","",'Data Entry'!F1038)</f>
        <v/>
      </c>
      <c r="G1038" s="13">
        <f>IF('Data Entry'!A1038="","",'Data Entry'!G1038)</f>
        <v/>
      </c>
      <c r="H1038" s="10">
        <f>IF('Data Entry'!A1038="","",'Data Entry'!H1038)</f>
        <v/>
      </c>
      <c r="I1038" s="10">
        <f>IF('Data Entry'!A1038="","",'Data Entry'!I1038)</f>
        <v/>
      </c>
      <c r="J1038" s="12">
        <f>IF('Data Entry'!A1038="","",IF('Data Entry'!D1038&lt;&gt;"",'Data Entry'!D1038,'Data Entry'!E1038))</f>
        <v/>
      </c>
      <c r="K1038" s="10">
        <f>IF('Data Entry'!A1038="","",IFERROR(SUMIFS($H$5:$H$2001,$J$5:$J$2001,$J1038,$B$5:$B$2001,$B1038,$A$5:$A$2001,(MAXIFS($A$5:$A$2001,$J$5:$J$2001,$J1038,$B$5:$B$2001,$B1038,$A$5:$A$2001,"&lt;"&amp;$A1038))),""))</f>
        <v/>
      </c>
      <c r="L1038" s="14">
        <f>IF(OR('Data Entry'!A1038="",$K1038=""),"",$H1038-$K1038)</f>
        <v/>
      </c>
      <c r="M1038" s="15">
        <f>IF(OR('Data Entry'!A1038="",$K1038="",$K1038=0),"",$L1038/$K1038)</f>
        <v/>
      </c>
      <c r="N1038" s="12">
        <f>IF('Data Entry'!A1038="","",IF($L1038="","New item",IF($L1038&gt;0,"UP",IF($L1038&lt;0,"down","same"))))</f>
        <v/>
      </c>
    </row>
    <row r="1039">
      <c r="A1039" s="11">
        <f>IF('Data Entry'!A1039="","",'Data Entry'!A1039)</f>
        <v/>
      </c>
      <c r="B1039" s="12">
        <f>IF('Data Entry'!A1039="","",'Data Entry'!B1039)</f>
        <v/>
      </c>
      <c r="C1039" s="12">
        <f>IF('Data Entry'!A1039="","",'Data Entry'!C1039)</f>
        <v/>
      </c>
      <c r="D1039" s="12">
        <f>IF('Data Entry'!A1039="","",'Data Entry'!D1039)</f>
        <v/>
      </c>
      <c r="E1039" s="12">
        <f>IF('Data Entry'!A1039="","",'Data Entry'!E1039)</f>
        <v/>
      </c>
      <c r="F1039" s="12">
        <f>IF('Data Entry'!A1039="","",'Data Entry'!F1039)</f>
        <v/>
      </c>
      <c r="G1039" s="13">
        <f>IF('Data Entry'!A1039="","",'Data Entry'!G1039)</f>
        <v/>
      </c>
      <c r="H1039" s="10">
        <f>IF('Data Entry'!A1039="","",'Data Entry'!H1039)</f>
        <v/>
      </c>
      <c r="I1039" s="10">
        <f>IF('Data Entry'!A1039="","",'Data Entry'!I1039)</f>
        <v/>
      </c>
      <c r="J1039" s="12">
        <f>IF('Data Entry'!A1039="","",IF('Data Entry'!D1039&lt;&gt;"",'Data Entry'!D1039,'Data Entry'!E1039))</f>
        <v/>
      </c>
      <c r="K1039" s="10">
        <f>IF('Data Entry'!A1039="","",IFERROR(SUMIFS($H$5:$H$2001,$J$5:$J$2001,$J1039,$B$5:$B$2001,$B1039,$A$5:$A$2001,(MAXIFS($A$5:$A$2001,$J$5:$J$2001,$J1039,$B$5:$B$2001,$B1039,$A$5:$A$2001,"&lt;"&amp;$A1039))),""))</f>
        <v/>
      </c>
      <c r="L1039" s="14">
        <f>IF(OR('Data Entry'!A1039="",$K1039=""),"",$H1039-$K1039)</f>
        <v/>
      </c>
      <c r="M1039" s="15">
        <f>IF(OR('Data Entry'!A1039="",$K1039="",$K1039=0),"",$L1039/$K1039)</f>
        <v/>
      </c>
      <c r="N1039" s="12">
        <f>IF('Data Entry'!A1039="","",IF($L1039="","New item",IF($L1039&gt;0,"UP",IF($L1039&lt;0,"down","same"))))</f>
        <v/>
      </c>
    </row>
    <row r="1040">
      <c r="A1040" s="11">
        <f>IF('Data Entry'!A1040="","",'Data Entry'!A1040)</f>
        <v/>
      </c>
      <c r="B1040" s="12">
        <f>IF('Data Entry'!A1040="","",'Data Entry'!B1040)</f>
        <v/>
      </c>
      <c r="C1040" s="12">
        <f>IF('Data Entry'!A1040="","",'Data Entry'!C1040)</f>
        <v/>
      </c>
      <c r="D1040" s="12">
        <f>IF('Data Entry'!A1040="","",'Data Entry'!D1040)</f>
        <v/>
      </c>
      <c r="E1040" s="12">
        <f>IF('Data Entry'!A1040="","",'Data Entry'!E1040)</f>
        <v/>
      </c>
      <c r="F1040" s="12">
        <f>IF('Data Entry'!A1040="","",'Data Entry'!F1040)</f>
        <v/>
      </c>
      <c r="G1040" s="13">
        <f>IF('Data Entry'!A1040="","",'Data Entry'!G1040)</f>
        <v/>
      </c>
      <c r="H1040" s="10">
        <f>IF('Data Entry'!A1040="","",'Data Entry'!H1040)</f>
        <v/>
      </c>
      <c r="I1040" s="10">
        <f>IF('Data Entry'!A1040="","",'Data Entry'!I1040)</f>
        <v/>
      </c>
      <c r="J1040" s="12">
        <f>IF('Data Entry'!A1040="","",IF('Data Entry'!D1040&lt;&gt;"",'Data Entry'!D1040,'Data Entry'!E1040))</f>
        <v/>
      </c>
      <c r="K1040" s="10">
        <f>IF('Data Entry'!A1040="","",IFERROR(SUMIFS($H$5:$H$2001,$J$5:$J$2001,$J1040,$B$5:$B$2001,$B1040,$A$5:$A$2001,(MAXIFS($A$5:$A$2001,$J$5:$J$2001,$J1040,$B$5:$B$2001,$B1040,$A$5:$A$2001,"&lt;"&amp;$A1040))),""))</f>
        <v/>
      </c>
      <c r="L1040" s="14">
        <f>IF(OR('Data Entry'!A1040="",$K1040=""),"",$H1040-$K1040)</f>
        <v/>
      </c>
      <c r="M1040" s="15">
        <f>IF(OR('Data Entry'!A1040="",$K1040="",$K1040=0),"",$L1040/$K1040)</f>
        <v/>
      </c>
      <c r="N1040" s="12">
        <f>IF('Data Entry'!A1040="","",IF($L1040="","New item",IF($L1040&gt;0,"UP",IF($L1040&lt;0,"down","same"))))</f>
        <v/>
      </c>
    </row>
    <row r="1041">
      <c r="A1041" s="11">
        <f>IF('Data Entry'!A1041="","",'Data Entry'!A1041)</f>
        <v/>
      </c>
      <c r="B1041" s="12">
        <f>IF('Data Entry'!A1041="","",'Data Entry'!B1041)</f>
        <v/>
      </c>
      <c r="C1041" s="12">
        <f>IF('Data Entry'!A1041="","",'Data Entry'!C1041)</f>
        <v/>
      </c>
      <c r="D1041" s="12">
        <f>IF('Data Entry'!A1041="","",'Data Entry'!D1041)</f>
        <v/>
      </c>
      <c r="E1041" s="12">
        <f>IF('Data Entry'!A1041="","",'Data Entry'!E1041)</f>
        <v/>
      </c>
      <c r="F1041" s="12">
        <f>IF('Data Entry'!A1041="","",'Data Entry'!F1041)</f>
        <v/>
      </c>
      <c r="G1041" s="13">
        <f>IF('Data Entry'!A1041="","",'Data Entry'!G1041)</f>
        <v/>
      </c>
      <c r="H1041" s="10">
        <f>IF('Data Entry'!A1041="","",'Data Entry'!H1041)</f>
        <v/>
      </c>
      <c r="I1041" s="10">
        <f>IF('Data Entry'!A1041="","",'Data Entry'!I1041)</f>
        <v/>
      </c>
      <c r="J1041" s="12">
        <f>IF('Data Entry'!A1041="","",IF('Data Entry'!D1041&lt;&gt;"",'Data Entry'!D1041,'Data Entry'!E1041))</f>
        <v/>
      </c>
      <c r="K1041" s="10">
        <f>IF('Data Entry'!A1041="","",IFERROR(SUMIFS($H$5:$H$2001,$J$5:$J$2001,$J1041,$B$5:$B$2001,$B1041,$A$5:$A$2001,(MAXIFS($A$5:$A$2001,$J$5:$J$2001,$J1041,$B$5:$B$2001,$B1041,$A$5:$A$2001,"&lt;"&amp;$A1041))),""))</f>
        <v/>
      </c>
      <c r="L1041" s="14">
        <f>IF(OR('Data Entry'!A1041="",$K1041=""),"",$H1041-$K1041)</f>
        <v/>
      </c>
      <c r="M1041" s="15">
        <f>IF(OR('Data Entry'!A1041="",$K1041="",$K1041=0),"",$L1041/$K1041)</f>
        <v/>
      </c>
      <c r="N1041" s="12">
        <f>IF('Data Entry'!A1041="","",IF($L1041="","New item",IF($L1041&gt;0,"UP",IF($L1041&lt;0,"down","same"))))</f>
        <v/>
      </c>
    </row>
    <row r="1042">
      <c r="A1042" s="11">
        <f>IF('Data Entry'!A1042="","",'Data Entry'!A1042)</f>
        <v/>
      </c>
      <c r="B1042" s="12">
        <f>IF('Data Entry'!A1042="","",'Data Entry'!B1042)</f>
        <v/>
      </c>
      <c r="C1042" s="12">
        <f>IF('Data Entry'!A1042="","",'Data Entry'!C1042)</f>
        <v/>
      </c>
      <c r="D1042" s="12">
        <f>IF('Data Entry'!A1042="","",'Data Entry'!D1042)</f>
        <v/>
      </c>
      <c r="E1042" s="12">
        <f>IF('Data Entry'!A1042="","",'Data Entry'!E1042)</f>
        <v/>
      </c>
      <c r="F1042" s="12">
        <f>IF('Data Entry'!A1042="","",'Data Entry'!F1042)</f>
        <v/>
      </c>
      <c r="G1042" s="13">
        <f>IF('Data Entry'!A1042="","",'Data Entry'!G1042)</f>
        <v/>
      </c>
      <c r="H1042" s="10">
        <f>IF('Data Entry'!A1042="","",'Data Entry'!H1042)</f>
        <v/>
      </c>
      <c r="I1042" s="10">
        <f>IF('Data Entry'!A1042="","",'Data Entry'!I1042)</f>
        <v/>
      </c>
      <c r="J1042" s="12">
        <f>IF('Data Entry'!A1042="","",IF('Data Entry'!D1042&lt;&gt;"",'Data Entry'!D1042,'Data Entry'!E1042))</f>
        <v/>
      </c>
      <c r="K1042" s="10">
        <f>IF('Data Entry'!A1042="","",IFERROR(SUMIFS($H$5:$H$2001,$J$5:$J$2001,$J1042,$B$5:$B$2001,$B1042,$A$5:$A$2001,(MAXIFS($A$5:$A$2001,$J$5:$J$2001,$J1042,$B$5:$B$2001,$B1042,$A$5:$A$2001,"&lt;"&amp;$A1042))),""))</f>
        <v/>
      </c>
      <c r="L1042" s="14">
        <f>IF(OR('Data Entry'!A1042="",$K1042=""),"",$H1042-$K1042)</f>
        <v/>
      </c>
      <c r="M1042" s="15">
        <f>IF(OR('Data Entry'!A1042="",$K1042="",$K1042=0),"",$L1042/$K1042)</f>
        <v/>
      </c>
      <c r="N1042" s="12">
        <f>IF('Data Entry'!A1042="","",IF($L1042="","New item",IF($L1042&gt;0,"UP",IF($L1042&lt;0,"down","same"))))</f>
        <v/>
      </c>
    </row>
    <row r="1043">
      <c r="A1043" s="11">
        <f>IF('Data Entry'!A1043="","",'Data Entry'!A1043)</f>
        <v/>
      </c>
      <c r="B1043" s="12">
        <f>IF('Data Entry'!A1043="","",'Data Entry'!B1043)</f>
        <v/>
      </c>
      <c r="C1043" s="12">
        <f>IF('Data Entry'!A1043="","",'Data Entry'!C1043)</f>
        <v/>
      </c>
      <c r="D1043" s="12">
        <f>IF('Data Entry'!A1043="","",'Data Entry'!D1043)</f>
        <v/>
      </c>
      <c r="E1043" s="12">
        <f>IF('Data Entry'!A1043="","",'Data Entry'!E1043)</f>
        <v/>
      </c>
      <c r="F1043" s="12">
        <f>IF('Data Entry'!A1043="","",'Data Entry'!F1043)</f>
        <v/>
      </c>
      <c r="G1043" s="13">
        <f>IF('Data Entry'!A1043="","",'Data Entry'!G1043)</f>
        <v/>
      </c>
      <c r="H1043" s="10">
        <f>IF('Data Entry'!A1043="","",'Data Entry'!H1043)</f>
        <v/>
      </c>
      <c r="I1043" s="10">
        <f>IF('Data Entry'!A1043="","",'Data Entry'!I1043)</f>
        <v/>
      </c>
      <c r="J1043" s="12">
        <f>IF('Data Entry'!A1043="","",IF('Data Entry'!D1043&lt;&gt;"",'Data Entry'!D1043,'Data Entry'!E1043))</f>
        <v/>
      </c>
      <c r="K1043" s="10">
        <f>IF('Data Entry'!A1043="","",IFERROR(SUMIFS($H$5:$H$2001,$J$5:$J$2001,$J1043,$B$5:$B$2001,$B1043,$A$5:$A$2001,(MAXIFS($A$5:$A$2001,$J$5:$J$2001,$J1043,$B$5:$B$2001,$B1043,$A$5:$A$2001,"&lt;"&amp;$A1043))),""))</f>
        <v/>
      </c>
      <c r="L1043" s="14">
        <f>IF(OR('Data Entry'!A1043="",$K1043=""),"",$H1043-$K1043)</f>
        <v/>
      </c>
      <c r="M1043" s="15">
        <f>IF(OR('Data Entry'!A1043="",$K1043="",$K1043=0),"",$L1043/$K1043)</f>
        <v/>
      </c>
      <c r="N1043" s="12">
        <f>IF('Data Entry'!A1043="","",IF($L1043="","New item",IF($L1043&gt;0,"UP",IF($L1043&lt;0,"down","same"))))</f>
        <v/>
      </c>
    </row>
    <row r="1044">
      <c r="A1044" s="11">
        <f>IF('Data Entry'!A1044="","",'Data Entry'!A1044)</f>
        <v/>
      </c>
      <c r="B1044" s="12">
        <f>IF('Data Entry'!A1044="","",'Data Entry'!B1044)</f>
        <v/>
      </c>
      <c r="C1044" s="12">
        <f>IF('Data Entry'!A1044="","",'Data Entry'!C1044)</f>
        <v/>
      </c>
      <c r="D1044" s="12">
        <f>IF('Data Entry'!A1044="","",'Data Entry'!D1044)</f>
        <v/>
      </c>
      <c r="E1044" s="12">
        <f>IF('Data Entry'!A1044="","",'Data Entry'!E1044)</f>
        <v/>
      </c>
      <c r="F1044" s="12">
        <f>IF('Data Entry'!A1044="","",'Data Entry'!F1044)</f>
        <v/>
      </c>
      <c r="G1044" s="13">
        <f>IF('Data Entry'!A1044="","",'Data Entry'!G1044)</f>
        <v/>
      </c>
      <c r="H1044" s="10">
        <f>IF('Data Entry'!A1044="","",'Data Entry'!H1044)</f>
        <v/>
      </c>
      <c r="I1044" s="10">
        <f>IF('Data Entry'!A1044="","",'Data Entry'!I1044)</f>
        <v/>
      </c>
      <c r="J1044" s="12">
        <f>IF('Data Entry'!A1044="","",IF('Data Entry'!D1044&lt;&gt;"",'Data Entry'!D1044,'Data Entry'!E1044))</f>
        <v/>
      </c>
      <c r="K1044" s="10">
        <f>IF('Data Entry'!A1044="","",IFERROR(SUMIFS($H$5:$H$2001,$J$5:$J$2001,$J1044,$B$5:$B$2001,$B1044,$A$5:$A$2001,(MAXIFS($A$5:$A$2001,$J$5:$J$2001,$J1044,$B$5:$B$2001,$B1044,$A$5:$A$2001,"&lt;"&amp;$A1044))),""))</f>
        <v/>
      </c>
      <c r="L1044" s="14">
        <f>IF(OR('Data Entry'!A1044="",$K1044=""),"",$H1044-$K1044)</f>
        <v/>
      </c>
      <c r="M1044" s="15">
        <f>IF(OR('Data Entry'!A1044="",$K1044="",$K1044=0),"",$L1044/$K1044)</f>
        <v/>
      </c>
      <c r="N1044" s="12">
        <f>IF('Data Entry'!A1044="","",IF($L1044="","New item",IF($L1044&gt;0,"UP",IF($L1044&lt;0,"down","same"))))</f>
        <v/>
      </c>
    </row>
    <row r="1045">
      <c r="A1045" s="11">
        <f>IF('Data Entry'!A1045="","",'Data Entry'!A1045)</f>
        <v/>
      </c>
      <c r="B1045" s="12">
        <f>IF('Data Entry'!A1045="","",'Data Entry'!B1045)</f>
        <v/>
      </c>
      <c r="C1045" s="12">
        <f>IF('Data Entry'!A1045="","",'Data Entry'!C1045)</f>
        <v/>
      </c>
      <c r="D1045" s="12">
        <f>IF('Data Entry'!A1045="","",'Data Entry'!D1045)</f>
        <v/>
      </c>
      <c r="E1045" s="12">
        <f>IF('Data Entry'!A1045="","",'Data Entry'!E1045)</f>
        <v/>
      </c>
      <c r="F1045" s="12">
        <f>IF('Data Entry'!A1045="","",'Data Entry'!F1045)</f>
        <v/>
      </c>
      <c r="G1045" s="13">
        <f>IF('Data Entry'!A1045="","",'Data Entry'!G1045)</f>
        <v/>
      </c>
      <c r="H1045" s="10">
        <f>IF('Data Entry'!A1045="","",'Data Entry'!H1045)</f>
        <v/>
      </c>
      <c r="I1045" s="10">
        <f>IF('Data Entry'!A1045="","",'Data Entry'!I1045)</f>
        <v/>
      </c>
      <c r="J1045" s="12">
        <f>IF('Data Entry'!A1045="","",IF('Data Entry'!D1045&lt;&gt;"",'Data Entry'!D1045,'Data Entry'!E1045))</f>
        <v/>
      </c>
      <c r="K1045" s="10">
        <f>IF('Data Entry'!A1045="","",IFERROR(SUMIFS($H$5:$H$2001,$J$5:$J$2001,$J1045,$B$5:$B$2001,$B1045,$A$5:$A$2001,(MAXIFS($A$5:$A$2001,$J$5:$J$2001,$J1045,$B$5:$B$2001,$B1045,$A$5:$A$2001,"&lt;"&amp;$A1045))),""))</f>
        <v/>
      </c>
      <c r="L1045" s="14">
        <f>IF(OR('Data Entry'!A1045="",$K1045=""),"",$H1045-$K1045)</f>
        <v/>
      </c>
      <c r="M1045" s="15">
        <f>IF(OR('Data Entry'!A1045="",$K1045="",$K1045=0),"",$L1045/$K1045)</f>
        <v/>
      </c>
      <c r="N1045" s="12">
        <f>IF('Data Entry'!A1045="","",IF($L1045="","New item",IF($L1045&gt;0,"UP",IF($L1045&lt;0,"down","same"))))</f>
        <v/>
      </c>
    </row>
    <row r="1046">
      <c r="A1046" s="11">
        <f>IF('Data Entry'!A1046="","",'Data Entry'!A1046)</f>
        <v/>
      </c>
      <c r="B1046" s="12">
        <f>IF('Data Entry'!A1046="","",'Data Entry'!B1046)</f>
        <v/>
      </c>
      <c r="C1046" s="12">
        <f>IF('Data Entry'!A1046="","",'Data Entry'!C1046)</f>
        <v/>
      </c>
      <c r="D1046" s="12">
        <f>IF('Data Entry'!A1046="","",'Data Entry'!D1046)</f>
        <v/>
      </c>
      <c r="E1046" s="12">
        <f>IF('Data Entry'!A1046="","",'Data Entry'!E1046)</f>
        <v/>
      </c>
      <c r="F1046" s="12">
        <f>IF('Data Entry'!A1046="","",'Data Entry'!F1046)</f>
        <v/>
      </c>
      <c r="G1046" s="13">
        <f>IF('Data Entry'!A1046="","",'Data Entry'!G1046)</f>
        <v/>
      </c>
      <c r="H1046" s="10">
        <f>IF('Data Entry'!A1046="","",'Data Entry'!H1046)</f>
        <v/>
      </c>
      <c r="I1046" s="10">
        <f>IF('Data Entry'!A1046="","",'Data Entry'!I1046)</f>
        <v/>
      </c>
      <c r="J1046" s="12">
        <f>IF('Data Entry'!A1046="","",IF('Data Entry'!D1046&lt;&gt;"",'Data Entry'!D1046,'Data Entry'!E1046))</f>
        <v/>
      </c>
      <c r="K1046" s="10">
        <f>IF('Data Entry'!A1046="","",IFERROR(SUMIFS($H$5:$H$2001,$J$5:$J$2001,$J1046,$B$5:$B$2001,$B1046,$A$5:$A$2001,(MAXIFS($A$5:$A$2001,$J$5:$J$2001,$J1046,$B$5:$B$2001,$B1046,$A$5:$A$2001,"&lt;"&amp;$A1046))),""))</f>
        <v/>
      </c>
      <c r="L1046" s="14">
        <f>IF(OR('Data Entry'!A1046="",$K1046=""),"",$H1046-$K1046)</f>
        <v/>
      </c>
      <c r="M1046" s="15">
        <f>IF(OR('Data Entry'!A1046="",$K1046="",$K1046=0),"",$L1046/$K1046)</f>
        <v/>
      </c>
      <c r="N1046" s="12">
        <f>IF('Data Entry'!A1046="","",IF($L1046="","New item",IF($L1046&gt;0,"UP",IF($L1046&lt;0,"down","same"))))</f>
        <v/>
      </c>
    </row>
    <row r="1047">
      <c r="A1047" s="11">
        <f>IF('Data Entry'!A1047="","",'Data Entry'!A1047)</f>
        <v/>
      </c>
      <c r="B1047" s="12">
        <f>IF('Data Entry'!A1047="","",'Data Entry'!B1047)</f>
        <v/>
      </c>
      <c r="C1047" s="12">
        <f>IF('Data Entry'!A1047="","",'Data Entry'!C1047)</f>
        <v/>
      </c>
      <c r="D1047" s="12">
        <f>IF('Data Entry'!A1047="","",'Data Entry'!D1047)</f>
        <v/>
      </c>
      <c r="E1047" s="12">
        <f>IF('Data Entry'!A1047="","",'Data Entry'!E1047)</f>
        <v/>
      </c>
      <c r="F1047" s="12">
        <f>IF('Data Entry'!A1047="","",'Data Entry'!F1047)</f>
        <v/>
      </c>
      <c r="G1047" s="13">
        <f>IF('Data Entry'!A1047="","",'Data Entry'!G1047)</f>
        <v/>
      </c>
      <c r="H1047" s="10">
        <f>IF('Data Entry'!A1047="","",'Data Entry'!H1047)</f>
        <v/>
      </c>
      <c r="I1047" s="10">
        <f>IF('Data Entry'!A1047="","",'Data Entry'!I1047)</f>
        <v/>
      </c>
      <c r="J1047" s="12">
        <f>IF('Data Entry'!A1047="","",IF('Data Entry'!D1047&lt;&gt;"",'Data Entry'!D1047,'Data Entry'!E1047))</f>
        <v/>
      </c>
      <c r="K1047" s="10">
        <f>IF('Data Entry'!A1047="","",IFERROR(SUMIFS($H$5:$H$2001,$J$5:$J$2001,$J1047,$B$5:$B$2001,$B1047,$A$5:$A$2001,(MAXIFS($A$5:$A$2001,$J$5:$J$2001,$J1047,$B$5:$B$2001,$B1047,$A$5:$A$2001,"&lt;"&amp;$A1047))),""))</f>
        <v/>
      </c>
      <c r="L1047" s="14">
        <f>IF(OR('Data Entry'!A1047="",$K1047=""),"",$H1047-$K1047)</f>
        <v/>
      </c>
      <c r="M1047" s="15">
        <f>IF(OR('Data Entry'!A1047="",$K1047="",$K1047=0),"",$L1047/$K1047)</f>
        <v/>
      </c>
      <c r="N1047" s="12">
        <f>IF('Data Entry'!A1047="","",IF($L1047="","New item",IF($L1047&gt;0,"UP",IF($L1047&lt;0,"down","same"))))</f>
        <v/>
      </c>
    </row>
    <row r="1048">
      <c r="A1048" s="11">
        <f>IF('Data Entry'!A1048="","",'Data Entry'!A1048)</f>
        <v/>
      </c>
      <c r="B1048" s="12">
        <f>IF('Data Entry'!A1048="","",'Data Entry'!B1048)</f>
        <v/>
      </c>
      <c r="C1048" s="12">
        <f>IF('Data Entry'!A1048="","",'Data Entry'!C1048)</f>
        <v/>
      </c>
      <c r="D1048" s="12">
        <f>IF('Data Entry'!A1048="","",'Data Entry'!D1048)</f>
        <v/>
      </c>
      <c r="E1048" s="12">
        <f>IF('Data Entry'!A1048="","",'Data Entry'!E1048)</f>
        <v/>
      </c>
      <c r="F1048" s="12">
        <f>IF('Data Entry'!A1048="","",'Data Entry'!F1048)</f>
        <v/>
      </c>
      <c r="G1048" s="13">
        <f>IF('Data Entry'!A1048="","",'Data Entry'!G1048)</f>
        <v/>
      </c>
      <c r="H1048" s="10">
        <f>IF('Data Entry'!A1048="","",'Data Entry'!H1048)</f>
        <v/>
      </c>
      <c r="I1048" s="10">
        <f>IF('Data Entry'!A1048="","",'Data Entry'!I1048)</f>
        <v/>
      </c>
      <c r="J1048" s="12">
        <f>IF('Data Entry'!A1048="","",IF('Data Entry'!D1048&lt;&gt;"",'Data Entry'!D1048,'Data Entry'!E1048))</f>
        <v/>
      </c>
      <c r="K1048" s="10">
        <f>IF('Data Entry'!A1048="","",IFERROR(SUMIFS($H$5:$H$2001,$J$5:$J$2001,$J1048,$B$5:$B$2001,$B1048,$A$5:$A$2001,(MAXIFS($A$5:$A$2001,$J$5:$J$2001,$J1048,$B$5:$B$2001,$B1048,$A$5:$A$2001,"&lt;"&amp;$A1048))),""))</f>
        <v/>
      </c>
      <c r="L1048" s="14">
        <f>IF(OR('Data Entry'!A1048="",$K1048=""),"",$H1048-$K1048)</f>
        <v/>
      </c>
      <c r="M1048" s="15">
        <f>IF(OR('Data Entry'!A1048="",$K1048="",$K1048=0),"",$L1048/$K1048)</f>
        <v/>
      </c>
      <c r="N1048" s="12">
        <f>IF('Data Entry'!A1048="","",IF($L1048="","New item",IF($L1048&gt;0,"UP",IF($L1048&lt;0,"down","same"))))</f>
        <v/>
      </c>
    </row>
    <row r="1049">
      <c r="A1049" s="11">
        <f>IF('Data Entry'!A1049="","",'Data Entry'!A1049)</f>
        <v/>
      </c>
      <c r="B1049" s="12">
        <f>IF('Data Entry'!A1049="","",'Data Entry'!B1049)</f>
        <v/>
      </c>
      <c r="C1049" s="12">
        <f>IF('Data Entry'!A1049="","",'Data Entry'!C1049)</f>
        <v/>
      </c>
      <c r="D1049" s="12">
        <f>IF('Data Entry'!A1049="","",'Data Entry'!D1049)</f>
        <v/>
      </c>
      <c r="E1049" s="12">
        <f>IF('Data Entry'!A1049="","",'Data Entry'!E1049)</f>
        <v/>
      </c>
      <c r="F1049" s="12">
        <f>IF('Data Entry'!A1049="","",'Data Entry'!F1049)</f>
        <v/>
      </c>
      <c r="G1049" s="13">
        <f>IF('Data Entry'!A1049="","",'Data Entry'!G1049)</f>
        <v/>
      </c>
      <c r="H1049" s="10">
        <f>IF('Data Entry'!A1049="","",'Data Entry'!H1049)</f>
        <v/>
      </c>
      <c r="I1049" s="10">
        <f>IF('Data Entry'!A1049="","",'Data Entry'!I1049)</f>
        <v/>
      </c>
      <c r="J1049" s="12">
        <f>IF('Data Entry'!A1049="","",IF('Data Entry'!D1049&lt;&gt;"",'Data Entry'!D1049,'Data Entry'!E1049))</f>
        <v/>
      </c>
      <c r="K1049" s="10">
        <f>IF('Data Entry'!A1049="","",IFERROR(SUMIFS($H$5:$H$2001,$J$5:$J$2001,$J1049,$B$5:$B$2001,$B1049,$A$5:$A$2001,(MAXIFS($A$5:$A$2001,$J$5:$J$2001,$J1049,$B$5:$B$2001,$B1049,$A$5:$A$2001,"&lt;"&amp;$A1049))),""))</f>
        <v/>
      </c>
      <c r="L1049" s="14">
        <f>IF(OR('Data Entry'!A1049="",$K1049=""),"",$H1049-$K1049)</f>
        <v/>
      </c>
      <c r="M1049" s="15">
        <f>IF(OR('Data Entry'!A1049="",$K1049="",$K1049=0),"",$L1049/$K1049)</f>
        <v/>
      </c>
      <c r="N1049" s="12">
        <f>IF('Data Entry'!A1049="","",IF($L1049="","New item",IF($L1049&gt;0,"UP",IF($L1049&lt;0,"down","same"))))</f>
        <v/>
      </c>
    </row>
    <row r="1050">
      <c r="A1050" s="11">
        <f>IF('Data Entry'!A1050="","",'Data Entry'!A1050)</f>
        <v/>
      </c>
      <c r="B1050" s="12">
        <f>IF('Data Entry'!A1050="","",'Data Entry'!B1050)</f>
        <v/>
      </c>
      <c r="C1050" s="12">
        <f>IF('Data Entry'!A1050="","",'Data Entry'!C1050)</f>
        <v/>
      </c>
      <c r="D1050" s="12">
        <f>IF('Data Entry'!A1050="","",'Data Entry'!D1050)</f>
        <v/>
      </c>
      <c r="E1050" s="12">
        <f>IF('Data Entry'!A1050="","",'Data Entry'!E1050)</f>
        <v/>
      </c>
      <c r="F1050" s="12">
        <f>IF('Data Entry'!A1050="","",'Data Entry'!F1050)</f>
        <v/>
      </c>
      <c r="G1050" s="13">
        <f>IF('Data Entry'!A1050="","",'Data Entry'!G1050)</f>
        <v/>
      </c>
      <c r="H1050" s="10">
        <f>IF('Data Entry'!A1050="","",'Data Entry'!H1050)</f>
        <v/>
      </c>
      <c r="I1050" s="10">
        <f>IF('Data Entry'!A1050="","",'Data Entry'!I1050)</f>
        <v/>
      </c>
      <c r="J1050" s="12">
        <f>IF('Data Entry'!A1050="","",IF('Data Entry'!D1050&lt;&gt;"",'Data Entry'!D1050,'Data Entry'!E1050))</f>
        <v/>
      </c>
      <c r="K1050" s="10">
        <f>IF('Data Entry'!A1050="","",IFERROR(SUMIFS($H$5:$H$2001,$J$5:$J$2001,$J1050,$B$5:$B$2001,$B1050,$A$5:$A$2001,(MAXIFS($A$5:$A$2001,$J$5:$J$2001,$J1050,$B$5:$B$2001,$B1050,$A$5:$A$2001,"&lt;"&amp;$A1050))),""))</f>
        <v/>
      </c>
      <c r="L1050" s="14">
        <f>IF(OR('Data Entry'!A1050="",$K1050=""),"",$H1050-$K1050)</f>
        <v/>
      </c>
      <c r="M1050" s="15">
        <f>IF(OR('Data Entry'!A1050="",$K1050="",$K1050=0),"",$L1050/$K1050)</f>
        <v/>
      </c>
      <c r="N1050" s="12">
        <f>IF('Data Entry'!A1050="","",IF($L1050="","New item",IF($L1050&gt;0,"UP",IF($L1050&lt;0,"down","same"))))</f>
        <v/>
      </c>
    </row>
    <row r="1051">
      <c r="A1051" s="11">
        <f>IF('Data Entry'!A1051="","",'Data Entry'!A1051)</f>
        <v/>
      </c>
      <c r="B1051" s="12">
        <f>IF('Data Entry'!A1051="","",'Data Entry'!B1051)</f>
        <v/>
      </c>
      <c r="C1051" s="12">
        <f>IF('Data Entry'!A1051="","",'Data Entry'!C1051)</f>
        <v/>
      </c>
      <c r="D1051" s="12">
        <f>IF('Data Entry'!A1051="","",'Data Entry'!D1051)</f>
        <v/>
      </c>
      <c r="E1051" s="12">
        <f>IF('Data Entry'!A1051="","",'Data Entry'!E1051)</f>
        <v/>
      </c>
      <c r="F1051" s="12">
        <f>IF('Data Entry'!A1051="","",'Data Entry'!F1051)</f>
        <v/>
      </c>
      <c r="G1051" s="13">
        <f>IF('Data Entry'!A1051="","",'Data Entry'!G1051)</f>
        <v/>
      </c>
      <c r="H1051" s="10">
        <f>IF('Data Entry'!A1051="","",'Data Entry'!H1051)</f>
        <v/>
      </c>
      <c r="I1051" s="10">
        <f>IF('Data Entry'!A1051="","",'Data Entry'!I1051)</f>
        <v/>
      </c>
      <c r="J1051" s="12">
        <f>IF('Data Entry'!A1051="","",IF('Data Entry'!D1051&lt;&gt;"",'Data Entry'!D1051,'Data Entry'!E1051))</f>
        <v/>
      </c>
      <c r="K1051" s="10">
        <f>IF('Data Entry'!A1051="","",IFERROR(SUMIFS($H$5:$H$2001,$J$5:$J$2001,$J1051,$B$5:$B$2001,$B1051,$A$5:$A$2001,(MAXIFS($A$5:$A$2001,$J$5:$J$2001,$J1051,$B$5:$B$2001,$B1051,$A$5:$A$2001,"&lt;"&amp;$A1051))),""))</f>
        <v/>
      </c>
      <c r="L1051" s="14">
        <f>IF(OR('Data Entry'!A1051="",$K1051=""),"",$H1051-$K1051)</f>
        <v/>
      </c>
      <c r="M1051" s="15">
        <f>IF(OR('Data Entry'!A1051="",$K1051="",$K1051=0),"",$L1051/$K1051)</f>
        <v/>
      </c>
      <c r="N1051" s="12">
        <f>IF('Data Entry'!A1051="","",IF($L1051="","New item",IF($L1051&gt;0,"UP",IF($L1051&lt;0,"down","same"))))</f>
        <v/>
      </c>
    </row>
    <row r="1052">
      <c r="A1052" s="11">
        <f>IF('Data Entry'!A1052="","",'Data Entry'!A1052)</f>
        <v/>
      </c>
      <c r="B1052" s="12">
        <f>IF('Data Entry'!A1052="","",'Data Entry'!B1052)</f>
        <v/>
      </c>
      <c r="C1052" s="12">
        <f>IF('Data Entry'!A1052="","",'Data Entry'!C1052)</f>
        <v/>
      </c>
      <c r="D1052" s="12">
        <f>IF('Data Entry'!A1052="","",'Data Entry'!D1052)</f>
        <v/>
      </c>
      <c r="E1052" s="12">
        <f>IF('Data Entry'!A1052="","",'Data Entry'!E1052)</f>
        <v/>
      </c>
      <c r="F1052" s="12">
        <f>IF('Data Entry'!A1052="","",'Data Entry'!F1052)</f>
        <v/>
      </c>
      <c r="G1052" s="13">
        <f>IF('Data Entry'!A1052="","",'Data Entry'!G1052)</f>
        <v/>
      </c>
      <c r="H1052" s="10">
        <f>IF('Data Entry'!A1052="","",'Data Entry'!H1052)</f>
        <v/>
      </c>
      <c r="I1052" s="10">
        <f>IF('Data Entry'!A1052="","",'Data Entry'!I1052)</f>
        <v/>
      </c>
      <c r="J1052" s="12">
        <f>IF('Data Entry'!A1052="","",IF('Data Entry'!D1052&lt;&gt;"",'Data Entry'!D1052,'Data Entry'!E1052))</f>
        <v/>
      </c>
      <c r="K1052" s="10">
        <f>IF('Data Entry'!A1052="","",IFERROR(SUMIFS($H$5:$H$2001,$J$5:$J$2001,$J1052,$B$5:$B$2001,$B1052,$A$5:$A$2001,(MAXIFS($A$5:$A$2001,$J$5:$J$2001,$J1052,$B$5:$B$2001,$B1052,$A$5:$A$2001,"&lt;"&amp;$A1052))),""))</f>
        <v/>
      </c>
      <c r="L1052" s="14">
        <f>IF(OR('Data Entry'!A1052="",$K1052=""),"",$H1052-$K1052)</f>
        <v/>
      </c>
      <c r="M1052" s="15">
        <f>IF(OR('Data Entry'!A1052="",$K1052="",$K1052=0),"",$L1052/$K1052)</f>
        <v/>
      </c>
      <c r="N1052" s="12">
        <f>IF('Data Entry'!A1052="","",IF($L1052="","New item",IF($L1052&gt;0,"UP",IF($L1052&lt;0,"down","same"))))</f>
        <v/>
      </c>
    </row>
    <row r="1053">
      <c r="A1053" s="11">
        <f>IF('Data Entry'!A1053="","",'Data Entry'!A1053)</f>
        <v/>
      </c>
      <c r="B1053" s="12">
        <f>IF('Data Entry'!A1053="","",'Data Entry'!B1053)</f>
        <v/>
      </c>
      <c r="C1053" s="12">
        <f>IF('Data Entry'!A1053="","",'Data Entry'!C1053)</f>
        <v/>
      </c>
      <c r="D1053" s="12">
        <f>IF('Data Entry'!A1053="","",'Data Entry'!D1053)</f>
        <v/>
      </c>
      <c r="E1053" s="12">
        <f>IF('Data Entry'!A1053="","",'Data Entry'!E1053)</f>
        <v/>
      </c>
      <c r="F1053" s="12">
        <f>IF('Data Entry'!A1053="","",'Data Entry'!F1053)</f>
        <v/>
      </c>
      <c r="G1053" s="13">
        <f>IF('Data Entry'!A1053="","",'Data Entry'!G1053)</f>
        <v/>
      </c>
      <c r="H1053" s="10">
        <f>IF('Data Entry'!A1053="","",'Data Entry'!H1053)</f>
        <v/>
      </c>
      <c r="I1053" s="10">
        <f>IF('Data Entry'!A1053="","",'Data Entry'!I1053)</f>
        <v/>
      </c>
      <c r="J1053" s="12">
        <f>IF('Data Entry'!A1053="","",IF('Data Entry'!D1053&lt;&gt;"",'Data Entry'!D1053,'Data Entry'!E1053))</f>
        <v/>
      </c>
      <c r="K1053" s="10">
        <f>IF('Data Entry'!A1053="","",IFERROR(SUMIFS($H$5:$H$2001,$J$5:$J$2001,$J1053,$B$5:$B$2001,$B1053,$A$5:$A$2001,(MAXIFS($A$5:$A$2001,$J$5:$J$2001,$J1053,$B$5:$B$2001,$B1053,$A$5:$A$2001,"&lt;"&amp;$A1053))),""))</f>
        <v/>
      </c>
      <c r="L1053" s="14">
        <f>IF(OR('Data Entry'!A1053="",$K1053=""),"",$H1053-$K1053)</f>
        <v/>
      </c>
      <c r="M1053" s="15">
        <f>IF(OR('Data Entry'!A1053="",$K1053="",$K1053=0),"",$L1053/$K1053)</f>
        <v/>
      </c>
      <c r="N1053" s="12">
        <f>IF('Data Entry'!A1053="","",IF($L1053="","New item",IF($L1053&gt;0,"UP",IF($L1053&lt;0,"down","same"))))</f>
        <v/>
      </c>
    </row>
    <row r="1054">
      <c r="A1054" s="11">
        <f>IF('Data Entry'!A1054="","",'Data Entry'!A1054)</f>
        <v/>
      </c>
      <c r="B1054" s="12">
        <f>IF('Data Entry'!A1054="","",'Data Entry'!B1054)</f>
        <v/>
      </c>
      <c r="C1054" s="12">
        <f>IF('Data Entry'!A1054="","",'Data Entry'!C1054)</f>
        <v/>
      </c>
      <c r="D1054" s="12">
        <f>IF('Data Entry'!A1054="","",'Data Entry'!D1054)</f>
        <v/>
      </c>
      <c r="E1054" s="12">
        <f>IF('Data Entry'!A1054="","",'Data Entry'!E1054)</f>
        <v/>
      </c>
      <c r="F1054" s="12">
        <f>IF('Data Entry'!A1054="","",'Data Entry'!F1054)</f>
        <v/>
      </c>
      <c r="G1054" s="13">
        <f>IF('Data Entry'!A1054="","",'Data Entry'!G1054)</f>
        <v/>
      </c>
      <c r="H1054" s="10">
        <f>IF('Data Entry'!A1054="","",'Data Entry'!H1054)</f>
        <v/>
      </c>
      <c r="I1054" s="10">
        <f>IF('Data Entry'!A1054="","",'Data Entry'!I1054)</f>
        <v/>
      </c>
      <c r="J1054" s="12">
        <f>IF('Data Entry'!A1054="","",IF('Data Entry'!D1054&lt;&gt;"",'Data Entry'!D1054,'Data Entry'!E1054))</f>
        <v/>
      </c>
      <c r="K1054" s="10">
        <f>IF('Data Entry'!A1054="","",IFERROR(SUMIFS($H$5:$H$2001,$J$5:$J$2001,$J1054,$B$5:$B$2001,$B1054,$A$5:$A$2001,(MAXIFS($A$5:$A$2001,$J$5:$J$2001,$J1054,$B$5:$B$2001,$B1054,$A$5:$A$2001,"&lt;"&amp;$A1054))),""))</f>
        <v/>
      </c>
      <c r="L1054" s="14">
        <f>IF(OR('Data Entry'!A1054="",$K1054=""),"",$H1054-$K1054)</f>
        <v/>
      </c>
      <c r="M1054" s="15">
        <f>IF(OR('Data Entry'!A1054="",$K1054="",$K1054=0),"",$L1054/$K1054)</f>
        <v/>
      </c>
      <c r="N1054" s="12">
        <f>IF('Data Entry'!A1054="","",IF($L1054="","New item",IF($L1054&gt;0,"UP",IF($L1054&lt;0,"down","same"))))</f>
        <v/>
      </c>
    </row>
    <row r="1055">
      <c r="A1055" s="11">
        <f>IF('Data Entry'!A1055="","",'Data Entry'!A1055)</f>
        <v/>
      </c>
      <c r="B1055" s="12">
        <f>IF('Data Entry'!A1055="","",'Data Entry'!B1055)</f>
        <v/>
      </c>
      <c r="C1055" s="12">
        <f>IF('Data Entry'!A1055="","",'Data Entry'!C1055)</f>
        <v/>
      </c>
      <c r="D1055" s="12">
        <f>IF('Data Entry'!A1055="","",'Data Entry'!D1055)</f>
        <v/>
      </c>
      <c r="E1055" s="12">
        <f>IF('Data Entry'!A1055="","",'Data Entry'!E1055)</f>
        <v/>
      </c>
      <c r="F1055" s="12">
        <f>IF('Data Entry'!A1055="","",'Data Entry'!F1055)</f>
        <v/>
      </c>
      <c r="G1055" s="13">
        <f>IF('Data Entry'!A1055="","",'Data Entry'!G1055)</f>
        <v/>
      </c>
      <c r="H1055" s="10">
        <f>IF('Data Entry'!A1055="","",'Data Entry'!H1055)</f>
        <v/>
      </c>
      <c r="I1055" s="10">
        <f>IF('Data Entry'!A1055="","",'Data Entry'!I1055)</f>
        <v/>
      </c>
      <c r="J1055" s="12">
        <f>IF('Data Entry'!A1055="","",IF('Data Entry'!D1055&lt;&gt;"",'Data Entry'!D1055,'Data Entry'!E1055))</f>
        <v/>
      </c>
      <c r="K1055" s="10">
        <f>IF('Data Entry'!A1055="","",IFERROR(SUMIFS($H$5:$H$2001,$J$5:$J$2001,$J1055,$B$5:$B$2001,$B1055,$A$5:$A$2001,(MAXIFS($A$5:$A$2001,$J$5:$J$2001,$J1055,$B$5:$B$2001,$B1055,$A$5:$A$2001,"&lt;"&amp;$A1055))),""))</f>
        <v/>
      </c>
      <c r="L1055" s="14">
        <f>IF(OR('Data Entry'!A1055="",$K1055=""),"",$H1055-$K1055)</f>
        <v/>
      </c>
      <c r="M1055" s="15">
        <f>IF(OR('Data Entry'!A1055="",$K1055="",$K1055=0),"",$L1055/$K1055)</f>
        <v/>
      </c>
      <c r="N1055" s="12">
        <f>IF('Data Entry'!A1055="","",IF($L1055="","New item",IF($L1055&gt;0,"UP",IF($L1055&lt;0,"down","same"))))</f>
        <v/>
      </c>
    </row>
    <row r="1056">
      <c r="A1056" s="11">
        <f>IF('Data Entry'!A1056="","",'Data Entry'!A1056)</f>
        <v/>
      </c>
      <c r="B1056" s="12">
        <f>IF('Data Entry'!A1056="","",'Data Entry'!B1056)</f>
        <v/>
      </c>
      <c r="C1056" s="12">
        <f>IF('Data Entry'!A1056="","",'Data Entry'!C1056)</f>
        <v/>
      </c>
      <c r="D1056" s="12">
        <f>IF('Data Entry'!A1056="","",'Data Entry'!D1056)</f>
        <v/>
      </c>
      <c r="E1056" s="12">
        <f>IF('Data Entry'!A1056="","",'Data Entry'!E1056)</f>
        <v/>
      </c>
      <c r="F1056" s="12">
        <f>IF('Data Entry'!A1056="","",'Data Entry'!F1056)</f>
        <v/>
      </c>
      <c r="G1056" s="13">
        <f>IF('Data Entry'!A1056="","",'Data Entry'!G1056)</f>
        <v/>
      </c>
      <c r="H1056" s="10">
        <f>IF('Data Entry'!A1056="","",'Data Entry'!H1056)</f>
        <v/>
      </c>
      <c r="I1056" s="10">
        <f>IF('Data Entry'!A1056="","",'Data Entry'!I1056)</f>
        <v/>
      </c>
      <c r="J1056" s="12">
        <f>IF('Data Entry'!A1056="","",IF('Data Entry'!D1056&lt;&gt;"",'Data Entry'!D1056,'Data Entry'!E1056))</f>
        <v/>
      </c>
      <c r="K1056" s="10">
        <f>IF('Data Entry'!A1056="","",IFERROR(SUMIFS($H$5:$H$2001,$J$5:$J$2001,$J1056,$B$5:$B$2001,$B1056,$A$5:$A$2001,(MAXIFS($A$5:$A$2001,$J$5:$J$2001,$J1056,$B$5:$B$2001,$B1056,$A$5:$A$2001,"&lt;"&amp;$A1056))),""))</f>
        <v/>
      </c>
      <c r="L1056" s="14">
        <f>IF(OR('Data Entry'!A1056="",$K1056=""),"",$H1056-$K1056)</f>
        <v/>
      </c>
      <c r="M1056" s="15">
        <f>IF(OR('Data Entry'!A1056="",$K1056="",$K1056=0),"",$L1056/$K1056)</f>
        <v/>
      </c>
      <c r="N1056" s="12">
        <f>IF('Data Entry'!A1056="","",IF($L1056="","New item",IF($L1056&gt;0,"UP",IF($L1056&lt;0,"down","same"))))</f>
        <v/>
      </c>
    </row>
    <row r="1057">
      <c r="A1057" s="11">
        <f>IF('Data Entry'!A1057="","",'Data Entry'!A1057)</f>
        <v/>
      </c>
      <c r="B1057" s="12">
        <f>IF('Data Entry'!A1057="","",'Data Entry'!B1057)</f>
        <v/>
      </c>
      <c r="C1057" s="12">
        <f>IF('Data Entry'!A1057="","",'Data Entry'!C1057)</f>
        <v/>
      </c>
      <c r="D1057" s="12">
        <f>IF('Data Entry'!A1057="","",'Data Entry'!D1057)</f>
        <v/>
      </c>
      <c r="E1057" s="12">
        <f>IF('Data Entry'!A1057="","",'Data Entry'!E1057)</f>
        <v/>
      </c>
      <c r="F1057" s="12">
        <f>IF('Data Entry'!A1057="","",'Data Entry'!F1057)</f>
        <v/>
      </c>
      <c r="G1057" s="13">
        <f>IF('Data Entry'!A1057="","",'Data Entry'!G1057)</f>
        <v/>
      </c>
      <c r="H1057" s="10">
        <f>IF('Data Entry'!A1057="","",'Data Entry'!H1057)</f>
        <v/>
      </c>
      <c r="I1057" s="10">
        <f>IF('Data Entry'!A1057="","",'Data Entry'!I1057)</f>
        <v/>
      </c>
      <c r="J1057" s="12">
        <f>IF('Data Entry'!A1057="","",IF('Data Entry'!D1057&lt;&gt;"",'Data Entry'!D1057,'Data Entry'!E1057))</f>
        <v/>
      </c>
      <c r="K1057" s="10">
        <f>IF('Data Entry'!A1057="","",IFERROR(SUMIFS($H$5:$H$2001,$J$5:$J$2001,$J1057,$B$5:$B$2001,$B1057,$A$5:$A$2001,(MAXIFS($A$5:$A$2001,$J$5:$J$2001,$J1057,$B$5:$B$2001,$B1057,$A$5:$A$2001,"&lt;"&amp;$A1057))),""))</f>
        <v/>
      </c>
      <c r="L1057" s="14">
        <f>IF(OR('Data Entry'!A1057="",$K1057=""),"",$H1057-$K1057)</f>
        <v/>
      </c>
      <c r="M1057" s="15">
        <f>IF(OR('Data Entry'!A1057="",$K1057="",$K1057=0),"",$L1057/$K1057)</f>
        <v/>
      </c>
      <c r="N1057" s="12">
        <f>IF('Data Entry'!A1057="","",IF($L1057="","New item",IF($L1057&gt;0,"UP",IF($L1057&lt;0,"down","same"))))</f>
        <v/>
      </c>
    </row>
    <row r="1058">
      <c r="A1058" s="11">
        <f>IF('Data Entry'!A1058="","",'Data Entry'!A1058)</f>
        <v/>
      </c>
      <c r="B1058" s="12">
        <f>IF('Data Entry'!A1058="","",'Data Entry'!B1058)</f>
        <v/>
      </c>
      <c r="C1058" s="12">
        <f>IF('Data Entry'!A1058="","",'Data Entry'!C1058)</f>
        <v/>
      </c>
      <c r="D1058" s="12">
        <f>IF('Data Entry'!A1058="","",'Data Entry'!D1058)</f>
        <v/>
      </c>
      <c r="E1058" s="12">
        <f>IF('Data Entry'!A1058="","",'Data Entry'!E1058)</f>
        <v/>
      </c>
      <c r="F1058" s="12">
        <f>IF('Data Entry'!A1058="","",'Data Entry'!F1058)</f>
        <v/>
      </c>
      <c r="G1058" s="13">
        <f>IF('Data Entry'!A1058="","",'Data Entry'!G1058)</f>
        <v/>
      </c>
      <c r="H1058" s="10">
        <f>IF('Data Entry'!A1058="","",'Data Entry'!H1058)</f>
        <v/>
      </c>
      <c r="I1058" s="10">
        <f>IF('Data Entry'!A1058="","",'Data Entry'!I1058)</f>
        <v/>
      </c>
      <c r="J1058" s="12">
        <f>IF('Data Entry'!A1058="","",IF('Data Entry'!D1058&lt;&gt;"",'Data Entry'!D1058,'Data Entry'!E1058))</f>
        <v/>
      </c>
      <c r="K1058" s="10">
        <f>IF('Data Entry'!A1058="","",IFERROR(SUMIFS($H$5:$H$2001,$J$5:$J$2001,$J1058,$B$5:$B$2001,$B1058,$A$5:$A$2001,(MAXIFS($A$5:$A$2001,$J$5:$J$2001,$J1058,$B$5:$B$2001,$B1058,$A$5:$A$2001,"&lt;"&amp;$A1058))),""))</f>
        <v/>
      </c>
      <c r="L1058" s="14">
        <f>IF(OR('Data Entry'!A1058="",$K1058=""),"",$H1058-$K1058)</f>
        <v/>
      </c>
      <c r="M1058" s="15">
        <f>IF(OR('Data Entry'!A1058="",$K1058="",$K1058=0),"",$L1058/$K1058)</f>
        <v/>
      </c>
      <c r="N1058" s="12">
        <f>IF('Data Entry'!A1058="","",IF($L1058="","New item",IF($L1058&gt;0,"UP",IF($L1058&lt;0,"down","same"))))</f>
        <v/>
      </c>
    </row>
    <row r="1059">
      <c r="A1059" s="11">
        <f>IF('Data Entry'!A1059="","",'Data Entry'!A1059)</f>
        <v/>
      </c>
      <c r="B1059" s="12">
        <f>IF('Data Entry'!A1059="","",'Data Entry'!B1059)</f>
        <v/>
      </c>
      <c r="C1059" s="12">
        <f>IF('Data Entry'!A1059="","",'Data Entry'!C1059)</f>
        <v/>
      </c>
      <c r="D1059" s="12">
        <f>IF('Data Entry'!A1059="","",'Data Entry'!D1059)</f>
        <v/>
      </c>
      <c r="E1059" s="12">
        <f>IF('Data Entry'!A1059="","",'Data Entry'!E1059)</f>
        <v/>
      </c>
      <c r="F1059" s="12">
        <f>IF('Data Entry'!A1059="","",'Data Entry'!F1059)</f>
        <v/>
      </c>
      <c r="G1059" s="13">
        <f>IF('Data Entry'!A1059="","",'Data Entry'!G1059)</f>
        <v/>
      </c>
      <c r="H1059" s="10">
        <f>IF('Data Entry'!A1059="","",'Data Entry'!H1059)</f>
        <v/>
      </c>
      <c r="I1059" s="10">
        <f>IF('Data Entry'!A1059="","",'Data Entry'!I1059)</f>
        <v/>
      </c>
      <c r="J1059" s="12">
        <f>IF('Data Entry'!A1059="","",IF('Data Entry'!D1059&lt;&gt;"",'Data Entry'!D1059,'Data Entry'!E1059))</f>
        <v/>
      </c>
      <c r="K1059" s="10">
        <f>IF('Data Entry'!A1059="","",IFERROR(SUMIFS($H$5:$H$2001,$J$5:$J$2001,$J1059,$B$5:$B$2001,$B1059,$A$5:$A$2001,(MAXIFS($A$5:$A$2001,$J$5:$J$2001,$J1059,$B$5:$B$2001,$B1059,$A$5:$A$2001,"&lt;"&amp;$A1059))),""))</f>
        <v/>
      </c>
      <c r="L1059" s="14">
        <f>IF(OR('Data Entry'!A1059="",$K1059=""),"",$H1059-$K1059)</f>
        <v/>
      </c>
      <c r="M1059" s="15">
        <f>IF(OR('Data Entry'!A1059="",$K1059="",$K1059=0),"",$L1059/$K1059)</f>
        <v/>
      </c>
      <c r="N1059" s="12">
        <f>IF('Data Entry'!A1059="","",IF($L1059="","New item",IF($L1059&gt;0,"UP",IF($L1059&lt;0,"down","same"))))</f>
        <v/>
      </c>
    </row>
    <row r="1060">
      <c r="A1060" s="11">
        <f>IF('Data Entry'!A1060="","",'Data Entry'!A1060)</f>
        <v/>
      </c>
      <c r="B1060" s="12">
        <f>IF('Data Entry'!A1060="","",'Data Entry'!B1060)</f>
        <v/>
      </c>
      <c r="C1060" s="12">
        <f>IF('Data Entry'!A1060="","",'Data Entry'!C1060)</f>
        <v/>
      </c>
      <c r="D1060" s="12">
        <f>IF('Data Entry'!A1060="","",'Data Entry'!D1060)</f>
        <v/>
      </c>
      <c r="E1060" s="12">
        <f>IF('Data Entry'!A1060="","",'Data Entry'!E1060)</f>
        <v/>
      </c>
      <c r="F1060" s="12">
        <f>IF('Data Entry'!A1060="","",'Data Entry'!F1060)</f>
        <v/>
      </c>
      <c r="G1060" s="13">
        <f>IF('Data Entry'!A1060="","",'Data Entry'!G1060)</f>
        <v/>
      </c>
      <c r="H1060" s="10">
        <f>IF('Data Entry'!A1060="","",'Data Entry'!H1060)</f>
        <v/>
      </c>
      <c r="I1060" s="10">
        <f>IF('Data Entry'!A1060="","",'Data Entry'!I1060)</f>
        <v/>
      </c>
      <c r="J1060" s="12">
        <f>IF('Data Entry'!A1060="","",IF('Data Entry'!D1060&lt;&gt;"",'Data Entry'!D1060,'Data Entry'!E1060))</f>
        <v/>
      </c>
      <c r="K1060" s="10">
        <f>IF('Data Entry'!A1060="","",IFERROR(SUMIFS($H$5:$H$2001,$J$5:$J$2001,$J1060,$B$5:$B$2001,$B1060,$A$5:$A$2001,(MAXIFS($A$5:$A$2001,$J$5:$J$2001,$J1060,$B$5:$B$2001,$B1060,$A$5:$A$2001,"&lt;"&amp;$A1060))),""))</f>
        <v/>
      </c>
      <c r="L1060" s="14">
        <f>IF(OR('Data Entry'!A1060="",$K1060=""),"",$H1060-$K1060)</f>
        <v/>
      </c>
      <c r="M1060" s="15">
        <f>IF(OR('Data Entry'!A1060="",$K1060="",$K1060=0),"",$L1060/$K1060)</f>
        <v/>
      </c>
      <c r="N1060" s="12">
        <f>IF('Data Entry'!A1060="","",IF($L1060="","New item",IF($L1060&gt;0,"UP",IF($L1060&lt;0,"down","same"))))</f>
        <v/>
      </c>
    </row>
    <row r="1061">
      <c r="A1061" s="11">
        <f>IF('Data Entry'!A1061="","",'Data Entry'!A1061)</f>
        <v/>
      </c>
      <c r="B1061" s="12">
        <f>IF('Data Entry'!A1061="","",'Data Entry'!B1061)</f>
        <v/>
      </c>
      <c r="C1061" s="12">
        <f>IF('Data Entry'!A1061="","",'Data Entry'!C1061)</f>
        <v/>
      </c>
      <c r="D1061" s="12">
        <f>IF('Data Entry'!A1061="","",'Data Entry'!D1061)</f>
        <v/>
      </c>
      <c r="E1061" s="12">
        <f>IF('Data Entry'!A1061="","",'Data Entry'!E1061)</f>
        <v/>
      </c>
      <c r="F1061" s="12">
        <f>IF('Data Entry'!A1061="","",'Data Entry'!F1061)</f>
        <v/>
      </c>
      <c r="G1061" s="13">
        <f>IF('Data Entry'!A1061="","",'Data Entry'!G1061)</f>
        <v/>
      </c>
      <c r="H1061" s="10">
        <f>IF('Data Entry'!A1061="","",'Data Entry'!H1061)</f>
        <v/>
      </c>
      <c r="I1061" s="10">
        <f>IF('Data Entry'!A1061="","",'Data Entry'!I1061)</f>
        <v/>
      </c>
      <c r="J1061" s="12">
        <f>IF('Data Entry'!A1061="","",IF('Data Entry'!D1061&lt;&gt;"",'Data Entry'!D1061,'Data Entry'!E1061))</f>
        <v/>
      </c>
      <c r="K1061" s="10">
        <f>IF('Data Entry'!A1061="","",IFERROR(SUMIFS($H$5:$H$2001,$J$5:$J$2001,$J1061,$B$5:$B$2001,$B1061,$A$5:$A$2001,(MAXIFS($A$5:$A$2001,$J$5:$J$2001,$J1061,$B$5:$B$2001,$B1061,$A$5:$A$2001,"&lt;"&amp;$A1061))),""))</f>
        <v/>
      </c>
      <c r="L1061" s="14">
        <f>IF(OR('Data Entry'!A1061="",$K1061=""),"",$H1061-$K1061)</f>
        <v/>
      </c>
      <c r="M1061" s="15">
        <f>IF(OR('Data Entry'!A1061="",$K1061="",$K1061=0),"",$L1061/$K1061)</f>
        <v/>
      </c>
      <c r="N1061" s="12">
        <f>IF('Data Entry'!A1061="","",IF($L1061="","New item",IF($L1061&gt;0,"UP",IF($L1061&lt;0,"down","same"))))</f>
        <v/>
      </c>
    </row>
    <row r="1062">
      <c r="A1062" s="11">
        <f>IF('Data Entry'!A1062="","",'Data Entry'!A1062)</f>
        <v/>
      </c>
      <c r="B1062" s="12">
        <f>IF('Data Entry'!A1062="","",'Data Entry'!B1062)</f>
        <v/>
      </c>
      <c r="C1062" s="12">
        <f>IF('Data Entry'!A1062="","",'Data Entry'!C1062)</f>
        <v/>
      </c>
      <c r="D1062" s="12">
        <f>IF('Data Entry'!A1062="","",'Data Entry'!D1062)</f>
        <v/>
      </c>
      <c r="E1062" s="12">
        <f>IF('Data Entry'!A1062="","",'Data Entry'!E1062)</f>
        <v/>
      </c>
      <c r="F1062" s="12">
        <f>IF('Data Entry'!A1062="","",'Data Entry'!F1062)</f>
        <v/>
      </c>
      <c r="G1062" s="13">
        <f>IF('Data Entry'!A1062="","",'Data Entry'!G1062)</f>
        <v/>
      </c>
      <c r="H1062" s="10">
        <f>IF('Data Entry'!A1062="","",'Data Entry'!H1062)</f>
        <v/>
      </c>
      <c r="I1062" s="10">
        <f>IF('Data Entry'!A1062="","",'Data Entry'!I1062)</f>
        <v/>
      </c>
      <c r="J1062" s="12">
        <f>IF('Data Entry'!A1062="","",IF('Data Entry'!D1062&lt;&gt;"",'Data Entry'!D1062,'Data Entry'!E1062))</f>
        <v/>
      </c>
      <c r="K1062" s="10">
        <f>IF('Data Entry'!A1062="","",IFERROR(SUMIFS($H$5:$H$2001,$J$5:$J$2001,$J1062,$B$5:$B$2001,$B1062,$A$5:$A$2001,(MAXIFS($A$5:$A$2001,$J$5:$J$2001,$J1062,$B$5:$B$2001,$B1062,$A$5:$A$2001,"&lt;"&amp;$A1062))),""))</f>
        <v/>
      </c>
      <c r="L1062" s="14">
        <f>IF(OR('Data Entry'!A1062="",$K1062=""),"",$H1062-$K1062)</f>
        <v/>
      </c>
      <c r="M1062" s="15">
        <f>IF(OR('Data Entry'!A1062="",$K1062="",$K1062=0),"",$L1062/$K1062)</f>
        <v/>
      </c>
      <c r="N1062" s="12">
        <f>IF('Data Entry'!A1062="","",IF($L1062="","New item",IF($L1062&gt;0,"UP",IF($L1062&lt;0,"down","same"))))</f>
        <v/>
      </c>
    </row>
    <row r="1063">
      <c r="A1063" s="11">
        <f>IF('Data Entry'!A1063="","",'Data Entry'!A1063)</f>
        <v/>
      </c>
      <c r="B1063" s="12">
        <f>IF('Data Entry'!A1063="","",'Data Entry'!B1063)</f>
        <v/>
      </c>
      <c r="C1063" s="12">
        <f>IF('Data Entry'!A1063="","",'Data Entry'!C1063)</f>
        <v/>
      </c>
      <c r="D1063" s="12">
        <f>IF('Data Entry'!A1063="","",'Data Entry'!D1063)</f>
        <v/>
      </c>
      <c r="E1063" s="12">
        <f>IF('Data Entry'!A1063="","",'Data Entry'!E1063)</f>
        <v/>
      </c>
      <c r="F1063" s="12">
        <f>IF('Data Entry'!A1063="","",'Data Entry'!F1063)</f>
        <v/>
      </c>
      <c r="G1063" s="13">
        <f>IF('Data Entry'!A1063="","",'Data Entry'!G1063)</f>
        <v/>
      </c>
      <c r="H1063" s="10">
        <f>IF('Data Entry'!A1063="","",'Data Entry'!H1063)</f>
        <v/>
      </c>
      <c r="I1063" s="10">
        <f>IF('Data Entry'!A1063="","",'Data Entry'!I1063)</f>
        <v/>
      </c>
      <c r="J1063" s="12">
        <f>IF('Data Entry'!A1063="","",IF('Data Entry'!D1063&lt;&gt;"",'Data Entry'!D1063,'Data Entry'!E1063))</f>
        <v/>
      </c>
      <c r="K1063" s="10">
        <f>IF('Data Entry'!A1063="","",IFERROR(SUMIFS($H$5:$H$2001,$J$5:$J$2001,$J1063,$B$5:$B$2001,$B1063,$A$5:$A$2001,(MAXIFS($A$5:$A$2001,$J$5:$J$2001,$J1063,$B$5:$B$2001,$B1063,$A$5:$A$2001,"&lt;"&amp;$A1063))),""))</f>
        <v/>
      </c>
      <c r="L1063" s="14">
        <f>IF(OR('Data Entry'!A1063="",$K1063=""),"",$H1063-$K1063)</f>
        <v/>
      </c>
      <c r="M1063" s="15">
        <f>IF(OR('Data Entry'!A1063="",$K1063="",$K1063=0),"",$L1063/$K1063)</f>
        <v/>
      </c>
      <c r="N1063" s="12">
        <f>IF('Data Entry'!A1063="","",IF($L1063="","New item",IF($L1063&gt;0,"UP",IF($L1063&lt;0,"down","same"))))</f>
        <v/>
      </c>
    </row>
    <row r="1064">
      <c r="A1064" s="11">
        <f>IF('Data Entry'!A1064="","",'Data Entry'!A1064)</f>
        <v/>
      </c>
      <c r="B1064" s="12">
        <f>IF('Data Entry'!A1064="","",'Data Entry'!B1064)</f>
        <v/>
      </c>
      <c r="C1064" s="12">
        <f>IF('Data Entry'!A1064="","",'Data Entry'!C1064)</f>
        <v/>
      </c>
      <c r="D1064" s="12">
        <f>IF('Data Entry'!A1064="","",'Data Entry'!D1064)</f>
        <v/>
      </c>
      <c r="E1064" s="12">
        <f>IF('Data Entry'!A1064="","",'Data Entry'!E1064)</f>
        <v/>
      </c>
      <c r="F1064" s="12">
        <f>IF('Data Entry'!A1064="","",'Data Entry'!F1064)</f>
        <v/>
      </c>
      <c r="G1064" s="13">
        <f>IF('Data Entry'!A1064="","",'Data Entry'!G1064)</f>
        <v/>
      </c>
      <c r="H1064" s="10">
        <f>IF('Data Entry'!A1064="","",'Data Entry'!H1064)</f>
        <v/>
      </c>
      <c r="I1064" s="10">
        <f>IF('Data Entry'!A1064="","",'Data Entry'!I1064)</f>
        <v/>
      </c>
      <c r="J1064" s="12">
        <f>IF('Data Entry'!A1064="","",IF('Data Entry'!D1064&lt;&gt;"",'Data Entry'!D1064,'Data Entry'!E1064))</f>
        <v/>
      </c>
      <c r="K1064" s="10">
        <f>IF('Data Entry'!A1064="","",IFERROR(SUMIFS($H$5:$H$2001,$J$5:$J$2001,$J1064,$B$5:$B$2001,$B1064,$A$5:$A$2001,(MAXIFS($A$5:$A$2001,$J$5:$J$2001,$J1064,$B$5:$B$2001,$B1064,$A$5:$A$2001,"&lt;"&amp;$A1064))),""))</f>
        <v/>
      </c>
      <c r="L1064" s="14">
        <f>IF(OR('Data Entry'!A1064="",$K1064=""),"",$H1064-$K1064)</f>
        <v/>
      </c>
      <c r="M1064" s="15">
        <f>IF(OR('Data Entry'!A1064="",$K1064="",$K1064=0),"",$L1064/$K1064)</f>
        <v/>
      </c>
      <c r="N1064" s="12">
        <f>IF('Data Entry'!A1064="","",IF($L1064="","New item",IF($L1064&gt;0,"UP",IF($L1064&lt;0,"down","same"))))</f>
        <v/>
      </c>
    </row>
    <row r="1065">
      <c r="A1065" s="11">
        <f>IF('Data Entry'!A1065="","",'Data Entry'!A1065)</f>
        <v/>
      </c>
      <c r="B1065" s="12">
        <f>IF('Data Entry'!A1065="","",'Data Entry'!B1065)</f>
        <v/>
      </c>
      <c r="C1065" s="12">
        <f>IF('Data Entry'!A1065="","",'Data Entry'!C1065)</f>
        <v/>
      </c>
      <c r="D1065" s="12">
        <f>IF('Data Entry'!A1065="","",'Data Entry'!D1065)</f>
        <v/>
      </c>
      <c r="E1065" s="12">
        <f>IF('Data Entry'!A1065="","",'Data Entry'!E1065)</f>
        <v/>
      </c>
      <c r="F1065" s="12">
        <f>IF('Data Entry'!A1065="","",'Data Entry'!F1065)</f>
        <v/>
      </c>
      <c r="G1065" s="13">
        <f>IF('Data Entry'!A1065="","",'Data Entry'!G1065)</f>
        <v/>
      </c>
      <c r="H1065" s="10">
        <f>IF('Data Entry'!A1065="","",'Data Entry'!H1065)</f>
        <v/>
      </c>
      <c r="I1065" s="10">
        <f>IF('Data Entry'!A1065="","",'Data Entry'!I1065)</f>
        <v/>
      </c>
      <c r="J1065" s="12">
        <f>IF('Data Entry'!A1065="","",IF('Data Entry'!D1065&lt;&gt;"",'Data Entry'!D1065,'Data Entry'!E1065))</f>
        <v/>
      </c>
      <c r="K1065" s="10">
        <f>IF('Data Entry'!A1065="","",IFERROR(SUMIFS($H$5:$H$2001,$J$5:$J$2001,$J1065,$B$5:$B$2001,$B1065,$A$5:$A$2001,(MAXIFS($A$5:$A$2001,$J$5:$J$2001,$J1065,$B$5:$B$2001,$B1065,$A$5:$A$2001,"&lt;"&amp;$A1065))),""))</f>
        <v/>
      </c>
      <c r="L1065" s="14">
        <f>IF(OR('Data Entry'!A1065="",$K1065=""),"",$H1065-$K1065)</f>
        <v/>
      </c>
      <c r="M1065" s="15">
        <f>IF(OR('Data Entry'!A1065="",$K1065="",$K1065=0),"",$L1065/$K1065)</f>
        <v/>
      </c>
      <c r="N1065" s="12">
        <f>IF('Data Entry'!A1065="","",IF($L1065="","New item",IF($L1065&gt;0,"UP",IF($L1065&lt;0,"down","same"))))</f>
        <v/>
      </c>
    </row>
    <row r="1066">
      <c r="A1066" s="11">
        <f>IF('Data Entry'!A1066="","",'Data Entry'!A1066)</f>
        <v/>
      </c>
      <c r="B1066" s="12">
        <f>IF('Data Entry'!A1066="","",'Data Entry'!B1066)</f>
        <v/>
      </c>
      <c r="C1066" s="12">
        <f>IF('Data Entry'!A1066="","",'Data Entry'!C1066)</f>
        <v/>
      </c>
      <c r="D1066" s="12">
        <f>IF('Data Entry'!A1066="","",'Data Entry'!D1066)</f>
        <v/>
      </c>
      <c r="E1066" s="12">
        <f>IF('Data Entry'!A1066="","",'Data Entry'!E1066)</f>
        <v/>
      </c>
      <c r="F1066" s="12">
        <f>IF('Data Entry'!A1066="","",'Data Entry'!F1066)</f>
        <v/>
      </c>
      <c r="G1066" s="13">
        <f>IF('Data Entry'!A1066="","",'Data Entry'!G1066)</f>
        <v/>
      </c>
      <c r="H1066" s="10">
        <f>IF('Data Entry'!A1066="","",'Data Entry'!H1066)</f>
        <v/>
      </c>
      <c r="I1066" s="10">
        <f>IF('Data Entry'!A1066="","",'Data Entry'!I1066)</f>
        <v/>
      </c>
      <c r="J1066" s="12">
        <f>IF('Data Entry'!A1066="","",IF('Data Entry'!D1066&lt;&gt;"",'Data Entry'!D1066,'Data Entry'!E1066))</f>
        <v/>
      </c>
      <c r="K1066" s="10">
        <f>IF('Data Entry'!A1066="","",IFERROR(SUMIFS($H$5:$H$2001,$J$5:$J$2001,$J1066,$B$5:$B$2001,$B1066,$A$5:$A$2001,(MAXIFS($A$5:$A$2001,$J$5:$J$2001,$J1066,$B$5:$B$2001,$B1066,$A$5:$A$2001,"&lt;"&amp;$A1066))),""))</f>
        <v/>
      </c>
      <c r="L1066" s="14">
        <f>IF(OR('Data Entry'!A1066="",$K1066=""),"",$H1066-$K1066)</f>
        <v/>
      </c>
      <c r="M1066" s="15">
        <f>IF(OR('Data Entry'!A1066="",$K1066="",$K1066=0),"",$L1066/$K1066)</f>
        <v/>
      </c>
      <c r="N1066" s="12">
        <f>IF('Data Entry'!A1066="","",IF($L1066="","New item",IF($L1066&gt;0,"UP",IF($L1066&lt;0,"down","same"))))</f>
        <v/>
      </c>
    </row>
    <row r="1067">
      <c r="A1067" s="11">
        <f>IF('Data Entry'!A1067="","",'Data Entry'!A1067)</f>
        <v/>
      </c>
      <c r="B1067" s="12">
        <f>IF('Data Entry'!A1067="","",'Data Entry'!B1067)</f>
        <v/>
      </c>
      <c r="C1067" s="12">
        <f>IF('Data Entry'!A1067="","",'Data Entry'!C1067)</f>
        <v/>
      </c>
      <c r="D1067" s="12">
        <f>IF('Data Entry'!A1067="","",'Data Entry'!D1067)</f>
        <v/>
      </c>
      <c r="E1067" s="12">
        <f>IF('Data Entry'!A1067="","",'Data Entry'!E1067)</f>
        <v/>
      </c>
      <c r="F1067" s="12">
        <f>IF('Data Entry'!A1067="","",'Data Entry'!F1067)</f>
        <v/>
      </c>
      <c r="G1067" s="13">
        <f>IF('Data Entry'!A1067="","",'Data Entry'!G1067)</f>
        <v/>
      </c>
      <c r="H1067" s="10">
        <f>IF('Data Entry'!A1067="","",'Data Entry'!H1067)</f>
        <v/>
      </c>
      <c r="I1067" s="10">
        <f>IF('Data Entry'!A1067="","",'Data Entry'!I1067)</f>
        <v/>
      </c>
      <c r="J1067" s="12">
        <f>IF('Data Entry'!A1067="","",IF('Data Entry'!D1067&lt;&gt;"",'Data Entry'!D1067,'Data Entry'!E1067))</f>
        <v/>
      </c>
      <c r="K1067" s="10">
        <f>IF('Data Entry'!A1067="","",IFERROR(SUMIFS($H$5:$H$2001,$J$5:$J$2001,$J1067,$B$5:$B$2001,$B1067,$A$5:$A$2001,(MAXIFS($A$5:$A$2001,$J$5:$J$2001,$J1067,$B$5:$B$2001,$B1067,$A$5:$A$2001,"&lt;"&amp;$A1067))),""))</f>
        <v/>
      </c>
      <c r="L1067" s="14">
        <f>IF(OR('Data Entry'!A1067="",$K1067=""),"",$H1067-$K1067)</f>
        <v/>
      </c>
      <c r="M1067" s="15">
        <f>IF(OR('Data Entry'!A1067="",$K1067="",$K1067=0),"",$L1067/$K1067)</f>
        <v/>
      </c>
      <c r="N1067" s="12">
        <f>IF('Data Entry'!A1067="","",IF($L1067="","New item",IF($L1067&gt;0,"UP",IF($L1067&lt;0,"down","same"))))</f>
        <v/>
      </c>
    </row>
    <row r="1068">
      <c r="A1068" s="11">
        <f>IF('Data Entry'!A1068="","",'Data Entry'!A1068)</f>
        <v/>
      </c>
      <c r="B1068" s="12">
        <f>IF('Data Entry'!A1068="","",'Data Entry'!B1068)</f>
        <v/>
      </c>
      <c r="C1068" s="12">
        <f>IF('Data Entry'!A1068="","",'Data Entry'!C1068)</f>
        <v/>
      </c>
      <c r="D1068" s="12">
        <f>IF('Data Entry'!A1068="","",'Data Entry'!D1068)</f>
        <v/>
      </c>
      <c r="E1068" s="12">
        <f>IF('Data Entry'!A1068="","",'Data Entry'!E1068)</f>
        <v/>
      </c>
      <c r="F1068" s="12">
        <f>IF('Data Entry'!A1068="","",'Data Entry'!F1068)</f>
        <v/>
      </c>
      <c r="G1068" s="13">
        <f>IF('Data Entry'!A1068="","",'Data Entry'!G1068)</f>
        <v/>
      </c>
      <c r="H1068" s="10">
        <f>IF('Data Entry'!A1068="","",'Data Entry'!H1068)</f>
        <v/>
      </c>
      <c r="I1068" s="10">
        <f>IF('Data Entry'!A1068="","",'Data Entry'!I1068)</f>
        <v/>
      </c>
      <c r="J1068" s="12">
        <f>IF('Data Entry'!A1068="","",IF('Data Entry'!D1068&lt;&gt;"",'Data Entry'!D1068,'Data Entry'!E1068))</f>
        <v/>
      </c>
      <c r="K1068" s="10">
        <f>IF('Data Entry'!A1068="","",IFERROR(SUMIFS($H$5:$H$2001,$J$5:$J$2001,$J1068,$B$5:$B$2001,$B1068,$A$5:$A$2001,(MAXIFS($A$5:$A$2001,$J$5:$J$2001,$J1068,$B$5:$B$2001,$B1068,$A$5:$A$2001,"&lt;"&amp;$A1068))),""))</f>
        <v/>
      </c>
      <c r="L1068" s="14">
        <f>IF(OR('Data Entry'!A1068="",$K1068=""),"",$H1068-$K1068)</f>
        <v/>
      </c>
      <c r="M1068" s="15">
        <f>IF(OR('Data Entry'!A1068="",$K1068="",$K1068=0),"",$L1068/$K1068)</f>
        <v/>
      </c>
      <c r="N1068" s="12">
        <f>IF('Data Entry'!A1068="","",IF($L1068="","New item",IF($L1068&gt;0,"UP",IF($L1068&lt;0,"down","same"))))</f>
        <v/>
      </c>
    </row>
    <row r="1069">
      <c r="A1069" s="11">
        <f>IF('Data Entry'!A1069="","",'Data Entry'!A1069)</f>
        <v/>
      </c>
      <c r="B1069" s="12">
        <f>IF('Data Entry'!A1069="","",'Data Entry'!B1069)</f>
        <v/>
      </c>
      <c r="C1069" s="12">
        <f>IF('Data Entry'!A1069="","",'Data Entry'!C1069)</f>
        <v/>
      </c>
      <c r="D1069" s="12">
        <f>IF('Data Entry'!A1069="","",'Data Entry'!D1069)</f>
        <v/>
      </c>
      <c r="E1069" s="12">
        <f>IF('Data Entry'!A1069="","",'Data Entry'!E1069)</f>
        <v/>
      </c>
      <c r="F1069" s="12">
        <f>IF('Data Entry'!A1069="","",'Data Entry'!F1069)</f>
        <v/>
      </c>
      <c r="G1069" s="13">
        <f>IF('Data Entry'!A1069="","",'Data Entry'!G1069)</f>
        <v/>
      </c>
      <c r="H1069" s="10">
        <f>IF('Data Entry'!A1069="","",'Data Entry'!H1069)</f>
        <v/>
      </c>
      <c r="I1069" s="10">
        <f>IF('Data Entry'!A1069="","",'Data Entry'!I1069)</f>
        <v/>
      </c>
      <c r="J1069" s="12">
        <f>IF('Data Entry'!A1069="","",IF('Data Entry'!D1069&lt;&gt;"",'Data Entry'!D1069,'Data Entry'!E1069))</f>
        <v/>
      </c>
      <c r="K1069" s="10">
        <f>IF('Data Entry'!A1069="","",IFERROR(SUMIFS($H$5:$H$2001,$J$5:$J$2001,$J1069,$B$5:$B$2001,$B1069,$A$5:$A$2001,(MAXIFS($A$5:$A$2001,$J$5:$J$2001,$J1069,$B$5:$B$2001,$B1069,$A$5:$A$2001,"&lt;"&amp;$A1069))),""))</f>
        <v/>
      </c>
      <c r="L1069" s="14">
        <f>IF(OR('Data Entry'!A1069="",$K1069=""),"",$H1069-$K1069)</f>
        <v/>
      </c>
      <c r="M1069" s="15">
        <f>IF(OR('Data Entry'!A1069="",$K1069="",$K1069=0),"",$L1069/$K1069)</f>
        <v/>
      </c>
      <c r="N1069" s="12">
        <f>IF('Data Entry'!A1069="","",IF($L1069="","New item",IF($L1069&gt;0,"UP",IF($L1069&lt;0,"down","same"))))</f>
        <v/>
      </c>
    </row>
    <row r="1070">
      <c r="A1070" s="11">
        <f>IF('Data Entry'!A1070="","",'Data Entry'!A1070)</f>
        <v/>
      </c>
      <c r="B1070" s="12">
        <f>IF('Data Entry'!A1070="","",'Data Entry'!B1070)</f>
        <v/>
      </c>
      <c r="C1070" s="12">
        <f>IF('Data Entry'!A1070="","",'Data Entry'!C1070)</f>
        <v/>
      </c>
      <c r="D1070" s="12">
        <f>IF('Data Entry'!A1070="","",'Data Entry'!D1070)</f>
        <v/>
      </c>
      <c r="E1070" s="12">
        <f>IF('Data Entry'!A1070="","",'Data Entry'!E1070)</f>
        <v/>
      </c>
      <c r="F1070" s="12">
        <f>IF('Data Entry'!A1070="","",'Data Entry'!F1070)</f>
        <v/>
      </c>
      <c r="G1070" s="13">
        <f>IF('Data Entry'!A1070="","",'Data Entry'!G1070)</f>
        <v/>
      </c>
      <c r="H1070" s="10">
        <f>IF('Data Entry'!A1070="","",'Data Entry'!H1070)</f>
        <v/>
      </c>
      <c r="I1070" s="10">
        <f>IF('Data Entry'!A1070="","",'Data Entry'!I1070)</f>
        <v/>
      </c>
      <c r="J1070" s="12">
        <f>IF('Data Entry'!A1070="","",IF('Data Entry'!D1070&lt;&gt;"",'Data Entry'!D1070,'Data Entry'!E1070))</f>
        <v/>
      </c>
      <c r="K1070" s="10">
        <f>IF('Data Entry'!A1070="","",IFERROR(SUMIFS($H$5:$H$2001,$J$5:$J$2001,$J1070,$B$5:$B$2001,$B1070,$A$5:$A$2001,(MAXIFS($A$5:$A$2001,$J$5:$J$2001,$J1070,$B$5:$B$2001,$B1070,$A$5:$A$2001,"&lt;"&amp;$A1070))),""))</f>
        <v/>
      </c>
      <c r="L1070" s="14">
        <f>IF(OR('Data Entry'!A1070="",$K1070=""),"",$H1070-$K1070)</f>
        <v/>
      </c>
      <c r="M1070" s="15">
        <f>IF(OR('Data Entry'!A1070="",$K1070="",$K1070=0),"",$L1070/$K1070)</f>
        <v/>
      </c>
      <c r="N1070" s="12">
        <f>IF('Data Entry'!A1070="","",IF($L1070="","New item",IF($L1070&gt;0,"UP",IF($L1070&lt;0,"down","same"))))</f>
        <v/>
      </c>
    </row>
    <row r="1071">
      <c r="A1071" s="11">
        <f>IF('Data Entry'!A1071="","",'Data Entry'!A1071)</f>
        <v/>
      </c>
      <c r="B1071" s="12">
        <f>IF('Data Entry'!A1071="","",'Data Entry'!B1071)</f>
        <v/>
      </c>
      <c r="C1071" s="12">
        <f>IF('Data Entry'!A1071="","",'Data Entry'!C1071)</f>
        <v/>
      </c>
      <c r="D1071" s="12">
        <f>IF('Data Entry'!A1071="","",'Data Entry'!D1071)</f>
        <v/>
      </c>
      <c r="E1071" s="12">
        <f>IF('Data Entry'!A1071="","",'Data Entry'!E1071)</f>
        <v/>
      </c>
      <c r="F1071" s="12">
        <f>IF('Data Entry'!A1071="","",'Data Entry'!F1071)</f>
        <v/>
      </c>
      <c r="G1071" s="13">
        <f>IF('Data Entry'!A1071="","",'Data Entry'!G1071)</f>
        <v/>
      </c>
      <c r="H1071" s="10">
        <f>IF('Data Entry'!A1071="","",'Data Entry'!H1071)</f>
        <v/>
      </c>
      <c r="I1071" s="10">
        <f>IF('Data Entry'!A1071="","",'Data Entry'!I1071)</f>
        <v/>
      </c>
      <c r="J1071" s="12">
        <f>IF('Data Entry'!A1071="","",IF('Data Entry'!D1071&lt;&gt;"",'Data Entry'!D1071,'Data Entry'!E1071))</f>
        <v/>
      </c>
      <c r="K1071" s="10">
        <f>IF('Data Entry'!A1071="","",IFERROR(SUMIFS($H$5:$H$2001,$J$5:$J$2001,$J1071,$B$5:$B$2001,$B1071,$A$5:$A$2001,(MAXIFS($A$5:$A$2001,$J$5:$J$2001,$J1071,$B$5:$B$2001,$B1071,$A$5:$A$2001,"&lt;"&amp;$A1071))),""))</f>
        <v/>
      </c>
      <c r="L1071" s="14">
        <f>IF(OR('Data Entry'!A1071="",$K1071=""),"",$H1071-$K1071)</f>
        <v/>
      </c>
      <c r="M1071" s="15">
        <f>IF(OR('Data Entry'!A1071="",$K1071="",$K1071=0),"",$L1071/$K1071)</f>
        <v/>
      </c>
      <c r="N1071" s="12">
        <f>IF('Data Entry'!A1071="","",IF($L1071="","New item",IF($L1071&gt;0,"UP",IF($L1071&lt;0,"down","same"))))</f>
        <v/>
      </c>
    </row>
    <row r="1072">
      <c r="A1072" s="11">
        <f>IF('Data Entry'!A1072="","",'Data Entry'!A1072)</f>
        <v/>
      </c>
      <c r="B1072" s="12">
        <f>IF('Data Entry'!A1072="","",'Data Entry'!B1072)</f>
        <v/>
      </c>
      <c r="C1072" s="12">
        <f>IF('Data Entry'!A1072="","",'Data Entry'!C1072)</f>
        <v/>
      </c>
      <c r="D1072" s="12">
        <f>IF('Data Entry'!A1072="","",'Data Entry'!D1072)</f>
        <v/>
      </c>
      <c r="E1072" s="12">
        <f>IF('Data Entry'!A1072="","",'Data Entry'!E1072)</f>
        <v/>
      </c>
      <c r="F1072" s="12">
        <f>IF('Data Entry'!A1072="","",'Data Entry'!F1072)</f>
        <v/>
      </c>
      <c r="G1072" s="13">
        <f>IF('Data Entry'!A1072="","",'Data Entry'!G1072)</f>
        <v/>
      </c>
      <c r="H1072" s="10">
        <f>IF('Data Entry'!A1072="","",'Data Entry'!H1072)</f>
        <v/>
      </c>
      <c r="I1072" s="10">
        <f>IF('Data Entry'!A1072="","",'Data Entry'!I1072)</f>
        <v/>
      </c>
      <c r="J1072" s="12">
        <f>IF('Data Entry'!A1072="","",IF('Data Entry'!D1072&lt;&gt;"",'Data Entry'!D1072,'Data Entry'!E1072))</f>
        <v/>
      </c>
      <c r="K1072" s="10">
        <f>IF('Data Entry'!A1072="","",IFERROR(SUMIFS($H$5:$H$2001,$J$5:$J$2001,$J1072,$B$5:$B$2001,$B1072,$A$5:$A$2001,(MAXIFS($A$5:$A$2001,$J$5:$J$2001,$J1072,$B$5:$B$2001,$B1072,$A$5:$A$2001,"&lt;"&amp;$A1072))),""))</f>
        <v/>
      </c>
      <c r="L1072" s="14">
        <f>IF(OR('Data Entry'!A1072="",$K1072=""),"",$H1072-$K1072)</f>
        <v/>
      </c>
      <c r="M1072" s="15">
        <f>IF(OR('Data Entry'!A1072="",$K1072="",$K1072=0),"",$L1072/$K1072)</f>
        <v/>
      </c>
      <c r="N1072" s="12">
        <f>IF('Data Entry'!A1072="","",IF($L1072="","New item",IF($L1072&gt;0,"UP",IF($L1072&lt;0,"down","same"))))</f>
        <v/>
      </c>
    </row>
    <row r="1073">
      <c r="A1073" s="11">
        <f>IF('Data Entry'!A1073="","",'Data Entry'!A1073)</f>
        <v/>
      </c>
      <c r="B1073" s="12">
        <f>IF('Data Entry'!A1073="","",'Data Entry'!B1073)</f>
        <v/>
      </c>
      <c r="C1073" s="12">
        <f>IF('Data Entry'!A1073="","",'Data Entry'!C1073)</f>
        <v/>
      </c>
      <c r="D1073" s="12">
        <f>IF('Data Entry'!A1073="","",'Data Entry'!D1073)</f>
        <v/>
      </c>
      <c r="E1073" s="12">
        <f>IF('Data Entry'!A1073="","",'Data Entry'!E1073)</f>
        <v/>
      </c>
      <c r="F1073" s="12">
        <f>IF('Data Entry'!A1073="","",'Data Entry'!F1073)</f>
        <v/>
      </c>
      <c r="G1073" s="13">
        <f>IF('Data Entry'!A1073="","",'Data Entry'!G1073)</f>
        <v/>
      </c>
      <c r="H1073" s="10">
        <f>IF('Data Entry'!A1073="","",'Data Entry'!H1073)</f>
        <v/>
      </c>
      <c r="I1073" s="10">
        <f>IF('Data Entry'!A1073="","",'Data Entry'!I1073)</f>
        <v/>
      </c>
      <c r="J1073" s="12">
        <f>IF('Data Entry'!A1073="","",IF('Data Entry'!D1073&lt;&gt;"",'Data Entry'!D1073,'Data Entry'!E1073))</f>
        <v/>
      </c>
      <c r="K1073" s="10">
        <f>IF('Data Entry'!A1073="","",IFERROR(SUMIFS($H$5:$H$2001,$J$5:$J$2001,$J1073,$B$5:$B$2001,$B1073,$A$5:$A$2001,(MAXIFS($A$5:$A$2001,$J$5:$J$2001,$J1073,$B$5:$B$2001,$B1073,$A$5:$A$2001,"&lt;"&amp;$A1073))),""))</f>
        <v/>
      </c>
      <c r="L1073" s="14">
        <f>IF(OR('Data Entry'!A1073="",$K1073=""),"",$H1073-$K1073)</f>
        <v/>
      </c>
      <c r="M1073" s="15">
        <f>IF(OR('Data Entry'!A1073="",$K1073="",$K1073=0),"",$L1073/$K1073)</f>
        <v/>
      </c>
      <c r="N1073" s="12">
        <f>IF('Data Entry'!A1073="","",IF($L1073="","New item",IF($L1073&gt;0,"UP",IF($L1073&lt;0,"down","same"))))</f>
        <v/>
      </c>
    </row>
    <row r="1074">
      <c r="A1074" s="11">
        <f>IF('Data Entry'!A1074="","",'Data Entry'!A1074)</f>
        <v/>
      </c>
      <c r="B1074" s="12">
        <f>IF('Data Entry'!A1074="","",'Data Entry'!B1074)</f>
        <v/>
      </c>
      <c r="C1074" s="12">
        <f>IF('Data Entry'!A1074="","",'Data Entry'!C1074)</f>
        <v/>
      </c>
      <c r="D1074" s="12">
        <f>IF('Data Entry'!A1074="","",'Data Entry'!D1074)</f>
        <v/>
      </c>
      <c r="E1074" s="12">
        <f>IF('Data Entry'!A1074="","",'Data Entry'!E1074)</f>
        <v/>
      </c>
      <c r="F1074" s="12">
        <f>IF('Data Entry'!A1074="","",'Data Entry'!F1074)</f>
        <v/>
      </c>
      <c r="G1074" s="13">
        <f>IF('Data Entry'!A1074="","",'Data Entry'!G1074)</f>
        <v/>
      </c>
      <c r="H1074" s="10">
        <f>IF('Data Entry'!A1074="","",'Data Entry'!H1074)</f>
        <v/>
      </c>
      <c r="I1074" s="10">
        <f>IF('Data Entry'!A1074="","",'Data Entry'!I1074)</f>
        <v/>
      </c>
      <c r="J1074" s="12">
        <f>IF('Data Entry'!A1074="","",IF('Data Entry'!D1074&lt;&gt;"",'Data Entry'!D1074,'Data Entry'!E1074))</f>
        <v/>
      </c>
      <c r="K1074" s="10">
        <f>IF('Data Entry'!A1074="","",IFERROR(SUMIFS($H$5:$H$2001,$J$5:$J$2001,$J1074,$B$5:$B$2001,$B1074,$A$5:$A$2001,(MAXIFS($A$5:$A$2001,$J$5:$J$2001,$J1074,$B$5:$B$2001,$B1074,$A$5:$A$2001,"&lt;"&amp;$A1074))),""))</f>
        <v/>
      </c>
      <c r="L1074" s="14">
        <f>IF(OR('Data Entry'!A1074="",$K1074=""),"",$H1074-$K1074)</f>
        <v/>
      </c>
      <c r="M1074" s="15">
        <f>IF(OR('Data Entry'!A1074="",$K1074="",$K1074=0),"",$L1074/$K1074)</f>
        <v/>
      </c>
      <c r="N1074" s="12">
        <f>IF('Data Entry'!A1074="","",IF($L1074="","New item",IF($L1074&gt;0,"UP",IF($L1074&lt;0,"down","same"))))</f>
        <v/>
      </c>
    </row>
    <row r="1075">
      <c r="A1075" s="11">
        <f>IF('Data Entry'!A1075="","",'Data Entry'!A1075)</f>
        <v/>
      </c>
      <c r="B1075" s="12">
        <f>IF('Data Entry'!A1075="","",'Data Entry'!B1075)</f>
        <v/>
      </c>
      <c r="C1075" s="12">
        <f>IF('Data Entry'!A1075="","",'Data Entry'!C1075)</f>
        <v/>
      </c>
      <c r="D1075" s="12">
        <f>IF('Data Entry'!A1075="","",'Data Entry'!D1075)</f>
        <v/>
      </c>
      <c r="E1075" s="12">
        <f>IF('Data Entry'!A1075="","",'Data Entry'!E1075)</f>
        <v/>
      </c>
      <c r="F1075" s="12">
        <f>IF('Data Entry'!A1075="","",'Data Entry'!F1075)</f>
        <v/>
      </c>
      <c r="G1075" s="13">
        <f>IF('Data Entry'!A1075="","",'Data Entry'!G1075)</f>
        <v/>
      </c>
      <c r="H1075" s="10">
        <f>IF('Data Entry'!A1075="","",'Data Entry'!H1075)</f>
        <v/>
      </c>
      <c r="I1075" s="10">
        <f>IF('Data Entry'!A1075="","",'Data Entry'!I1075)</f>
        <v/>
      </c>
      <c r="J1075" s="12">
        <f>IF('Data Entry'!A1075="","",IF('Data Entry'!D1075&lt;&gt;"",'Data Entry'!D1075,'Data Entry'!E1075))</f>
        <v/>
      </c>
      <c r="K1075" s="10">
        <f>IF('Data Entry'!A1075="","",IFERROR(SUMIFS($H$5:$H$2001,$J$5:$J$2001,$J1075,$B$5:$B$2001,$B1075,$A$5:$A$2001,(MAXIFS($A$5:$A$2001,$J$5:$J$2001,$J1075,$B$5:$B$2001,$B1075,$A$5:$A$2001,"&lt;"&amp;$A1075))),""))</f>
        <v/>
      </c>
      <c r="L1075" s="14">
        <f>IF(OR('Data Entry'!A1075="",$K1075=""),"",$H1075-$K1075)</f>
        <v/>
      </c>
      <c r="M1075" s="15">
        <f>IF(OR('Data Entry'!A1075="",$K1075="",$K1075=0),"",$L1075/$K1075)</f>
        <v/>
      </c>
      <c r="N1075" s="12">
        <f>IF('Data Entry'!A1075="","",IF($L1075="","New item",IF($L1075&gt;0,"UP",IF($L1075&lt;0,"down","same"))))</f>
        <v/>
      </c>
    </row>
    <row r="1076">
      <c r="A1076" s="11">
        <f>IF('Data Entry'!A1076="","",'Data Entry'!A1076)</f>
        <v/>
      </c>
      <c r="B1076" s="12">
        <f>IF('Data Entry'!A1076="","",'Data Entry'!B1076)</f>
        <v/>
      </c>
      <c r="C1076" s="12">
        <f>IF('Data Entry'!A1076="","",'Data Entry'!C1076)</f>
        <v/>
      </c>
      <c r="D1076" s="12">
        <f>IF('Data Entry'!A1076="","",'Data Entry'!D1076)</f>
        <v/>
      </c>
      <c r="E1076" s="12">
        <f>IF('Data Entry'!A1076="","",'Data Entry'!E1076)</f>
        <v/>
      </c>
      <c r="F1076" s="12">
        <f>IF('Data Entry'!A1076="","",'Data Entry'!F1076)</f>
        <v/>
      </c>
      <c r="G1076" s="13">
        <f>IF('Data Entry'!A1076="","",'Data Entry'!G1076)</f>
        <v/>
      </c>
      <c r="H1076" s="10">
        <f>IF('Data Entry'!A1076="","",'Data Entry'!H1076)</f>
        <v/>
      </c>
      <c r="I1076" s="10">
        <f>IF('Data Entry'!A1076="","",'Data Entry'!I1076)</f>
        <v/>
      </c>
      <c r="J1076" s="12">
        <f>IF('Data Entry'!A1076="","",IF('Data Entry'!D1076&lt;&gt;"",'Data Entry'!D1076,'Data Entry'!E1076))</f>
        <v/>
      </c>
      <c r="K1076" s="10">
        <f>IF('Data Entry'!A1076="","",IFERROR(SUMIFS($H$5:$H$2001,$J$5:$J$2001,$J1076,$B$5:$B$2001,$B1076,$A$5:$A$2001,(MAXIFS($A$5:$A$2001,$J$5:$J$2001,$J1076,$B$5:$B$2001,$B1076,$A$5:$A$2001,"&lt;"&amp;$A1076))),""))</f>
        <v/>
      </c>
      <c r="L1076" s="14">
        <f>IF(OR('Data Entry'!A1076="",$K1076=""),"",$H1076-$K1076)</f>
        <v/>
      </c>
      <c r="M1076" s="15">
        <f>IF(OR('Data Entry'!A1076="",$K1076="",$K1076=0),"",$L1076/$K1076)</f>
        <v/>
      </c>
      <c r="N1076" s="12">
        <f>IF('Data Entry'!A1076="","",IF($L1076="","New item",IF($L1076&gt;0,"UP",IF($L1076&lt;0,"down","same"))))</f>
        <v/>
      </c>
    </row>
    <row r="1077">
      <c r="A1077" s="11">
        <f>IF('Data Entry'!A1077="","",'Data Entry'!A1077)</f>
        <v/>
      </c>
      <c r="B1077" s="12">
        <f>IF('Data Entry'!A1077="","",'Data Entry'!B1077)</f>
        <v/>
      </c>
      <c r="C1077" s="12">
        <f>IF('Data Entry'!A1077="","",'Data Entry'!C1077)</f>
        <v/>
      </c>
      <c r="D1077" s="12">
        <f>IF('Data Entry'!A1077="","",'Data Entry'!D1077)</f>
        <v/>
      </c>
      <c r="E1077" s="12">
        <f>IF('Data Entry'!A1077="","",'Data Entry'!E1077)</f>
        <v/>
      </c>
      <c r="F1077" s="12">
        <f>IF('Data Entry'!A1077="","",'Data Entry'!F1077)</f>
        <v/>
      </c>
      <c r="G1077" s="13">
        <f>IF('Data Entry'!A1077="","",'Data Entry'!G1077)</f>
        <v/>
      </c>
      <c r="H1077" s="10">
        <f>IF('Data Entry'!A1077="","",'Data Entry'!H1077)</f>
        <v/>
      </c>
      <c r="I1077" s="10">
        <f>IF('Data Entry'!A1077="","",'Data Entry'!I1077)</f>
        <v/>
      </c>
      <c r="J1077" s="12">
        <f>IF('Data Entry'!A1077="","",IF('Data Entry'!D1077&lt;&gt;"",'Data Entry'!D1077,'Data Entry'!E1077))</f>
        <v/>
      </c>
      <c r="K1077" s="10">
        <f>IF('Data Entry'!A1077="","",IFERROR(SUMIFS($H$5:$H$2001,$J$5:$J$2001,$J1077,$B$5:$B$2001,$B1077,$A$5:$A$2001,(MAXIFS($A$5:$A$2001,$J$5:$J$2001,$J1077,$B$5:$B$2001,$B1077,$A$5:$A$2001,"&lt;"&amp;$A1077))),""))</f>
        <v/>
      </c>
      <c r="L1077" s="14">
        <f>IF(OR('Data Entry'!A1077="",$K1077=""),"",$H1077-$K1077)</f>
        <v/>
      </c>
      <c r="M1077" s="15">
        <f>IF(OR('Data Entry'!A1077="",$K1077="",$K1077=0),"",$L1077/$K1077)</f>
        <v/>
      </c>
      <c r="N1077" s="12">
        <f>IF('Data Entry'!A1077="","",IF($L1077="","New item",IF($L1077&gt;0,"UP",IF($L1077&lt;0,"down","same"))))</f>
        <v/>
      </c>
    </row>
    <row r="1078">
      <c r="A1078" s="11">
        <f>IF('Data Entry'!A1078="","",'Data Entry'!A1078)</f>
        <v/>
      </c>
      <c r="B1078" s="12">
        <f>IF('Data Entry'!A1078="","",'Data Entry'!B1078)</f>
        <v/>
      </c>
      <c r="C1078" s="12">
        <f>IF('Data Entry'!A1078="","",'Data Entry'!C1078)</f>
        <v/>
      </c>
      <c r="D1078" s="12">
        <f>IF('Data Entry'!A1078="","",'Data Entry'!D1078)</f>
        <v/>
      </c>
      <c r="E1078" s="12">
        <f>IF('Data Entry'!A1078="","",'Data Entry'!E1078)</f>
        <v/>
      </c>
      <c r="F1078" s="12">
        <f>IF('Data Entry'!A1078="","",'Data Entry'!F1078)</f>
        <v/>
      </c>
      <c r="G1078" s="13">
        <f>IF('Data Entry'!A1078="","",'Data Entry'!G1078)</f>
        <v/>
      </c>
      <c r="H1078" s="10">
        <f>IF('Data Entry'!A1078="","",'Data Entry'!H1078)</f>
        <v/>
      </c>
      <c r="I1078" s="10">
        <f>IF('Data Entry'!A1078="","",'Data Entry'!I1078)</f>
        <v/>
      </c>
      <c r="J1078" s="12">
        <f>IF('Data Entry'!A1078="","",IF('Data Entry'!D1078&lt;&gt;"",'Data Entry'!D1078,'Data Entry'!E1078))</f>
        <v/>
      </c>
      <c r="K1078" s="10">
        <f>IF('Data Entry'!A1078="","",IFERROR(SUMIFS($H$5:$H$2001,$J$5:$J$2001,$J1078,$B$5:$B$2001,$B1078,$A$5:$A$2001,(MAXIFS($A$5:$A$2001,$J$5:$J$2001,$J1078,$B$5:$B$2001,$B1078,$A$5:$A$2001,"&lt;"&amp;$A1078))),""))</f>
        <v/>
      </c>
      <c r="L1078" s="14">
        <f>IF(OR('Data Entry'!A1078="",$K1078=""),"",$H1078-$K1078)</f>
        <v/>
      </c>
      <c r="M1078" s="15">
        <f>IF(OR('Data Entry'!A1078="",$K1078="",$K1078=0),"",$L1078/$K1078)</f>
        <v/>
      </c>
      <c r="N1078" s="12">
        <f>IF('Data Entry'!A1078="","",IF($L1078="","New item",IF($L1078&gt;0,"UP",IF($L1078&lt;0,"down","same"))))</f>
        <v/>
      </c>
    </row>
    <row r="1079">
      <c r="A1079" s="11">
        <f>IF('Data Entry'!A1079="","",'Data Entry'!A1079)</f>
        <v/>
      </c>
      <c r="B1079" s="12">
        <f>IF('Data Entry'!A1079="","",'Data Entry'!B1079)</f>
        <v/>
      </c>
      <c r="C1079" s="12">
        <f>IF('Data Entry'!A1079="","",'Data Entry'!C1079)</f>
        <v/>
      </c>
      <c r="D1079" s="12">
        <f>IF('Data Entry'!A1079="","",'Data Entry'!D1079)</f>
        <v/>
      </c>
      <c r="E1079" s="12">
        <f>IF('Data Entry'!A1079="","",'Data Entry'!E1079)</f>
        <v/>
      </c>
      <c r="F1079" s="12">
        <f>IF('Data Entry'!A1079="","",'Data Entry'!F1079)</f>
        <v/>
      </c>
      <c r="G1079" s="13">
        <f>IF('Data Entry'!A1079="","",'Data Entry'!G1079)</f>
        <v/>
      </c>
      <c r="H1079" s="10">
        <f>IF('Data Entry'!A1079="","",'Data Entry'!H1079)</f>
        <v/>
      </c>
      <c r="I1079" s="10">
        <f>IF('Data Entry'!A1079="","",'Data Entry'!I1079)</f>
        <v/>
      </c>
      <c r="J1079" s="12">
        <f>IF('Data Entry'!A1079="","",IF('Data Entry'!D1079&lt;&gt;"",'Data Entry'!D1079,'Data Entry'!E1079))</f>
        <v/>
      </c>
      <c r="K1079" s="10">
        <f>IF('Data Entry'!A1079="","",IFERROR(SUMIFS($H$5:$H$2001,$J$5:$J$2001,$J1079,$B$5:$B$2001,$B1079,$A$5:$A$2001,(MAXIFS($A$5:$A$2001,$J$5:$J$2001,$J1079,$B$5:$B$2001,$B1079,$A$5:$A$2001,"&lt;"&amp;$A1079))),""))</f>
        <v/>
      </c>
      <c r="L1079" s="14">
        <f>IF(OR('Data Entry'!A1079="",$K1079=""),"",$H1079-$K1079)</f>
        <v/>
      </c>
      <c r="M1079" s="15">
        <f>IF(OR('Data Entry'!A1079="",$K1079="",$K1079=0),"",$L1079/$K1079)</f>
        <v/>
      </c>
      <c r="N1079" s="12">
        <f>IF('Data Entry'!A1079="","",IF($L1079="","New item",IF($L1079&gt;0,"UP",IF($L1079&lt;0,"down","same"))))</f>
        <v/>
      </c>
    </row>
    <row r="1080">
      <c r="A1080" s="11">
        <f>IF('Data Entry'!A1080="","",'Data Entry'!A1080)</f>
        <v/>
      </c>
      <c r="B1080" s="12">
        <f>IF('Data Entry'!A1080="","",'Data Entry'!B1080)</f>
        <v/>
      </c>
      <c r="C1080" s="12">
        <f>IF('Data Entry'!A1080="","",'Data Entry'!C1080)</f>
        <v/>
      </c>
      <c r="D1080" s="12">
        <f>IF('Data Entry'!A1080="","",'Data Entry'!D1080)</f>
        <v/>
      </c>
      <c r="E1080" s="12">
        <f>IF('Data Entry'!A1080="","",'Data Entry'!E1080)</f>
        <v/>
      </c>
      <c r="F1080" s="12">
        <f>IF('Data Entry'!A1080="","",'Data Entry'!F1080)</f>
        <v/>
      </c>
      <c r="G1080" s="13">
        <f>IF('Data Entry'!A1080="","",'Data Entry'!G1080)</f>
        <v/>
      </c>
      <c r="H1080" s="10">
        <f>IF('Data Entry'!A1080="","",'Data Entry'!H1080)</f>
        <v/>
      </c>
      <c r="I1080" s="10">
        <f>IF('Data Entry'!A1080="","",'Data Entry'!I1080)</f>
        <v/>
      </c>
      <c r="J1080" s="12">
        <f>IF('Data Entry'!A1080="","",IF('Data Entry'!D1080&lt;&gt;"",'Data Entry'!D1080,'Data Entry'!E1080))</f>
        <v/>
      </c>
      <c r="K1080" s="10">
        <f>IF('Data Entry'!A1080="","",IFERROR(SUMIFS($H$5:$H$2001,$J$5:$J$2001,$J1080,$B$5:$B$2001,$B1080,$A$5:$A$2001,(MAXIFS($A$5:$A$2001,$J$5:$J$2001,$J1080,$B$5:$B$2001,$B1080,$A$5:$A$2001,"&lt;"&amp;$A1080))),""))</f>
        <v/>
      </c>
      <c r="L1080" s="14">
        <f>IF(OR('Data Entry'!A1080="",$K1080=""),"",$H1080-$K1080)</f>
        <v/>
      </c>
      <c r="M1080" s="15">
        <f>IF(OR('Data Entry'!A1080="",$K1080="",$K1080=0),"",$L1080/$K1080)</f>
        <v/>
      </c>
      <c r="N1080" s="12">
        <f>IF('Data Entry'!A1080="","",IF($L1080="","New item",IF($L1080&gt;0,"UP",IF($L1080&lt;0,"down","same"))))</f>
        <v/>
      </c>
    </row>
    <row r="1081">
      <c r="A1081" s="11">
        <f>IF('Data Entry'!A1081="","",'Data Entry'!A1081)</f>
        <v/>
      </c>
      <c r="B1081" s="12">
        <f>IF('Data Entry'!A1081="","",'Data Entry'!B1081)</f>
        <v/>
      </c>
      <c r="C1081" s="12">
        <f>IF('Data Entry'!A1081="","",'Data Entry'!C1081)</f>
        <v/>
      </c>
      <c r="D1081" s="12">
        <f>IF('Data Entry'!A1081="","",'Data Entry'!D1081)</f>
        <v/>
      </c>
      <c r="E1081" s="12">
        <f>IF('Data Entry'!A1081="","",'Data Entry'!E1081)</f>
        <v/>
      </c>
      <c r="F1081" s="12">
        <f>IF('Data Entry'!A1081="","",'Data Entry'!F1081)</f>
        <v/>
      </c>
      <c r="G1081" s="13">
        <f>IF('Data Entry'!A1081="","",'Data Entry'!G1081)</f>
        <v/>
      </c>
      <c r="H1081" s="10">
        <f>IF('Data Entry'!A1081="","",'Data Entry'!H1081)</f>
        <v/>
      </c>
      <c r="I1081" s="10">
        <f>IF('Data Entry'!A1081="","",'Data Entry'!I1081)</f>
        <v/>
      </c>
      <c r="J1081" s="12">
        <f>IF('Data Entry'!A1081="","",IF('Data Entry'!D1081&lt;&gt;"",'Data Entry'!D1081,'Data Entry'!E1081))</f>
        <v/>
      </c>
      <c r="K1081" s="10">
        <f>IF('Data Entry'!A1081="","",IFERROR(SUMIFS($H$5:$H$2001,$J$5:$J$2001,$J1081,$B$5:$B$2001,$B1081,$A$5:$A$2001,(MAXIFS($A$5:$A$2001,$J$5:$J$2001,$J1081,$B$5:$B$2001,$B1081,$A$5:$A$2001,"&lt;"&amp;$A1081))),""))</f>
        <v/>
      </c>
      <c r="L1081" s="14">
        <f>IF(OR('Data Entry'!A1081="",$K1081=""),"",$H1081-$K1081)</f>
        <v/>
      </c>
      <c r="M1081" s="15">
        <f>IF(OR('Data Entry'!A1081="",$K1081="",$K1081=0),"",$L1081/$K1081)</f>
        <v/>
      </c>
      <c r="N1081" s="12">
        <f>IF('Data Entry'!A1081="","",IF($L1081="","New item",IF($L1081&gt;0,"UP",IF($L1081&lt;0,"down","same"))))</f>
        <v/>
      </c>
    </row>
    <row r="1082">
      <c r="A1082" s="11">
        <f>IF('Data Entry'!A1082="","",'Data Entry'!A1082)</f>
        <v/>
      </c>
      <c r="B1082" s="12">
        <f>IF('Data Entry'!A1082="","",'Data Entry'!B1082)</f>
        <v/>
      </c>
      <c r="C1082" s="12">
        <f>IF('Data Entry'!A1082="","",'Data Entry'!C1082)</f>
        <v/>
      </c>
      <c r="D1082" s="12">
        <f>IF('Data Entry'!A1082="","",'Data Entry'!D1082)</f>
        <v/>
      </c>
      <c r="E1082" s="12">
        <f>IF('Data Entry'!A1082="","",'Data Entry'!E1082)</f>
        <v/>
      </c>
      <c r="F1082" s="12">
        <f>IF('Data Entry'!A1082="","",'Data Entry'!F1082)</f>
        <v/>
      </c>
      <c r="G1082" s="13">
        <f>IF('Data Entry'!A1082="","",'Data Entry'!G1082)</f>
        <v/>
      </c>
      <c r="H1082" s="10">
        <f>IF('Data Entry'!A1082="","",'Data Entry'!H1082)</f>
        <v/>
      </c>
      <c r="I1082" s="10">
        <f>IF('Data Entry'!A1082="","",'Data Entry'!I1082)</f>
        <v/>
      </c>
      <c r="J1082" s="12">
        <f>IF('Data Entry'!A1082="","",IF('Data Entry'!D1082&lt;&gt;"",'Data Entry'!D1082,'Data Entry'!E1082))</f>
        <v/>
      </c>
      <c r="K1082" s="10">
        <f>IF('Data Entry'!A1082="","",IFERROR(SUMIFS($H$5:$H$2001,$J$5:$J$2001,$J1082,$B$5:$B$2001,$B1082,$A$5:$A$2001,(MAXIFS($A$5:$A$2001,$J$5:$J$2001,$J1082,$B$5:$B$2001,$B1082,$A$5:$A$2001,"&lt;"&amp;$A1082))),""))</f>
        <v/>
      </c>
      <c r="L1082" s="14">
        <f>IF(OR('Data Entry'!A1082="",$K1082=""),"",$H1082-$K1082)</f>
        <v/>
      </c>
      <c r="M1082" s="15">
        <f>IF(OR('Data Entry'!A1082="",$K1082="",$K1082=0),"",$L1082/$K1082)</f>
        <v/>
      </c>
      <c r="N1082" s="12">
        <f>IF('Data Entry'!A1082="","",IF($L1082="","New item",IF($L1082&gt;0,"UP",IF($L1082&lt;0,"down","same"))))</f>
        <v/>
      </c>
    </row>
    <row r="1083">
      <c r="A1083" s="11">
        <f>IF('Data Entry'!A1083="","",'Data Entry'!A1083)</f>
        <v/>
      </c>
      <c r="B1083" s="12">
        <f>IF('Data Entry'!A1083="","",'Data Entry'!B1083)</f>
        <v/>
      </c>
      <c r="C1083" s="12">
        <f>IF('Data Entry'!A1083="","",'Data Entry'!C1083)</f>
        <v/>
      </c>
      <c r="D1083" s="12">
        <f>IF('Data Entry'!A1083="","",'Data Entry'!D1083)</f>
        <v/>
      </c>
      <c r="E1083" s="12">
        <f>IF('Data Entry'!A1083="","",'Data Entry'!E1083)</f>
        <v/>
      </c>
      <c r="F1083" s="12">
        <f>IF('Data Entry'!A1083="","",'Data Entry'!F1083)</f>
        <v/>
      </c>
      <c r="G1083" s="13">
        <f>IF('Data Entry'!A1083="","",'Data Entry'!G1083)</f>
        <v/>
      </c>
      <c r="H1083" s="10">
        <f>IF('Data Entry'!A1083="","",'Data Entry'!H1083)</f>
        <v/>
      </c>
      <c r="I1083" s="10">
        <f>IF('Data Entry'!A1083="","",'Data Entry'!I1083)</f>
        <v/>
      </c>
      <c r="J1083" s="12">
        <f>IF('Data Entry'!A1083="","",IF('Data Entry'!D1083&lt;&gt;"",'Data Entry'!D1083,'Data Entry'!E1083))</f>
        <v/>
      </c>
      <c r="K1083" s="10">
        <f>IF('Data Entry'!A1083="","",IFERROR(SUMIFS($H$5:$H$2001,$J$5:$J$2001,$J1083,$B$5:$B$2001,$B1083,$A$5:$A$2001,(MAXIFS($A$5:$A$2001,$J$5:$J$2001,$J1083,$B$5:$B$2001,$B1083,$A$5:$A$2001,"&lt;"&amp;$A1083))),""))</f>
        <v/>
      </c>
      <c r="L1083" s="14">
        <f>IF(OR('Data Entry'!A1083="",$K1083=""),"",$H1083-$K1083)</f>
        <v/>
      </c>
      <c r="M1083" s="15">
        <f>IF(OR('Data Entry'!A1083="",$K1083="",$K1083=0),"",$L1083/$K1083)</f>
        <v/>
      </c>
      <c r="N1083" s="12">
        <f>IF('Data Entry'!A1083="","",IF($L1083="","New item",IF($L1083&gt;0,"UP",IF($L1083&lt;0,"down","same"))))</f>
        <v/>
      </c>
    </row>
    <row r="1084">
      <c r="A1084" s="11">
        <f>IF('Data Entry'!A1084="","",'Data Entry'!A1084)</f>
        <v/>
      </c>
      <c r="B1084" s="12">
        <f>IF('Data Entry'!A1084="","",'Data Entry'!B1084)</f>
        <v/>
      </c>
      <c r="C1084" s="12">
        <f>IF('Data Entry'!A1084="","",'Data Entry'!C1084)</f>
        <v/>
      </c>
      <c r="D1084" s="12">
        <f>IF('Data Entry'!A1084="","",'Data Entry'!D1084)</f>
        <v/>
      </c>
      <c r="E1084" s="12">
        <f>IF('Data Entry'!A1084="","",'Data Entry'!E1084)</f>
        <v/>
      </c>
      <c r="F1084" s="12">
        <f>IF('Data Entry'!A1084="","",'Data Entry'!F1084)</f>
        <v/>
      </c>
      <c r="G1084" s="13">
        <f>IF('Data Entry'!A1084="","",'Data Entry'!G1084)</f>
        <v/>
      </c>
      <c r="H1084" s="10">
        <f>IF('Data Entry'!A1084="","",'Data Entry'!H1084)</f>
        <v/>
      </c>
      <c r="I1084" s="10">
        <f>IF('Data Entry'!A1084="","",'Data Entry'!I1084)</f>
        <v/>
      </c>
      <c r="J1084" s="12">
        <f>IF('Data Entry'!A1084="","",IF('Data Entry'!D1084&lt;&gt;"",'Data Entry'!D1084,'Data Entry'!E1084))</f>
        <v/>
      </c>
      <c r="K1084" s="10">
        <f>IF('Data Entry'!A1084="","",IFERROR(SUMIFS($H$5:$H$2001,$J$5:$J$2001,$J1084,$B$5:$B$2001,$B1084,$A$5:$A$2001,(MAXIFS($A$5:$A$2001,$J$5:$J$2001,$J1084,$B$5:$B$2001,$B1084,$A$5:$A$2001,"&lt;"&amp;$A1084))),""))</f>
        <v/>
      </c>
      <c r="L1084" s="14">
        <f>IF(OR('Data Entry'!A1084="",$K1084=""),"",$H1084-$K1084)</f>
        <v/>
      </c>
      <c r="M1084" s="15">
        <f>IF(OR('Data Entry'!A1084="",$K1084="",$K1084=0),"",$L1084/$K1084)</f>
        <v/>
      </c>
      <c r="N1084" s="12">
        <f>IF('Data Entry'!A1084="","",IF($L1084="","New item",IF($L1084&gt;0,"UP",IF($L1084&lt;0,"down","same"))))</f>
        <v/>
      </c>
    </row>
    <row r="1085">
      <c r="A1085" s="11">
        <f>IF('Data Entry'!A1085="","",'Data Entry'!A1085)</f>
        <v/>
      </c>
      <c r="B1085" s="12">
        <f>IF('Data Entry'!A1085="","",'Data Entry'!B1085)</f>
        <v/>
      </c>
      <c r="C1085" s="12">
        <f>IF('Data Entry'!A1085="","",'Data Entry'!C1085)</f>
        <v/>
      </c>
      <c r="D1085" s="12">
        <f>IF('Data Entry'!A1085="","",'Data Entry'!D1085)</f>
        <v/>
      </c>
      <c r="E1085" s="12">
        <f>IF('Data Entry'!A1085="","",'Data Entry'!E1085)</f>
        <v/>
      </c>
      <c r="F1085" s="12">
        <f>IF('Data Entry'!A1085="","",'Data Entry'!F1085)</f>
        <v/>
      </c>
      <c r="G1085" s="13">
        <f>IF('Data Entry'!A1085="","",'Data Entry'!G1085)</f>
        <v/>
      </c>
      <c r="H1085" s="10">
        <f>IF('Data Entry'!A1085="","",'Data Entry'!H1085)</f>
        <v/>
      </c>
      <c r="I1085" s="10">
        <f>IF('Data Entry'!A1085="","",'Data Entry'!I1085)</f>
        <v/>
      </c>
      <c r="J1085" s="12">
        <f>IF('Data Entry'!A1085="","",IF('Data Entry'!D1085&lt;&gt;"",'Data Entry'!D1085,'Data Entry'!E1085))</f>
        <v/>
      </c>
      <c r="K1085" s="10">
        <f>IF('Data Entry'!A1085="","",IFERROR(SUMIFS($H$5:$H$2001,$J$5:$J$2001,$J1085,$B$5:$B$2001,$B1085,$A$5:$A$2001,(MAXIFS($A$5:$A$2001,$J$5:$J$2001,$J1085,$B$5:$B$2001,$B1085,$A$5:$A$2001,"&lt;"&amp;$A1085))),""))</f>
        <v/>
      </c>
      <c r="L1085" s="14">
        <f>IF(OR('Data Entry'!A1085="",$K1085=""),"",$H1085-$K1085)</f>
        <v/>
      </c>
      <c r="M1085" s="15">
        <f>IF(OR('Data Entry'!A1085="",$K1085="",$K1085=0),"",$L1085/$K1085)</f>
        <v/>
      </c>
      <c r="N1085" s="12">
        <f>IF('Data Entry'!A1085="","",IF($L1085="","New item",IF($L1085&gt;0,"UP",IF($L1085&lt;0,"down","same"))))</f>
        <v/>
      </c>
    </row>
    <row r="1086">
      <c r="A1086" s="11">
        <f>IF('Data Entry'!A1086="","",'Data Entry'!A1086)</f>
        <v/>
      </c>
      <c r="B1086" s="12">
        <f>IF('Data Entry'!A1086="","",'Data Entry'!B1086)</f>
        <v/>
      </c>
      <c r="C1086" s="12">
        <f>IF('Data Entry'!A1086="","",'Data Entry'!C1086)</f>
        <v/>
      </c>
      <c r="D1086" s="12">
        <f>IF('Data Entry'!A1086="","",'Data Entry'!D1086)</f>
        <v/>
      </c>
      <c r="E1086" s="12">
        <f>IF('Data Entry'!A1086="","",'Data Entry'!E1086)</f>
        <v/>
      </c>
      <c r="F1086" s="12">
        <f>IF('Data Entry'!A1086="","",'Data Entry'!F1086)</f>
        <v/>
      </c>
      <c r="G1086" s="13">
        <f>IF('Data Entry'!A1086="","",'Data Entry'!G1086)</f>
        <v/>
      </c>
      <c r="H1086" s="10">
        <f>IF('Data Entry'!A1086="","",'Data Entry'!H1086)</f>
        <v/>
      </c>
      <c r="I1086" s="10">
        <f>IF('Data Entry'!A1086="","",'Data Entry'!I1086)</f>
        <v/>
      </c>
      <c r="J1086" s="12">
        <f>IF('Data Entry'!A1086="","",IF('Data Entry'!D1086&lt;&gt;"",'Data Entry'!D1086,'Data Entry'!E1086))</f>
        <v/>
      </c>
      <c r="K1086" s="10">
        <f>IF('Data Entry'!A1086="","",IFERROR(SUMIFS($H$5:$H$2001,$J$5:$J$2001,$J1086,$B$5:$B$2001,$B1086,$A$5:$A$2001,(MAXIFS($A$5:$A$2001,$J$5:$J$2001,$J1086,$B$5:$B$2001,$B1086,$A$5:$A$2001,"&lt;"&amp;$A1086))),""))</f>
        <v/>
      </c>
      <c r="L1086" s="14">
        <f>IF(OR('Data Entry'!A1086="",$K1086=""),"",$H1086-$K1086)</f>
        <v/>
      </c>
      <c r="M1086" s="15">
        <f>IF(OR('Data Entry'!A1086="",$K1086="",$K1086=0),"",$L1086/$K1086)</f>
        <v/>
      </c>
      <c r="N1086" s="12">
        <f>IF('Data Entry'!A1086="","",IF($L1086="","New item",IF($L1086&gt;0,"UP",IF($L1086&lt;0,"down","same"))))</f>
        <v/>
      </c>
    </row>
    <row r="1087">
      <c r="A1087" s="11">
        <f>IF('Data Entry'!A1087="","",'Data Entry'!A1087)</f>
        <v/>
      </c>
      <c r="B1087" s="12">
        <f>IF('Data Entry'!A1087="","",'Data Entry'!B1087)</f>
        <v/>
      </c>
      <c r="C1087" s="12">
        <f>IF('Data Entry'!A1087="","",'Data Entry'!C1087)</f>
        <v/>
      </c>
      <c r="D1087" s="12">
        <f>IF('Data Entry'!A1087="","",'Data Entry'!D1087)</f>
        <v/>
      </c>
      <c r="E1087" s="12">
        <f>IF('Data Entry'!A1087="","",'Data Entry'!E1087)</f>
        <v/>
      </c>
      <c r="F1087" s="12">
        <f>IF('Data Entry'!A1087="","",'Data Entry'!F1087)</f>
        <v/>
      </c>
      <c r="G1087" s="13">
        <f>IF('Data Entry'!A1087="","",'Data Entry'!G1087)</f>
        <v/>
      </c>
      <c r="H1087" s="10">
        <f>IF('Data Entry'!A1087="","",'Data Entry'!H1087)</f>
        <v/>
      </c>
      <c r="I1087" s="10">
        <f>IF('Data Entry'!A1087="","",'Data Entry'!I1087)</f>
        <v/>
      </c>
      <c r="J1087" s="12">
        <f>IF('Data Entry'!A1087="","",IF('Data Entry'!D1087&lt;&gt;"",'Data Entry'!D1087,'Data Entry'!E1087))</f>
        <v/>
      </c>
      <c r="K1087" s="10">
        <f>IF('Data Entry'!A1087="","",IFERROR(SUMIFS($H$5:$H$2001,$J$5:$J$2001,$J1087,$B$5:$B$2001,$B1087,$A$5:$A$2001,(MAXIFS($A$5:$A$2001,$J$5:$J$2001,$J1087,$B$5:$B$2001,$B1087,$A$5:$A$2001,"&lt;"&amp;$A1087))),""))</f>
        <v/>
      </c>
      <c r="L1087" s="14">
        <f>IF(OR('Data Entry'!A1087="",$K1087=""),"",$H1087-$K1087)</f>
        <v/>
      </c>
      <c r="M1087" s="15">
        <f>IF(OR('Data Entry'!A1087="",$K1087="",$K1087=0),"",$L1087/$K1087)</f>
        <v/>
      </c>
      <c r="N1087" s="12">
        <f>IF('Data Entry'!A1087="","",IF($L1087="","New item",IF($L1087&gt;0,"UP",IF($L1087&lt;0,"down","same"))))</f>
        <v/>
      </c>
    </row>
    <row r="1088">
      <c r="A1088" s="11">
        <f>IF('Data Entry'!A1088="","",'Data Entry'!A1088)</f>
        <v/>
      </c>
      <c r="B1088" s="12">
        <f>IF('Data Entry'!A1088="","",'Data Entry'!B1088)</f>
        <v/>
      </c>
      <c r="C1088" s="12">
        <f>IF('Data Entry'!A1088="","",'Data Entry'!C1088)</f>
        <v/>
      </c>
      <c r="D1088" s="12">
        <f>IF('Data Entry'!A1088="","",'Data Entry'!D1088)</f>
        <v/>
      </c>
      <c r="E1088" s="12">
        <f>IF('Data Entry'!A1088="","",'Data Entry'!E1088)</f>
        <v/>
      </c>
      <c r="F1088" s="12">
        <f>IF('Data Entry'!A1088="","",'Data Entry'!F1088)</f>
        <v/>
      </c>
      <c r="G1088" s="13">
        <f>IF('Data Entry'!A1088="","",'Data Entry'!G1088)</f>
        <v/>
      </c>
      <c r="H1088" s="10">
        <f>IF('Data Entry'!A1088="","",'Data Entry'!H1088)</f>
        <v/>
      </c>
      <c r="I1088" s="10">
        <f>IF('Data Entry'!A1088="","",'Data Entry'!I1088)</f>
        <v/>
      </c>
      <c r="J1088" s="12">
        <f>IF('Data Entry'!A1088="","",IF('Data Entry'!D1088&lt;&gt;"",'Data Entry'!D1088,'Data Entry'!E1088))</f>
        <v/>
      </c>
      <c r="K1088" s="10">
        <f>IF('Data Entry'!A1088="","",IFERROR(SUMIFS($H$5:$H$2001,$J$5:$J$2001,$J1088,$B$5:$B$2001,$B1088,$A$5:$A$2001,(MAXIFS($A$5:$A$2001,$J$5:$J$2001,$J1088,$B$5:$B$2001,$B1088,$A$5:$A$2001,"&lt;"&amp;$A1088))),""))</f>
        <v/>
      </c>
      <c r="L1088" s="14">
        <f>IF(OR('Data Entry'!A1088="",$K1088=""),"",$H1088-$K1088)</f>
        <v/>
      </c>
      <c r="M1088" s="15">
        <f>IF(OR('Data Entry'!A1088="",$K1088="",$K1088=0),"",$L1088/$K1088)</f>
        <v/>
      </c>
      <c r="N1088" s="12">
        <f>IF('Data Entry'!A1088="","",IF($L1088="","New item",IF($L1088&gt;0,"UP",IF($L1088&lt;0,"down","same"))))</f>
        <v/>
      </c>
    </row>
    <row r="1089">
      <c r="A1089" s="11">
        <f>IF('Data Entry'!A1089="","",'Data Entry'!A1089)</f>
        <v/>
      </c>
      <c r="B1089" s="12">
        <f>IF('Data Entry'!A1089="","",'Data Entry'!B1089)</f>
        <v/>
      </c>
      <c r="C1089" s="12">
        <f>IF('Data Entry'!A1089="","",'Data Entry'!C1089)</f>
        <v/>
      </c>
      <c r="D1089" s="12">
        <f>IF('Data Entry'!A1089="","",'Data Entry'!D1089)</f>
        <v/>
      </c>
      <c r="E1089" s="12">
        <f>IF('Data Entry'!A1089="","",'Data Entry'!E1089)</f>
        <v/>
      </c>
      <c r="F1089" s="12">
        <f>IF('Data Entry'!A1089="","",'Data Entry'!F1089)</f>
        <v/>
      </c>
      <c r="G1089" s="13">
        <f>IF('Data Entry'!A1089="","",'Data Entry'!G1089)</f>
        <v/>
      </c>
      <c r="H1089" s="10">
        <f>IF('Data Entry'!A1089="","",'Data Entry'!H1089)</f>
        <v/>
      </c>
      <c r="I1089" s="10">
        <f>IF('Data Entry'!A1089="","",'Data Entry'!I1089)</f>
        <v/>
      </c>
      <c r="J1089" s="12">
        <f>IF('Data Entry'!A1089="","",IF('Data Entry'!D1089&lt;&gt;"",'Data Entry'!D1089,'Data Entry'!E1089))</f>
        <v/>
      </c>
      <c r="K1089" s="10">
        <f>IF('Data Entry'!A1089="","",IFERROR(SUMIFS($H$5:$H$2001,$J$5:$J$2001,$J1089,$B$5:$B$2001,$B1089,$A$5:$A$2001,(MAXIFS($A$5:$A$2001,$J$5:$J$2001,$J1089,$B$5:$B$2001,$B1089,$A$5:$A$2001,"&lt;"&amp;$A1089))),""))</f>
        <v/>
      </c>
      <c r="L1089" s="14">
        <f>IF(OR('Data Entry'!A1089="",$K1089=""),"",$H1089-$K1089)</f>
        <v/>
      </c>
      <c r="M1089" s="15">
        <f>IF(OR('Data Entry'!A1089="",$K1089="",$K1089=0),"",$L1089/$K1089)</f>
        <v/>
      </c>
      <c r="N1089" s="12">
        <f>IF('Data Entry'!A1089="","",IF($L1089="","New item",IF($L1089&gt;0,"UP",IF($L1089&lt;0,"down","same"))))</f>
        <v/>
      </c>
    </row>
    <row r="1090">
      <c r="A1090" s="11">
        <f>IF('Data Entry'!A1090="","",'Data Entry'!A1090)</f>
        <v/>
      </c>
      <c r="B1090" s="12">
        <f>IF('Data Entry'!A1090="","",'Data Entry'!B1090)</f>
        <v/>
      </c>
      <c r="C1090" s="12">
        <f>IF('Data Entry'!A1090="","",'Data Entry'!C1090)</f>
        <v/>
      </c>
      <c r="D1090" s="12">
        <f>IF('Data Entry'!A1090="","",'Data Entry'!D1090)</f>
        <v/>
      </c>
      <c r="E1090" s="12">
        <f>IF('Data Entry'!A1090="","",'Data Entry'!E1090)</f>
        <v/>
      </c>
      <c r="F1090" s="12">
        <f>IF('Data Entry'!A1090="","",'Data Entry'!F1090)</f>
        <v/>
      </c>
      <c r="G1090" s="13">
        <f>IF('Data Entry'!A1090="","",'Data Entry'!G1090)</f>
        <v/>
      </c>
      <c r="H1090" s="10">
        <f>IF('Data Entry'!A1090="","",'Data Entry'!H1090)</f>
        <v/>
      </c>
      <c r="I1090" s="10">
        <f>IF('Data Entry'!A1090="","",'Data Entry'!I1090)</f>
        <v/>
      </c>
      <c r="J1090" s="12">
        <f>IF('Data Entry'!A1090="","",IF('Data Entry'!D1090&lt;&gt;"",'Data Entry'!D1090,'Data Entry'!E1090))</f>
        <v/>
      </c>
      <c r="K1090" s="10">
        <f>IF('Data Entry'!A1090="","",IFERROR(SUMIFS($H$5:$H$2001,$J$5:$J$2001,$J1090,$B$5:$B$2001,$B1090,$A$5:$A$2001,(MAXIFS($A$5:$A$2001,$J$5:$J$2001,$J1090,$B$5:$B$2001,$B1090,$A$5:$A$2001,"&lt;"&amp;$A1090))),""))</f>
        <v/>
      </c>
      <c r="L1090" s="14">
        <f>IF(OR('Data Entry'!A1090="",$K1090=""),"",$H1090-$K1090)</f>
        <v/>
      </c>
      <c r="M1090" s="15">
        <f>IF(OR('Data Entry'!A1090="",$K1090="",$K1090=0),"",$L1090/$K1090)</f>
        <v/>
      </c>
      <c r="N1090" s="12">
        <f>IF('Data Entry'!A1090="","",IF($L1090="","New item",IF($L1090&gt;0,"UP",IF($L1090&lt;0,"down","same"))))</f>
        <v/>
      </c>
    </row>
    <row r="1091">
      <c r="A1091" s="11">
        <f>IF('Data Entry'!A1091="","",'Data Entry'!A1091)</f>
        <v/>
      </c>
      <c r="B1091" s="12">
        <f>IF('Data Entry'!A1091="","",'Data Entry'!B1091)</f>
        <v/>
      </c>
      <c r="C1091" s="12">
        <f>IF('Data Entry'!A1091="","",'Data Entry'!C1091)</f>
        <v/>
      </c>
      <c r="D1091" s="12">
        <f>IF('Data Entry'!A1091="","",'Data Entry'!D1091)</f>
        <v/>
      </c>
      <c r="E1091" s="12">
        <f>IF('Data Entry'!A1091="","",'Data Entry'!E1091)</f>
        <v/>
      </c>
      <c r="F1091" s="12">
        <f>IF('Data Entry'!A1091="","",'Data Entry'!F1091)</f>
        <v/>
      </c>
      <c r="G1091" s="13">
        <f>IF('Data Entry'!A1091="","",'Data Entry'!G1091)</f>
        <v/>
      </c>
      <c r="H1091" s="10">
        <f>IF('Data Entry'!A1091="","",'Data Entry'!H1091)</f>
        <v/>
      </c>
      <c r="I1091" s="10">
        <f>IF('Data Entry'!A1091="","",'Data Entry'!I1091)</f>
        <v/>
      </c>
      <c r="J1091" s="12">
        <f>IF('Data Entry'!A1091="","",IF('Data Entry'!D1091&lt;&gt;"",'Data Entry'!D1091,'Data Entry'!E1091))</f>
        <v/>
      </c>
      <c r="K1091" s="10">
        <f>IF('Data Entry'!A1091="","",IFERROR(SUMIFS($H$5:$H$2001,$J$5:$J$2001,$J1091,$B$5:$B$2001,$B1091,$A$5:$A$2001,(MAXIFS($A$5:$A$2001,$J$5:$J$2001,$J1091,$B$5:$B$2001,$B1091,$A$5:$A$2001,"&lt;"&amp;$A1091))),""))</f>
        <v/>
      </c>
      <c r="L1091" s="14">
        <f>IF(OR('Data Entry'!A1091="",$K1091=""),"",$H1091-$K1091)</f>
        <v/>
      </c>
      <c r="M1091" s="15">
        <f>IF(OR('Data Entry'!A1091="",$K1091="",$K1091=0),"",$L1091/$K1091)</f>
        <v/>
      </c>
      <c r="N1091" s="12">
        <f>IF('Data Entry'!A1091="","",IF($L1091="","New item",IF($L1091&gt;0,"UP",IF($L1091&lt;0,"down","same"))))</f>
        <v/>
      </c>
    </row>
    <row r="1092">
      <c r="A1092" s="11">
        <f>IF('Data Entry'!A1092="","",'Data Entry'!A1092)</f>
        <v/>
      </c>
      <c r="B1092" s="12">
        <f>IF('Data Entry'!A1092="","",'Data Entry'!B1092)</f>
        <v/>
      </c>
      <c r="C1092" s="12">
        <f>IF('Data Entry'!A1092="","",'Data Entry'!C1092)</f>
        <v/>
      </c>
      <c r="D1092" s="12">
        <f>IF('Data Entry'!A1092="","",'Data Entry'!D1092)</f>
        <v/>
      </c>
      <c r="E1092" s="12">
        <f>IF('Data Entry'!A1092="","",'Data Entry'!E1092)</f>
        <v/>
      </c>
      <c r="F1092" s="12">
        <f>IF('Data Entry'!A1092="","",'Data Entry'!F1092)</f>
        <v/>
      </c>
      <c r="G1092" s="13">
        <f>IF('Data Entry'!A1092="","",'Data Entry'!G1092)</f>
        <v/>
      </c>
      <c r="H1092" s="10">
        <f>IF('Data Entry'!A1092="","",'Data Entry'!H1092)</f>
        <v/>
      </c>
      <c r="I1092" s="10">
        <f>IF('Data Entry'!A1092="","",'Data Entry'!I1092)</f>
        <v/>
      </c>
      <c r="J1092" s="12">
        <f>IF('Data Entry'!A1092="","",IF('Data Entry'!D1092&lt;&gt;"",'Data Entry'!D1092,'Data Entry'!E1092))</f>
        <v/>
      </c>
      <c r="K1092" s="10">
        <f>IF('Data Entry'!A1092="","",IFERROR(SUMIFS($H$5:$H$2001,$J$5:$J$2001,$J1092,$B$5:$B$2001,$B1092,$A$5:$A$2001,(MAXIFS($A$5:$A$2001,$J$5:$J$2001,$J1092,$B$5:$B$2001,$B1092,$A$5:$A$2001,"&lt;"&amp;$A1092))),""))</f>
        <v/>
      </c>
      <c r="L1092" s="14">
        <f>IF(OR('Data Entry'!A1092="",$K1092=""),"",$H1092-$K1092)</f>
        <v/>
      </c>
      <c r="M1092" s="15">
        <f>IF(OR('Data Entry'!A1092="",$K1092="",$K1092=0),"",$L1092/$K1092)</f>
        <v/>
      </c>
      <c r="N1092" s="12">
        <f>IF('Data Entry'!A1092="","",IF($L1092="","New item",IF($L1092&gt;0,"UP",IF($L1092&lt;0,"down","same"))))</f>
        <v/>
      </c>
    </row>
    <row r="1093">
      <c r="A1093" s="11">
        <f>IF('Data Entry'!A1093="","",'Data Entry'!A1093)</f>
        <v/>
      </c>
      <c r="B1093" s="12">
        <f>IF('Data Entry'!A1093="","",'Data Entry'!B1093)</f>
        <v/>
      </c>
      <c r="C1093" s="12">
        <f>IF('Data Entry'!A1093="","",'Data Entry'!C1093)</f>
        <v/>
      </c>
      <c r="D1093" s="12">
        <f>IF('Data Entry'!A1093="","",'Data Entry'!D1093)</f>
        <v/>
      </c>
      <c r="E1093" s="12">
        <f>IF('Data Entry'!A1093="","",'Data Entry'!E1093)</f>
        <v/>
      </c>
      <c r="F1093" s="12">
        <f>IF('Data Entry'!A1093="","",'Data Entry'!F1093)</f>
        <v/>
      </c>
      <c r="G1093" s="13">
        <f>IF('Data Entry'!A1093="","",'Data Entry'!G1093)</f>
        <v/>
      </c>
      <c r="H1093" s="10">
        <f>IF('Data Entry'!A1093="","",'Data Entry'!H1093)</f>
        <v/>
      </c>
      <c r="I1093" s="10">
        <f>IF('Data Entry'!A1093="","",'Data Entry'!I1093)</f>
        <v/>
      </c>
      <c r="J1093" s="12">
        <f>IF('Data Entry'!A1093="","",IF('Data Entry'!D1093&lt;&gt;"",'Data Entry'!D1093,'Data Entry'!E1093))</f>
        <v/>
      </c>
      <c r="K1093" s="10">
        <f>IF('Data Entry'!A1093="","",IFERROR(SUMIFS($H$5:$H$2001,$J$5:$J$2001,$J1093,$B$5:$B$2001,$B1093,$A$5:$A$2001,(MAXIFS($A$5:$A$2001,$J$5:$J$2001,$J1093,$B$5:$B$2001,$B1093,$A$5:$A$2001,"&lt;"&amp;$A1093))),""))</f>
        <v/>
      </c>
      <c r="L1093" s="14">
        <f>IF(OR('Data Entry'!A1093="",$K1093=""),"",$H1093-$K1093)</f>
        <v/>
      </c>
      <c r="M1093" s="15">
        <f>IF(OR('Data Entry'!A1093="",$K1093="",$K1093=0),"",$L1093/$K1093)</f>
        <v/>
      </c>
      <c r="N1093" s="12">
        <f>IF('Data Entry'!A1093="","",IF($L1093="","New item",IF($L1093&gt;0,"UP",IF($L1093&lt;0,"down","same"))))</f>
        <v/>
      </c>
    </row>
    <row r="1094">
      <c r="A1094" s="11">
        <f>IF('Data Entry'!A1094="","",'Data Entry'!A1094)</f>
        <v/>
      </c>
      <c r="B1094" s="12">
        <f>IF('Data Entry'!A1094="","",'Data Entry'!B1094)</f>
        <v/>
      </c>
      <c r="C1094" s="12">
        <f>IF('Data Entry'!A1094="","",'Data Entry'!C1094)</f>
        <v/>
      </c>
      <c r="D1094" s="12">
        <f>IF('Data Entry'!A1094="","",'Data Entry'!D1094)</f>
        <v/>
      </c>
      <c r="E1094" s="12">
        <f>IF('Data Entry'!A1094="","",'Data Entry'!E1094)</f>
        <v/>
      </c>
      <c r="F1094" s="12">
        <f>IF('Data Entry'!A1094="","",'Data Entry'!F1094)</f>
        <v/>
      </c>
      <c r="G1094" s="13">
        <f>IF('Data Entry'!A1094="","",'Data Entry'!G1094)</f>
        <v/>
      </c>
      <c r="H1094" s="10">
        <f>IF('Data Entry'!A1094="","",'Data Entry'!H1094)</f>
        <v/>
      </c>
      <c r="I1094" s="10">
        <f>IF('Data Entry'!A1094="","",'Data Entry'!I1094)</f>
        <v/>
      </c>
      <c r="J1094" s="12">
        <f>IF('Data Entry'!A1094="","",IF('Data Entry'!D1094&lt;&gt;"",'Data Entry'!D1094,'Data Entry'!E1094))</f>
        <v/>
      </c>
      <c r="K1094" s="10">
        <f>IF('Data Entry'!A1094="","",IFERROR(SUMIFS($H$5:$H$2001,$J$5:$J$2001,$J1094,$B$5:$B$2001,$B1094,$A$5:$A$2001,(MAXIFS($A$5:$A$2001,$J$5:$J$2001,$J1094,$B$5:$B$2001,$B1094,$A$5:$A$2001,"&lt;"&amp;$A1094))),""))</f>
        <v/>
      </c>
      <c r="L1094" s="14">
        <f>IF(OR('Data Entry'!A1094="",$K1094=""),"",$H1094-$K1094)</f>
        <v/>
      </c>
      <c r="M1094" s="15">
        <f>IF(OR('Data Entry'!A1094="",$K1094="",$K1094=0),"",$L1094/$K1094)</f>
        <v/>
      </c>
      <c r="N1094" s="12">
        <f>IF('Data Entry'!A1094="","",IF($L1094="","New item",IF($L1094&gt;0,"UP",IF($L1094&lt;0,"down","same"))))</f>
        <v/>
      </c>
    </row>
    <row r="1095">
      <c r="A1095" s="11">
        <f>IF('Data Entry'!A1095="","",'Data Entry'!A1095)</f>
        <v/>
      </c>
      <c r="B1095" s="12">
        <f>IF('Data Entry'!A1095="","",'Data Entry'!B1095)</f>
        <v/>
      </c>
      <c r="C1095" s="12">
        <f>IF('Data Entry'!A1095="","",'Data Entry'!C1095)</f>
        <v/>
      </c>
      <c r="D1095" s="12">
        <f>IF('Data Entry'!A1095="","",'Data Entry'!D1095)</f>
        <v/>
      </c>
      <c r="E1095" s="12">
        <f>IF('Data Entry'!A1095="","",'Data Entry'!E1095)</f>
        <v/>
      </c>
      <c r="F1095" s="12">
        <f>IF('Data Entry'!A1095="","",'Data Entry'!F1095)</f>
        <v/>
      </c>
      <c r="G1095" s="13">
        <f>IF('Data Entry'!A1095="","",'Data Entry'!G1095)</f>
        <v/>
      </c>
      <c r="H1095" s="10">
        <f>IF('Data Entry'!A1095="","",'Data Entry'!H1095)</f>
        <v/>
      </c>
      <c r="I1095" s="10">
        <f>IF('Data Entry'!A1095="","",'Data Entry'!I1095)</f>
        <v/>
      </c>
      <c r="J1095" s="12">
        <f>IF('Data Entry'!A1095="","",IF('Data Entry'!D1095&lt;&gt;"",'Data Entry'!D1095,'Data Entry'!E1095))</f>
        <v/>
      </c>
      <c r="K1095" s="10">
        <f>IF('Data Entry'!A1095="","",IFERROR(SUMIFS($H$5:$H$2001,$J$5:$J$2001,$J1095,$B$5:$B$2001,$B1095,$A$5:$A$2001,(MAXIFS($A$5:$A$2001,$J$5:$J$2001,$J1095,$B$5:$B$2001,$B1095,$A$5:$A$2001,"&lt;"&amp;$A1095))),""))</f>
        <v/>
      </c>
      <c r="L1095" s="14">
        <f>IF(OR('Data Entry'!A1095="",$K1095=""),"",$H1095-$K1095)</f>
        <v/>
      </c>
      <c r="M1095" s="15">
        <f>IF(OR('Data Entry'!A1095="",$K1095="",$K1095=0),"",$L1095/$K1095)</f>
        <v/>
      </c>
      <c r="N1095" s="12">
        <f>IF('Data Entry'!A1095="","",IF($L1095="","New item",IF($L1095&gt;0,"UP",IF($L1095&lt;0,"down","same"))))</f>
        <v/>
      </c>
    </row>
    <row r="1096">
      <c r="A1096" s="11">
        <f>IF('Data Entry'!A1096="","",'Data Entry'!A1096)</f>
        <v/>
      </c>
      <c r="B1096" s="12">
        <f>IF('Data Entry'!A1096="","",'Data Entry'!B1096)</f>
        <v/>
      </c>
      <c r="C1096" s="12">
        <f>IF('Data Entry'!A1096="","",'Data Entry'!C1096)</f>
        <v/>
      </c>
      <c r="D1096" s="12">
        <f>IF('Data Entry'!A1096="","",'Data Entry'!D1096)</f>
        <v/>
      </c>
      <c r="E1096" s="12">
        <f>IF('Data Entry'!A1096="","",'Data Entry'!E1096)</f>
        <v/>
      </c>
      <c r="F1096" s="12">
        <f>IF('Data Entry'!A1096="","",'Data Entry'!F1096)</f>
        <v/>
      </c>
      <c r="G1096" s="13">
        <f>IF('Data Entry'!A1096="","",'Data Entry'!G1096)</f>
        <v/>
      </c>
      <c r="H1096" s="10">
        <f>IF('Data Entry'!A1096="","",'Data Entry'!H1096)</f>
        <v/>
      </c>
      <c r="I1096" s="10">
        <f>IF('Data Entry'!A1096="","",'Data Entry'!I1096)</f>
        <v/>
      </c>
      <c r="J1096" s="12">
        <f>IF('Data Entry'!A1096="","",IF('Data Entry'!D1096&lt;&gt;"",'Data Entry'!D1096,'Data Entry'!E1096))</f>
        <v/>
      </c>
      <c r="K1096" s="10">
        <f>IF('Data Entry'!A1096="","",IFERROR(SUMIFS($H$5:$H$2001,$J$5:$J$2001,$J1096,$B$5:$B$2001,$B1096,$A$5:$A$2001,(MAXIFS($A$5:$A$2001,$J$5:$J$2001,$J1096,$B$5:$B$2001,$B1096,$A$5:$A$2001,"&lt;"&amp;$A1096))),""))</f>
        <v/>
      </c>
      <c r="L1096" s="14">
        <f>IF(OR('Data Entry'!A1096="",$K1096=""),"",$H1096-$K1096)</f>
        <v/>
      </c>
      <c r="M1096" s="15">
        <f>IF(OR('Data Entry'!A1096="",$K1096="",$K1096=0),"",$L1096/$K1096)</f>
        <v/>
      </c>
      <c r="N1096" s="12">
        <f>IF('Data Entry'!A1096="","",IF($L1096="","New item",IF($L1096&gt;0,"UP",IF($L1096&lt;0,"down","same"))))</f>
        <v/>
      </c>
    </row>
    <row r="1097">
      <c r="A1097" s="11">
        <f>IF('Data Entry'!A1097="","",'Data Entry'!A1097)</f>
        <v/>
      </c>
      <c r="B1097" s="12">
        <f>IF('Data Entry'!A1097="","",'Data Entry'!B1097)</f>
        <v/>
      </c>
      <c r="C1097" s="12">
        <f>IF('Data Entry'!A1097="","",'Data Entry'!C1097)</f>
        <v/>
      </c>
      <c r="D1097" s="12">
        <f>IF('Data Entry'!A1097="","",'Data Entry'!D1097)</f>
        <v/>
      </c>
      <c r="E1097" s="12">
        <f>IF('Data Entry'!A1097="","",'Data Entry'!E1097)</f>
        <v/>
      </c>
      <c r="F1097" s="12">
        <f>IF('Data Entry'!A1097="","",'Data Entry'!F1097)</f>
        <v/>
      </c>
      <c r="G1097" s="13">
        <f>IF('Data Entry'!A1097="","",'Data Entry'!G1097)</f>
        <v/>
      </c>
      <c r="H1097" s="10">
        <f>IF('Data Entry'!A1097="","",'Data Entry'!H1097)</f>
        <v/>
      </c>
      <c r="I1097" s="10">
        <f>IF('Data Entry'!A1097="","",'Data Entry'!I1097)</f>
        <v/>
      </c>
      <c r="J1097" s="12">
        <f>IF('Data Entry'!A1097="","",IF('Data Entry'!D1097&lt;&gt;"",'Data Entry'!D1097,'Data Entry'!E1097))</f>
        <v/>
      </c>
      <c r="K1097" s="10">
        <f>IF('Data Entry'!A1097="","",IFERROR(SUMIFS($H$5:$H$2001,$J$5:$J$2001,$J1097,$B$5:$B$2001,$B1097,$A$5:$A$2001,(MAXIFS($A$5:$A$2001,$J$5:$J$2001,$J1097,$B$5:$B$2001,$B1097,$A$5:$A$2001,"&lt;"&amp;$A1097))),""))</f>
        <v/>
      </c>
      <c r="L1097" s="14">
        <f>IF(OR('Data Entry'!A1097="",$K1097=""),"",$H1097-$K1097)</f>
        <v/>
      </c>
      <c r="M1097" s="15">
        <f>IF(OR('Data Entry'!A1097="",$K1097="",$K1097=0),"",$L1097/$K1097)</f>
        <v/>
      </c>
      <c r="N1097" s="12">
        <f>IF('Data Entry'!A1097="","",IF($L1097="","New item",IF($L1097&gt;0,"UP",IF($L1097&lt;0,"down","same"))))</f>
        <v/>
      </c>
    </row>
    <row r="1098">
      <c r="A1098" s="11">
        <f>IF('Data Entry'!A1098="","",'Data Entry'!A1098)</f>
        <v/>
      </c>
      <c r="B1098" s="12">
        <f>IF('Data Entry'!A1098="","",'Data Entry'!B1098)</f>
        <v/>
      </c>
      <c r="C1098" s="12">
        <f>IF('Data Entry'!A1098="","",'Data Entry'!C1098)</f>
        <v/>
      </c>
      <c r="D1098" s="12">
        <f>IF('Data Entry'!A1098="","",'Data Entry'!D1098)</f>
        <v/>
      </c>
      <c r="E1098" s="12">
        <f>IF('Data Entry'!A1098="","",'Data Entry'!E1098)</f>
        <v/>
      </c>
      <c r="F1098" s="12">
        <f>IF('Data Entry'!A1098="","",'Data Entry'!F1098)</f>
        <v/>
      </c>
      <c r="G1098" s="13">
        <f>IF('Data Entry'!A1098="","",'Data Entry'!G1098)</f>
        <v/>
      </c>
      <c r="H1098" s="10">
        <f>IF('Data Entry'!A1098="","",'Data Entry'!H1098)</f>
        <v/>
      </c>
      <c r="I1098" s="10">
        <f>IF('Data Entry'!A1098="","",'Data Entry'!I1098)</f>
        <v/>
      </c>
      <c r="J1098" s="12">
        <f>IF('Data Entry'!A1098="","",IF('Data Entry'!D1098&lt;&gt;"",'Data Entry'!D1098,'Data Entry'!E1098))</f>
        <v/>
      </c>
      <c r="K1098" s="10">
        <f>IF('Data Entry'!A1098="","",IFERROR(SUMIFS($H$5:$H$2001,$J$5:$J$2001,$J1098,$B$5:$B$2001,$B1098,$A$5:$A$2001,(MAXIFS($A$5:$A$2001,$J$5:$J$2001,$J1098,$B$5:$B$2001,$B1098,$A$5:$A$2001,"&lt;"&amp;$A1098))),""))</f>
        <v/>
      </c>
      <c r="L1098" s="14">
        <f>IF(OR('Data Entry'!A1098="",$K1098=""),"",$H1098-$K1098)</f>
        <v/>
      </c>
      <c r="M1098" s="15">
        <f>IF(OR('Data Entry'!A1098="",$K1098="",$K1098=0),"",$L1098/$K1098)</f>
        <v/>
      </c>
      <c r="N1098" s="12">
        <f>IF('Data Entry'!A1098="","",IF($L1098="","New item",IF($L1098&gt;0,"UP",IF($L1098&lt;0,"down","same"))))</f>
        <v/>
      </c>
    </row>
    <row r="1099">
      <c r="A1099" s="11">
        <f>IF('Data Entry'!A1099="","",'Data Entry'!A1099)</f>
        <v/>
      </c>
      <c r="B1099" s="12">
        <f>IF('Data Entry'!A1099="","",'Data Entry'!B1099)</f>
        <v/>
      </c>
      <c r="C1099" s="12">
        <f>IF('Data Entry'!A1099="","",'Data Entry'!C1099)</f>
        <v/>
      </c>
      <c r="D1099" s="12">
        <f>IF('Data Entry'!A1099="","",'Data Entry'!D1099)</f>
        <v/>
      </c>
      <c r="E1099" s="12">
        <f>IF('Data Entry'!A1099="","",'Data Entry'!E1099)</f>
        <v/>
      </c>
      <c r="F1099" s="12">
        <f>IF('Data Entry'!A1099="","",'Data Entry'!F1099)</f>
        <v/>
      </c>
      <c r="G1099" s="13">
        <f>IF('Data Entry'!A1099="","",'Data Entry'!G1099)</f>
        <v/>
      </c>
      <c r="H1099" s="10">
        <f>IF('Data Entry'!A1099="","",'Data Entry'!H1099)</f>
        <v/>
      </c>
      <c r="I1099" s="10">
        <f>IF('Data Entry'!A1099="","",'Data Entry'!I1099)</f>
        <v/>
      </c>
      <c r="J1099" s="12">
        <f>IF('Data Entry'!A1099="","",IF('Data Entry'!D1099&lt;&gt;"",'Data Entry'!D1099,'Data Entry'!E1099))</f>
        <v/>
      </c>
      <c r="K1099" s="10">
        <f>IF('Data Entry'!A1099="","",IFERROR(SUMIFS($H$5:$H$2001,$J$5:$J$2001,$J1099,$B$5:$B$2001,$B1099,$A$5:$A$2001,(MAXIFS($A$5:$A$2001,$J$5:$J$2001,$J1099,$B$5:$B$2001,$B1099,$A$5:$A$2001,"&lt;"&amp;$A1099))),""))</f>
        <v/>
      </c>
      <c r="L1099" s="14">
        <f>IF(OR('Data Entry'!A1099="",$K1099=""),"",$H1099-$K1099)</f>
        <v/>
      </c>
      <c r="M1099" s="15">
        <f>IF(OR('Data Entry'!A1099="",$K1099="",$K1099=0),"",$L1099/$K1099)</f>
        <v/>
      </c>
      <c r="N1099" s="12">
        <f>IF('Data Entry'!A1099="","",IF($L1099="","New item",IF($L1099&gt;0,"UP",IF($L1099&lt;0,"down","same"))))</f>
        <v/>
      </c>
    </row>
    <row r="1100">
      <c r="A1100" s="11">
        <f>IF('Data Entry'!A1100="","",'Data Entry'!A1100)</f>
        <v/>
      </c>
      <c r="B1100" s="12">
        <f>IF('Data Entry'!A1100="","",'Data Entry'!B1100)</f>
        <v/>
      </c>
      <c r="C1100" s="12">
        <f>IF('Data Entry'!A1100="","",'Data Entry'!C1100)</f>
        <v/>
      </c>
      <c r="D1100" s="12">
        <f>IF('Data Entry'!A1100="","",'Data Entry'!D1100)</f>
        <v/>
      </c>
      <c r="E1100" s="12">
        <f>IF('Data Entry'!A1100="","",'Data Entry'!E1100)</f>
        <v/>
      </c>
      <c r="F1100" s="12">
        <f>IF('Data Entry'!A1100="","",'Data Entry'!F1100)</f>
        <v/>
      </c>
      <c r="G1100" s="13">
        <f>IF('Data Entry'!A1100="","",'Data Entry'!G1100)</f>
        <v/>
      </c>
      <c r="H1100" s="10">
        <f>IF('Data Entry'!A1100="","",'Data Entry'!H1100)</f>
        <v/>
      </c>
      <c r="I1100" s="10">
        <f>IF('Data Entry'!A1100="","",'Data Entry'!I1100)</f>
        <v/>
      </c>
      <c r="J1100" s="12">
        <f>IF('Data Entry'!A1100="","",IF('Data Entry'!D1100&lt;&gt;"",'Data Entry'!D1100,'Data Entry'!E1100))</f>
        <v/>
      </c>
      <c r="K1100" s="10">
        <f>IF('Data Entry'!A1100="","",IFERROR(SUMIFS($H$5:$H$2001,$J$5:$J$2001,$J1100,$B$5:$B$2001,$B1100,$A$5:$A$2001,(MAXIFS($A$5:$A$2001,$J$5:$J$2001,$J1100,$B$5:$B$2001,$B1100,$A$5:$A$2001,"&lt;"&amp;$A1100))),""))</f>
        <v/>
      </c>
      <c r="L1100" s="14">
        <f>IF(OR('Data Entry'!A1100="",$K1100=""),"",$H1100-$K1100)</f>
        <v/>
      </c>
      <c r="M1100" s="15">
        <f>IF(OR('Data Entry'!A1100="",$K1100="",$K1100=0),"",$L1100/$K1100)</f>
        <v/>
      </c>
      <c r="N1100" s="12">
        <f>IF('Data Entry'!A1100="","",IF($L1100="","New item",IF($L1100&gt;0,"UP",IF($L1100&lt;0,"down","same"))))</f>
        <v/>
      </c>
    </row>
    <row r="1101">
      <c r="A1101" s="11">
        <f>IF('Data Entry'!A1101="","",'Data Entry'!A1101)</f>
        <v/>
      </c>
      <c r="B1101" s="12">
        <f>IF('Data Entry'!A1101="","",'Data Entry'!B1101)</f>
        <v/>
      </c>
      <c r="C1101" s="12">
        <f>IF('Data Entry'!A1101="","",'Data Entry'!C1101)</f>
        <v/>
      </c>
      <c r="D1101" s="12">
        <f>IF('Data Entry'!A1101="","",'Data Entry'!D1101)</f>
        <v/>
      </c>
      <c r="E1101" s="12">
        <f>IF('Data Entry'!A1101="","",'Data Entry'!E1101)</f>
        <v/>
      </c>
      <c r="F1101" s="12">
        <f>IF('Data Entry'!A1101="","",'Data Entry'!F1101)</f>
        <v/>
      </c>
      <c r="G1101" s="13">
        <f>IF('Data Entry'!A1101="","",'Data Entry'!G1101)</f>
        <v/>
      </c>
      <c r="H1101" s="10">
        <f>IF('Data Entry'!A1101="","",'Data Entry'!H1101)</f>
        <v/>
      </c>
      <c r="I1101" s="10">
        <f>IF('Data Entry'!A1101="","",'Data Entry'!I1101)</f>
        <v/>
      </c>
      <c r="J1101" s="12">
        <f>IF('Data Entry'!A1101="","",IF('Data Entry'!D1101&lt;&gt;"",'Data Entry'!D1101,'Data Entry'!E1101))</f>
        <v/>
      </c>
      <c r="K1101" s="10">
        <f>IF('Data Entry'!A1101="","",IFERROR(SUMIFS($H$5:$H$2001,$J$5:$J$2001,$J1101,$B$5:$B$2001,$B1101,$A$5:$A$2001,(MAXIFS($A$5:$A$2001,$J$5:$J$2001,$J1101,$B$5:$B$2001,$B1101,$A$5:$A$2001,"&lt;"&amp;$A1101))),""))</f>
        <v/>
      </c>
      <c r="L1101" s="14">
        <f>IF(OR('Data Entry'!A1101="",$K1101=""),"",$H1101-$K1101)</f>
        <v/>
      </c>
      <c r="M1101" s="15">
        <f>IF(OR('Data Entry'!A1101="",$K1101="",$K1101=0),"",$L1101/$K1101)</f>
        <v/>
      </c>
      <c r="N1101" s="12">
        <f>IF('Data Entry'!A1101="","",IF($L1101="","New item",IF($L1101&gt;0,"UP",IF($L1101&lt;0,"down","same"))))</f>
        <v/>
      </c>
    </row>
    <row r="1102">
      <c r="A1102" s="11">
        <f>IF('Data Entry'!A1102="","",'Data Entry'!A1102)</f>
        <v/>
      </c>
      <c r="B1102" s="12">
        <f>IF('Data Entry'!A1102="","",'Data Entry'!B1102)</f>
        <v/>
      </c>
      <c r="C1102" s="12">
        <f>IF('Data Entry'!A1102="","",'Data Entry'!C1102)</f>
        <v/>
      </c>
      <c r="D1102" s="12">
        <f>IF('Data Entry'!A1102="","",'Data Entry'!D1102)</f>
        <v/>
      </c>
      <c r="E1102" s="12">
        <f>IF('Data Entry'!A1102="","",'Data Entry'!E1102)</f>
        <v/>
      </c>
      <c r="F1102" s="12">
        <f>IF('Data Entry'!A1102="","",'Data Entry'!F1102)</f>
        <v/>
      </c>
      <c r="G1102" s="13">
        <f>IF('Data Entry'!A1102="","",'Data Entry'!G1102)</f>
        <v/>
      </c>
      <c r="H1102" s="10">
        <f>IF('Data Entry'!A1102="","",'Data Entry'!H1102)</f>
        <v/>
      </c>
      <c r="I1102" s="10">
        <f>IF('Data Entry'!A1102="","",'Data Entry'!I1102)</f>
        <v/>
      </c>
      <c r="J1102" s="12">
        <f>IF('Data Entry'!A1102="","",IF('Data Entry'!D1102&lt;&gt;"",'Data Entry'!D1102,'Data Entry'!E1102))</f>
        <v/>
      </c>
      <c r="K1102" s="10">
        <f>IF('Data Entry'!A1102="","",IFERROR(SUMIFS($H$5:$H$2001,$J$5:$J$2001,$J1102,$B$5:$B$2001,$B1102,$A$5:$A$2001,(MAXIFS($A$5:$A$2001,$J$5:$J$2001,$J1102,$B$5:$B$2001,$B1102,$A$5:$A$2001,"&lt;"&amp;$A1102))),""))</f>
        <v/>
      </c>
      <c r="L1102" s="14">
        <f>IF(OR('Data Entry'!A1102="",$K1102=""),"",$H1102-$K1102)</f>
        <v/>
      </c>
      <c r="M1102" s="15">
        <f>IF(OR('Data Entry'!A1102="",$K1102="",$K1102=0),"",$L1102/$K1102)</f>
        <v/>
      </c>
      <c r="N1102" s="12">
        <f>IF('Data Entry'!A1102="","",IF($L1102="","New item",IF($L1102&gt;0,"UP",IF($L1102&lt;0,"down","same"))))</f>
        <v/>
      </c>
    </row>
    <row r="1103">
      <c r="A1103" s="11">
        <f>IF('Data Entry'!A1103="","",'Data Entry'!A1103)</f>
        <v/>
      </c>
      <c r="B1103" s="12">
        <f>IF('Data Entry'!A1103="","",'Data Entry'!B1103)</f>
        <v/>
      </c>
      <c r="C1103" s="12">
        <f>IF('Data Entry'!A1103="","",'Data Entry'!C1103)</f>
        <v/>
      </c>
      <c r="D1103" s="12">
        <f>IF('Data Entry'!A1103="","",'Data Entry'!D1103)</f>
        <v/>
      </c>
      <c r="E1103" s="12">
        <f>IF('Data Entry'!A1103="","",'Data Entry'!E1103)</f>
        <v/>
      </c>
      <c r="F1103" s="12">
        <f>IF('Data Entry'!A1103="","",'Data Entry'!F1103)</f>
        <v/>
      </c>
      <c r="G1103" s="13">
        <f>IF('Data Entry'!A1103="","",'Data Entry'!G1103)</f>
        <v/>
      </c>
      <c r="H1103" s="10">
        <f>IF('Data Entry'!A1103="","",'Data Entry'!H1103)</f>
        <v/>
      </c>
      <c r="I1103" s="10">
        <f>IF('Data Entry'!A1103="","",'Data Entry'!I1103)</f>
        <v/>
      </c>
      <c r="J1103" s="12">
        <f>IF('Data Entry'!A1103="","",IF('Data Entry'!D1103&lt;&gt;"",'Data Entry'!D1103,'Data Entry'!E1103))</f>
        <v/>
      </c>
      <c r="K1103" s="10">
        <f>IF('Data Entry'!A1103="","",IFERROR(SUMIFS($H$5:$H$2001,$J$5:$J$2001,$J1103,$B$5:$B$2001,$B1103,$A$5:$A$2001,(MAXIFS($A$5:$A$2001,$J$5:$J$2001,$J1103,$B$5:$B$2001,$B1103,$A$5:$A$2001,"&lt;"&amp;$A1103))),""))</f>
        <v/>
      </c>
      <c r="L1103" s="14">
        <f>IF(OR('Data Entry'!A1103="",$K1103=""),"",$H1103-$K1103)</f>
        <v/>
      </c>
      <c r="M1103" s="15">
        <f>IF(OR('Data Entry'!A1103="",$K1103="",$K1103=0),"",$L1103/$K1103)</f>
        <v/>
      </c>
      <c r="N1103" s="12">
        <f>IF('Data Entry'!A1103="","",IF($L1103="","New item",IF($L1103&gt;0,"UP",IF($L1103&lt;0,"down","same"))))</f>
        <v/>
      </c>
    </row>
    <row r="1104">
      <c r="A1104" s="11">
        <f>IF('Data Entry'!A1104="","",'Data Entry'!A1104)</f>
        <v/>
      </c>
      <c r="B1104" s="12">
        <f>IF('Data Entry'!A1104="","",'Data Entry'!B1104)</f>
        <v/>
      </c>
      <c r="C1104" s="12">
        <f>IF('Data Entry'!A1104="","",'Data Entry'!C1104)</f>
        <v/>
      </c>
      <c r="D1104" s="12">
        <f>IF('Data Entry'!A1104="","",'Data Entry'!D1104)</f>
        <v/>
      </c>
      <c r="E1104" s="12">
        <f>IF('Data Entry'!A1104="","",'Data Entry'!E1104)</f>
        <v/>
      </c>
      <c r="F1104" s="12">
        <f>IF('Data Entry'!A1104="","",'Data Entry'!F1104)</f>
        <v/>
      </c>
      <c r="G1104" s="13">
        <f>IF('Data Entry'!A1104="","",'Data Entry'!G1104)</f>
        <v/>
      </c>
      <c r="H1104" s="10">
        <f>IF('Data Entry'!A1104="","",'Data Entry'!H1104)</f>
        <v/>
      </c>
      <c r="I1104" s="10">
        <f>IF('Data Entry'!A1104="","",'Data Entry'!I1104)</f>
        <v/>
      </c>
      <c r="J1104" s="12">
        <f>IF('Data Entry'!A1104="","",IF('Data Entry'!D1104&lt;&gt;"",'Data Entry'!D1104,'Data Entry'!E1104))</f>
        <v/>
      </c>
      <c r="K1104" s="10">
        <f>IF('Data Entry'!A1104="","",IFERROR(SUMIFS($H$5:$H$2001,$J$5:$J$2001,$J1104,$B$5:$B$2001,$B1104,$A$5:$A$2001,(MAXIFS($A$5:$A$2001,$J$5:$J$2001,$J1104,$B$5:$B$2001,$B1104,$A$5:$A$2001,"&lt;"&amp;$A1104))),""))</f>
        <v/>
      </c>
      <c r="L1104" s="14">
        <f>IF(OR('Data Entry'!A1104="",$K1104=""),"",$H1104-$K1104)</f>
        <v/>
      </c>
      <c r="M1104" s="15">
        <f>IF(OR('Data Entry'!A1104="",$K1104="",$K1104=0),"",$L1104/$K1104)</f>
        <v/>
      </c>
      <c r="N1104" s="12">
        <f>IF('Data Entry'!A1104="","",IF($L1104="","New item",IF($L1104&gt;0,"UP",IF($L1104&lt;0,"down","same"))))</f>
        <v/>
      </c>
    </row>
    <row r="1105">
      <c r="A1105" s="11">
        <f>IF('Data Entry'!A1105="","",'Data Entry'!A1105)</f>
        <v/>
      </c>
      <c r="B1105" s="12">
        <f>IF('Data Entry'!A1105="","",'Data Entry'!B1105)</f>
        <v/>
      </c>
      <c r="C1105" s="12">
        <f>IF('Data Entry'!A1105="","",'Data Entry'!C1105)</f>
        <v/>
      </c>
      <c r="D1105" s="12">
        <f>IF('Data Entry'!A1105="","",'Data Entry'!D1105)</f>
        <v/>
      </c>
      <c r="E1105" s="12">
        <f>IF('Data Entry'!A1105="","",'Data Entry'!E1105)</f>
        <v/>
      </c>
      <c r="F1105" s="12">
        <f>IF('Data Entry'!A1105="","",'Data Entry'!F1105)</f>
        <v/>
      </c>
      <c r="G1105" s="13">
        <f>IF('Data Entry'!A1105="","",'Data Entry'!G1105)</f>
        <v/>
      </c>
      <c r="H1105" s="10">
        <f>IF('Data Entry'!A1105="","",'Data Entry'!H1105)</f>
        <v/>
      </c>
      <c r="I1105" s="10">
        <f>IF('Data Entry'!A1105="","",'Data Entry'!I1105)</f>
        <v/>
      </c>
      <c r="J1105" s="12">
        <f>IF('Data Entry'!A1105="","",IF('Data Entry'!D1105&lt;&gt;"",'Data Entry'!D1105,'Data Entry'!E1105))</f>
        <v/>
      </c>
      <c r="K1105" s="10">
        <f>IF('Data Entry'!A1105="","",IFERROR(SUMIFS($H$5:$H$2001,$J$5:$J$2001,$J1105,$B$5:$B$2001,$B1105,$A$5:$A$2001,(MAXIFS($A$5:$A$2001,$J$5:$J$2001,$J1105,$B$5:$B$2001,$B1105,$A$5:$A$2001,"&lt;"&amp;$A1105))),""))</f>
        <v/>
      </c>
      <c r="L1105" s="14">
        <f>IF(OR('Data Entry'!A1105="",$K1105=""),"",$H1105-$K1105)</f>
        <v/>
      </c>
      <c r="M1105" s="15">
        <f>IF(OR('Data Entry'!A1105="",$K1105="",$K1105=0),"",$L1105/$K1105)</f>
        <v/>
      </c>
      <c r="N1105" s="12">
        <f>IF('Data Entry'!A1105="","",IF($L1105="","New item",IF($L1105&gt;0,"UP",IF($L1105&lt;0,"down","same"))))</f>
        <v/>
      </c>
    </row>
    <row r="1106">
      <c r="A1106" s="11">
        <f>IF('Data Entry'!A1106="","",'Data Entry'!A1106)</f>
        <v/>
      </c>
      <c r="B1106" s="12">
        <f>IF('Data Entry'!A1106="","",'Data Entry'!B1106)</f>
        <v/>
      </c>
      <c r="C1106" s="12">
        <f>IF('Data Entry'!A1106="","",'Data Entry'!C1106)</f>
        <v/>
      </c>
      <c r="D1106" s="12">
        <f>IF('Data Entry'!A1106="","",'Data Entry'!D1106)</f>
        <v/>
      </c>
      <c r="E1106" s="12">
        <f>IF('Data Entry'!A1106="","",'Data Entry'!E1106)</f>
        <v/>
      </c>
      <c r="F1106" s="12">
        <f>IF('Data Entry'!A1106="","",'Data Entry'!F1106)</f>
        <v/>
      </c>
      <c r="G1106" s="13">
        <f>IF('Data Entry'!A1106="","",'Data Entry'!G1106)</f>
        <v/>
      </c>
      <c r="H1106" s="10">
        <f>IF('Data Entry'!A1106="","",'Data Entry'!H1106)</f>
        <v/>
      </c>
      <c r="I1106" s="10">
        <f>IF('Data Entry'!A1106="","",'Data Entry'!I1106)</f>
        <v/>
      </c>
      <c r="J1106" s="12">
        <f>IF('Data Entry'!A1106="","",IF('Data Entry'!D1106&lt;&gt;"",'Data Entry'!D1106,'Data Entry'!E1106))</f>
        <v/>
      </c>
      <c r="K1106" s="10">
        <f>IF('Data Entry'!A1106="","",IFERROR(SUMIFS($H$5:$H$2001,$J$5:$J$2001,$J1106,$B$5:$B$2001,$B1106,$A$5:$A$2001,(MAXIFS($A$5:$A$2001,$J$5:$J$2001,$J1106,$B$5:$B$2001,$B1106,$A$5:$A$2001,"&lt;"&amp;$A1106))),""))</f>
        <v/>
      </c>
      <c r="L1106" s="14">
        <f>IF(OR('Data Entry'!A1106="",$K1106=""),"",$H1106-$K1106)</f>
        <v/>
      </c>
      <c r="M1106" s="15">
        <f>IF(OR('Data Entry'!A1106="",$K1106="",$K1106=0),"",$L1106/$K1106)</f>
        <v/>
      </c>
      <c r="N1106" s="12">
        <f>IF('Data Entry'!A1106="","",IF($L1106="","New item",IF($L1106&gt;0,"UP",IF($L1106&lt;0,"down","same"))))</f>
        <v/>
      </c>
    </row>
    <row r="1107">
      <c r="A1107" s="11">
        <f>IF('Data Entry'!A1107="","",'Data Entry'!A1107)</f>
        <v/>
      </c>
      <c r="B1107" s="12">
        <f>IF('Data Entry'!A1107="","",'Data Entry'!B1107)</f>
        <v/>
      </c>
      <c r="C1107" s="12">
        <f>IF('Data Entry'!A1107="","",'Data Entry'!C1107)</f>
        <v/>
      </c>
      <c r="D1107" s="12">
        <f>IF('Data Entry'!A1107="","",'Data Entry'!D1107)</f>
        <v/>
      </c>
      <c r="E1107" s="12">
        <f>IF('Data Entry'!A1107="","",'Data Entry'!E1107)</f>
        <v/>
      </c>
      <c r="F1107" s="12">
        <f>IF('Data Entry'!A1107="","",'Data Entry'!F1107)</f>
        <v/>
      </c>
      <c r="G1107" s="13">
        <f>IF('Data Entry'!A1107="","",'Data Entry'!G1107)</f>
        <v/>
      </c>
      <c r="H1107" s="10">
        <f>IF('Data Entry'!A1107="","",'Data Entry'!H1107)</f>
        <v/>
      </c>
      <c r="I1107" s="10">
        <f>IF('Data Entry'!A1107="","",'Data Entry'!I1107)</f>
        <v/>
      </c>
      <c r="J1107" s="12">
        <f>IF('Data Entry'!A1107="","",IF('Data Entry'!D1107&lt;&gt;"",'Data Entry'!D1107,'Data Entry'!E1107))</f>
        <v/>
      </c>
      <c r="K1107" s="10">
        <f>IF('Data Entry'!A1107="","",IFERROR(SUMIFS($H$5:$H$2001,$J$5:$J$2001,$J1107,$B$5:$B$2001,$B1107,$A$5:$A$2001,(MAXIFS($A$5:$A$2001,$J$5:$J$2001,$J1107,$B$5:$B$2001,$B1107,$A$5:$A$2001,"&lt;"&amp;$A1107))),""))</f>
        <v/>
      </c>
      <c r="L1107" s="14">
        <f>IF(OR('Data Entry'!A1107="",$K1107=""),"",$H1107-$K1107)</f>
        <v/>
      </c>
      <c r="M1107" s="15">
        <f>IF(OR('Data Entry'!A1107="",$K1107="",$K1107=0),"",$L1107/$K1107)</f>
        <v/>
      </c>
      <c r="N1107" s="12">
        <f>IF('Data Entry'!A1107="","",IF($L1107="","New item",IF($L1107&gt;0,"UP",IF($L1107&lt;0,"down","same"))))</f>
        <v/>
      </c>
    </row>
    <row r="1108">
      <c r="A1108" s="11">
        <f>IF('Data Entry'!A1108="","",'Data Entry'!A1108)</f>
        <v/>
      </c>
      <c r="B1108" s="12">
        <f>IF('Data Entry'!A1108="","",'Data Entry'!B1108)</f>
        <v/>
      </c>
      <c r="C1108" s="12">
        <f>IF('Data Entry'!A1108="","",'Data Entry'!C1108)</f>
        <v/>
      </c>
      <c r="D1108" s="12">
        <f>IF('Data Entry'!A1108="","",'Data Entry'!D1108)</f>
        <v/>
      </c>
      <c r="E1108" s="12">
        <f>IF('Data Entry'!A1108="","",'Data Entry'!E1108)</f>
        <v/>
      </c>
      <c r="F1108" s="12">
        <f>IF('Data Entry'!A1108="","",'Data Entry'!F1108)</f>
        <v/>
      </c>
      <c r="G1108" s="13">
        <f>IF('Data Entry'!A1108="","",'Data Entry'!G1108)</f>
        <v/>
      </c>
      <c r="H1108" s="10">
        <f>IF('Data Entry'!A1108="","",'Data Entry'!H1108)</f>
        <v/>
      </c>
      <c r="I1108" s="10">
        <f>IF('Data Entry'!A1108="","",'Data Entry'!I1108)</f>
        <v/>
      </c>
      <c r="J1108" s="12">
        <f>IF('Data Entry'!A1108="","",IF('Data Entry'!D1108&lt;&gt;"",'Data Entry'!D1108,'Data Entry'!E1108))</f>
        <v/>
      </c>
      <c r="K1108" s="10">
        <f>IF('Data Entry'!A1108="","",IFERROR(SUMIFS($H$5:$H$2001,$J$5:$J$2001,$J1108,$B$5:$B$2001,$B1108,$A$5:$A$2001,(MAXIFS($A$5:$A$2001,$J$5:$J$2001,$J1108,$B$5:$B$2001,$B1108,$A$5:$A$2001,"&lt;"&amp;$A1108))),""))</f>
        <v/>
      </c>
      <c r="L1108" s="14">
        <f>IF(OR('Data Entry'!A1108="",$K1108=""),"",$H1108-$K1108)</f>
        <v/>
      </c>
      <c r="M1108" s="15">
        <f>IF(OR('Data Entry'!A1108="",$K1108="",$K1108=0),"",$L1108/$K1108)</f>
        <v/>
      </c>
      <c r="N1108" s="12">
        <f>IF('Data Entry'!A1108="","",IF($L1108="","New item",IF($L1108&gt;0,"UP",IF($L1108&lt;0,"down","same"))))</f>
        <v/>
      </c>
    </row>
    <row r="1109">
      <c r="A1109" s="11">
        <f>IF('Data Entry'!A1109="","",'Data Entry'!A1109)</f>
        <v/>
      </c>
      <c r="B1109" s="12">
        <f>IF('Data Entry'!A1109="","",'Data Entry'!B1109)</f>
        <v/>
      </c>
      <c r="C1109" s="12">
        <f>IF('Data Entry'!A1109="","",'Data Entry'!C1109)</f>
        <v/>
      </c>
      <c r="D1109" s="12">
        <f>IF('Data Entry'!A1109="","",'Data Entry'!D1109)</f>
        <v/>
      </c>
      <c r="E1109" s="12">
        <f>IF('Data Entry'!A1109="","",'Data Entry'!E1109)</f>
        <v/>
      </c>
      <c r="F1109" s="12">
        <f>IF('Data Entry'!A1109="","",'Data Entry'!F1109)</f>
        <v/>
      </c>
      <c r="G1109" s="13">
        <f>IF('Data Entry'!A1109="","",'Data Entry'!G1109)</f>
        <v/>
      </c>
      <c r="H1109" s="10">
        <f>IF('Data Entry'!A1109="","",'Data Entry'!H1109)</f>
        <v/>
      </c>
      <c r="I1109" s="10">
        <f>IF('Data Entry'!A1109="","",'Data Entry'!I1109)</f>
        <v/>
      </c>
      <c r="J1109" s="12">
        <f>IF('Data Entry'!A1109="","",IF('Data Entry'!D1109&lt;&gt;"",'Data Entry'!D1109,'Data Entry'!E1109))</f>
        <v/>
      </c>
      <c r="K1109" s="10">
        <f>IF('Data Entry'!A1109="","",IFERROR(SUMIFS($H$5:$H$2001,$J$5:$J$2001,$J1109,$B$5:$B$2001,$B1109,$A$5:$A$2001,(MAXIFS($A$5:$A$2001,$J$5:$J$2001,$J1109,$B$5:$B$2001,$B1109,$A$5:$A$2001,"&lt;"&amp;$A1109))),""))</f>
        <v/>
      </c>
      <c r="L1109" s="14">
        <f>IF(OR('Data Entry'!A1109="",$K1109=""),"",$H1109-$K1109)</f>
        <v/>
      </c>
      <c r="M1109" s="15">
        <f>IF(OR('Data Entry'!A1109="",$K1109="",$K1109=0),"",$L1109/$K1109)</f>
        <v/>
      </c>
      <c r="N1109" s="12">
        <f>IF('Data Entry'!A1109="","",IF($L1109="","New item",IF($L1109&gt;0,"UP",IF($L1109&lt;0,"down","same"))))</f>
        <v/>
      </c>
    </row>
    <row r="1110">
      <c r="A1110" s="11">
        <f>IF('Data Entry'!A1110="","",'Data Entry'!A1110)</f>
        <v/>
      </c>
      <c r="B1110" s="12">
        <f>IF('Data Entry'!A1110="","",'Data Entry'!B1110)</f>
        <v/>
      </c>
      <c r="C1110" s="12">
        <f>IF('Data Entry'!A1110="","",'Data Entry'!C1110)</f>
        <v/>
      </c>
      <c r="D1110" s="12">
        <f>IF('Data Entry'!A1110="","",'Data Entry'!D1110)</f>
        <v/>
      </c>
      <c r="E1110" s="12">
        <f>IF('Data Entry'!A1110="","",'Data Entry'!E1110)</f>
        <v/>
      </c>
      <c r="F1110" s="12">
        <f>IF('Data Entry'!A1110="","",'Data Entry'!F1110)</f>
        <v/>
      </c>
      <c r="G1110" s="13">
        <f>IF('Data Entry'!A1110="","",'Data Entry'!G1110)</f>
        <v/>
      </c>
      <c r="H1110" s="10">
        <f>IF('Data Entry'!A1110="","",'Data Entry'!H1110)</f>
        <v/>
      </c>
      <c r="I1110" s="10">
        <f>IF('Data Entry'!A1110="","",'Data Entry'!I1110)</f>
        <v/>
      </c>
      <c r="J1110" s="12">
        <f>IF('Data Entry'!A1110="","",IF('Data Entry'!D1110&lt;&gt;"",'Data Entry'!D1110,'Data Entry'!E1110))</f>
        <v/>
      </c>
      <c r="K1110" s="10">
        <f>IF('Data Entry'!A1110="","",IFERROR(SUMIFS($H$5:$H$2001,$J$5:$J$2001,$J1110,$B$5:$B$2001,$B1110,$A$5:$A$2001,(MAXIFS($A$5:$A$2001,$J$5:$J$2001,$J1110,$B$5:$B$2001,$B1110,$A$5:$A$2001,"&lt;"&amp;$A1110))),""))</f>
        <v/>
      </c>
      <c r="L1110" s="14">
        <f>IF(OR('Data Entry'!A1110="",$K1110=""),"",$H1110-$K1110)</f>
        <v/>
      </c>
      <c r="M1110" s="15">
        <f>IF(OR('Data Entry'!A1110="",$K1110="",$K1110=0),"",$L1110/$K1110)</f>
        <v/>
      </c>
      <c r="N1110" s="12">
        <f>IF('Data Entry'!A1110="","",IF($L1110="","New item",IF($L1110&gt;0,"UP",IF($L1110&lt;0,"down","same"))))</f>
        <v/>
      </c>
    </row>
    <row r="1111">
      <c r="A1111" s="11">
        <f>IF('Data Entry'!A1111="","",'Data Entry'!A1111)</f>
        <v/>
      </c>
      <c r="B1111" s="12">
        <f>IF('Data Entry'!A1111="","",'Data Entry'!B1111)</f>
        <v/>
      </c>
      <c r="C1111" s="12">
        <f>IF('Data Entry'!A1111="","",'Data Entry'!C1111)</f>
        <v/>
      </c>
      <c r="D1111" s="12">
        <f>IF('Data Entry'!A1111="","",'Data Entry'!D1111)</f>
        <v/>
      </c>
      <c r="E1111" s="12">
        <f>IF('Data Entry'!A1111="","",'Data Entry'!E1111)</f>
        <v/>
      </c>
      <c r="F1111" s="12">
        <f>IF('Data Entry'!A1111="","",'Data Entry'!F1111)</f>
        <v/>
      </c>
      <c r="G1111" s="13">
        <f>IF('Data Entry'!A1111="","",'Data Entry'!G1111)</f>
        <v/>
      </c>
      <c r="H1111" s="10">
        <f>IF('Data Entry'!A1111="","",'Data Entry'!H1111)</f>
        <v/>
      </c>
      <c r="I1111" s="10">
        <f>IF('Data Entry'!A1111="","",'Data Entry'!I1111)</f>
        <v/>
      </c>
      <c r="J1111" s="12">
        <f>IF('Data Entry'!A1111="","",IF('Data Entry'!D1111&lt;&gt;"",'Data Entry'!D1111,'Data Entry'!E1111))</f>
        <v/>
      </c>
      <c r="K1111" s="10">
        <f>IF('Data Entry'!A1111="","",IFERROR(SUMIFS($H$5:$H$2001,$J$5:$J$2001,$J1111,$B$5:$B$2001,$B1111,$A$5:$A$2001,(MAXIFS($A$5:$A$2001,$J$5:$J$2001,$J1111,$B$5:$B$2001,$B1111,$A$5:$A$2001,"&lt;"&amp;$A1111))),""))</f>
        <v/>
      </c>
      <c r="L1111" s="14">
        <f>IF(OR('Data Entry'!A1111="",$K1111=""),"",$H1111-$K1111)</f>
        <v/>
      </c>
      <c r="M1111" s="15">
        <f>IF(OR('Data Entry'!A1111="",$K1111="",$K1111=0),"",$L1111/$K1111)</f>
        <v/>
      </c>
      <c r="N1111" s="12">
        <f>IF('Data Entry'!A1111="","",IF($L1111="","New item",IF($L1111&gt;0,"UP",IF($L1111&lt;0,"down","same"))))</f>
        <v/>
      </c>
    </row>
    <row r="1112">
      <c r="A1112" s="11">
        <f>IF('Data Entry'!A1112="","",'Data Entry'!A1112)</f>
        <v/>
      </c>
      <c r="B1112" s="12">
        <f>IF('Data Entry'!A1112="","",'Data Entry'!B1112)</f>
        <v/>
      </c>
      <c r="C1112" s="12">
        <f>IF('Data Entry'!A1112="","",'Data Entry'!C1112)</f>
        <v/>
      </c>
      <c r="D1112" s="12">
        <f>IF('Data Entry'!A1112="","",'Data Entry'!D1112)</f>
        <v/>
      </c>
      <c r="E1112" s="12">
        <f>IF('Data Entry'!A1112="","",'Data Entry'!E1112)</f>
        <v/>
      </c>
      <c r="F1112" s="12">
        <f>IF('Data Entry'!A1112="","",'Data Entry'!F1112)</f>
        <v/>
      </c>
      <c r="G1112" s="13">
        <f>IF('Data Entry'!A1112="","",'Data Entry'!G1112)</f>
        <v/>
      </c>
      <c r="H1112" s="10">
        <f>IF('Data Entry'!A1112="","",'Data Entry'!H1112)</f>
        <v/>
      </c>
      <c r="I1112" s="10">
        <f>IF('Data Entry'!A1112="","",'Data Entry'!I1112)</f>
        <v/>
      </c>
      <c r="J1112" s="12">
        <f>IF('Data Entry'!A1112="","",IF('Data Entry'!D1112&lt;&gt;"",'Data Entry'!D1112,'Data Entry'!E1112))</f>
        <v/>
      </c>
      <c r="K1112" s="10">
        <f>IF('Data Entry'!A1112="","",IFERROR(SUMIFS($H$5:$H$2001,$J$5:$J$2001,$J1112,$B$5:$B$2001,$B1112,$A$5:$A$2001,(MAXIFS($A$5:$A$2001,$J$5:$J$2001,$J1112,$B$5:$B$2001,$B1112,$A$5:$A$2001,"&lt;"&amp;$A1112))),""))</f>
        <v/>
      </c>
      <c r="L1112" s="14">
        <f>IF(OR('Data Entry'!A1112="",$K1112=""),"",$H1112-$K1112)</f>
        <v/>
      </c>
      <c r="M1112" s="15">
        <f>IF(OR('Data Entry'!A1112="",$K1112="",$K1112=0),"",$L1112/$K1112)</f>
        <v/>
      </c>
      <c r="N1112" s="12">
        <f>IF('Data Entry'!A1112="","",IF($L1112="","New item",IF($L1112&gt;0,"UP",IF($L1112&lt;0,"down","same"))))</f>
        <v/>
      </c>
    </row>
    <row r="1113">
      <c r="A1113" s="11">
        <f>IF('Data Entry'!A1113="","",'Data Entry'!A1113)</f>
        <v/>
      </c>
      <c r="B1113" s="12">
        <f>IF('Data Entry'!A1113="","",'Data Entry'!B1113)</f>
        <v/>
      </c>
      <c r="C1113" s="12">
        <f>IF('Data Entry'!A1113="","",'Data Entry'!C1113)</f>
        <v/>
      </c>
      <c r="D1113" s="12">
        <f>IF('Data Entry'!A1113="","",'Data Entry'!D1113)</f>
        <v/>
      </c>
      <c r="E1113" s="12">
        <f>IF('Data Entry'!A1113="","",'Data Entry'!E1113)</f>
        <v/>
      </c>
      <c r="F1113" s="12">
        <f>IF('Data Entry'!A1113="","",'Data Entry'!F1113)</f>
        <v/>
      </c>
      <c r="G1113" s="13">
        <f>IF('Data Entry'!A1113="","",'Data Entry'!G1113)</f>
        <v/>
      </c>
      <c r="H1113" s="10">
        <f>IF('Data Entry'!A1113="","",'Data Entry'!H1113)</f>
        <v/>
      </c>
      <c r="I1113" s="10">
        <f>IF('Data Entry'!A1113="","",'Data Entry'!I1113)</f>
        <v/>
      </c>
      <c r="J1113" s="12">
        <f>IF('Data Entry'!A1113="","",IF('Data Entry'!D1113&lt;&gt;"",'Data Entry'!D1113,'Data Entry'!E1113))</f>
        <v/>
      </c>
      <c r="K1113" s="10">
        <f>IF('Data Entry'!A1113="","",IFERROR(SUMIFS($H$5:$H$2001,$J$5:$J$2001,$J1113,$B$5:$B$2001,$B1113,$A$5:$A$2001,(MAXIFS($A$5:$A$2001,$J$5:$J$2001,$J1113,$B$5:$B$2001,$B1113,$A$5:$A$2001,"&lt;"&amp;$A1113))),""))</f>
        <v/>
      </c>
      <c r="L1113" s="14">
        <f>IF(OR('Data Entry'!A1113="",$K1113=""),"",$H1113-$K1113)</f>
        <v/>
      </c>
      <c r="M1113" s="15">
        <f>IF(OR('Data Entry'!A1113="",$K1113="",$K1113=0),"",$L1113/$K1113)</f>
        <v/>
      </c>
      <c r="N1113" s="12">
        <f>IF('Data Entry'!A1113="","",IF($L1113="","New item",IF($L1113&gt;0,"UP",IF($L1113&lt;0,"down","same"))))</f>
        <v/>
      </c>
    </row>
    <row r="1114">
      <c r="A1114" s="11">
        <f>IF('Data Entry'!A1114="","",'Data Entry'!A1114)</f>
        <v/>
      </c>
      <c r="B1114" s="12">
        <f>IF('Data Entry'!A1114="","",'Data Entry'!B1114)</f>
        <v/>
      </c>
      <c r="C1114" s="12">
        <f>IF('Data Entry'!A1114="","",'Data Entry'!C1114)</f>
        <v/>
      </c>
      <c r="D1114" s="12">
        <f>IF('Data Entry'!A1114="","",'Data Entry'!D1114)</f>
        <v/>
      </c>
      <c r="E1114" s="12">
        <f>IF('Data Entry'!A1114="","",'Data Entry'!E1114)</f>
        <v/>
      </c>
      <c r="F1114" s="12">
        <f>IF('Data Entry'!A1114="","",'Data Entry'!F1114)</f>
        <v/>
      </c>
      <c r="G1114" s="13">
        <f>IF('Data Entry'!A1114="","",'Data Entry'!G1114)</f>
        <v/>
      </c>
      <c r="H1114" s="10">
        <f>IF('Data Entry'!A1114="","",'Data Entry'!H1114)</f>
        <v/>
      </c>
      <c r="I1114" s="10">
        <f>IF('Data Entry'!A1114="","",'Data Entry'!I1114)</f>
        <v/>
      </c>
      <c r="J1114" s="12">
        <f>IF('Data Entry'!A1114="","",IF('Data Entry'!D1114&lt;&gt;"",'Data Entry'!D1114,'Data Entry'!E1114))</f>
        <v/>
      </c>
      <c r="K1114" s="10">
        <f>IF('Data Entry'!A1114="","",IFERROR(SUMIFS($H$5:$H$2001,$J$5:$J$2001,$J1114,$B$5:$B$2001,$B1114,$A$5:$A$2001,(MAXIFS($A$5:$A$2001,$J$5:$J$2001,$J1114,$B$5:$B$2001,$B1114,$A$5:$A$2001,"&lt;"&amp;$A1114))),""))</f>
        <v/>
      </c>
      <c r="L1114" s="14">
        <f>IF(OR('Data Entry'!A1114="",$K1114=""),"",$H1114-$K1114)</f>
        <v/>
      </c>
      <c r="M1114" s="15">
        <f>IF(OR('Data Entry'!A1114="",$K1114="",$K1114=0),"",$L1114/$K1114)</f>
        <v/>
      </c>
      <c r="N1114" s="12">
        <f>IF('Data Entry'!A1114="","",IF($L1114="","New item",IF($L1114&gt;0,"UP",IF($L1114&lt;0,"down","same"))))</f>
        <v/>
      </c>
    </row>
    <row r="1115">
      <c r="A1115" s="11">
        <f>IF('Data Entry'!A1115="","",'Data Entry'!A1115)</f>
        <v/>
      </c>
      <c r="B1115" s="12">
        <f>IF('Data Entry'!A1115="","",'Data Entry'!B1115)</f>
        <v/>
      </c>
      <c r="C1115" s="12">
        <f>IF('Data Entry'!A1115="","",'Data Entry'!C1115)</f>
        <v/>
      </c>
      <c r="D1115" s="12">
        <f>IF('Data Entry'!A1115="","",'Data Entry'!D1115)</f>
        <v/>
      </c>
      <c r="E1115" s="12">
        <f>IF('Data Entry'!A1115="","",'Data Entry'!E1115)</f>
        <v/>
      </c>
      <c r="F1115" s="12">
        <f>IF('Data Entry'!A1115="","",'Data Entry'!F1115)</f>
        <v/>
      </c>
      <c r="G1115" s="13">
        <f>IF('Data Entry'!A1115="","",'Data Entry'!G1115)</f>
        <v/>
      </c>
      <c r="H1115" s="10">
        <f>IF('Data Entry'!A1115="","",'Data Entry'!H1115)</f>
        <v/>
      </c>
      <c r="I1115" s="10">
        <f>IF('Data Entry'!A1115="","",'Data Entry'!I1115)</f>
        <v/>
      </c>
      <c r="J1115" s="12">
        <f>IF('Data Entry'!A1115="","",IF('Data Entry'!D1115&lt;&gt;"",'Data Entry'!D1115,'Data Entry'!E1115))</f>
        <v/>
      </c>
      <c r="K1115" s="10">
        <f>IF('Data Entry'!A1115="","",IFERROR(SUMIFS($H$5:$H$2001,$J$5:$J$2001,$J1115,$B$5:$B$2001,$B1115,$A$5:$A$2001,(MAXIFS($A$5:$A$2001,$J$5:$J$2001,$J1115,$B$5:$B$2001,$B1115,$A$5:$A$2001,"&lt;"&amp;$A1115))),""))</f>
        <v/>
      </c>
      <c r="L1115" s="14">
        <f>IF(OR('Data Entry'!A1115="",$K1115=""),"",$H1115-$K1115)</f>
        <v/>
      </c>
      <c r="M1115" s="15">
        <f>IF(OR('Data Entry'!A1115="",$K1115="",$K1115=0),"",$L1115/$K1115)</f>
        <v/>
      </c>
      <c r="N1115" s="12">
        <f>IF('Data Entry'!A1115="","",IF($L1115="","New item",IF($L1115&gt;0,"UP",IF($L1115&lt;0,"down","same"))))</f>
        <v/>
      </c>
    </row>
    <row r="1116">
      <c r="A1116" s="11">
        <f>IF('Data Entry'!A1116="","",'Data Entry'!A1116)</f>
        <v/>
      </c>
      <c r="B1116" s="12">
        <f>IF('Data Entry'!A1116="","",'Data Entry'!B1116)</f>
        <v/>
      </c>
      <c r="C1116" s="12">
        <f>IF('Data Entry'!A1116="","",'Data Entry'!C1116)</f>
        <v/>
      </c>
      <c r="D1116" s="12">
        <f>IF('Data Entry'!A1116="","",'Data Entry'!D1116)</f>
        <v/>
      </c>
      <c r="E1116" s="12">
        <f>IF('Data Entry'!A1116="","",'Data Entry'!E1116)</f>
        <v/>
      </c>
      <c r="F1116" s="12">
        <f>IF('Data Entry'!A1116="","",'Data Entry'!F1116)</f>
        <v/>
      </c>
      <c r="G1116" s="13">
        <f>IF('Data Entry'!A1116="","",'Data Entry'!G1116)</f>
        <v/>
      </c>
      <c r="H1116" s="10">
        <f>IF('Data Entry'!A1116="","",'Data Entry'!H1116)</f>
        <v/>
      </c>
      <c r="I1116" s="10">
        <f>IF('Data Entry'!A1116="","",'Data Entry'!I1116)</f>
        <v/>
      </c>
      <c r="J1116" s="12">
        <f>IF('Data Entry'!A1116="","",IF('Data Entry'!D1116&lt;&gt;"",'Data Entry'!D1116,'Data Entry'!E1116))</f>
        <v/>
      </c>
      <c r="K1116" s="10">
        <f>IF('Data Entry'!A1116="","",IFERROR(SUMIFS($H$5:$H$2001,$J$5:$J$2001,$J1116,$B$5:$B$2001,$B1116,$A$5:$A$2001,(MAXIFS($A$5:$A$2001,$J$5:$J$2001,$J1116,$B$5:$B$2001,$B1116,$A$5:$A$2001,"&lt;"&amp;$A1116))),""))</f>
        <v/>
      </c>
      <c r="L1116" s="14">
        <f>IF(OR('Data Entry'!A1116="",$K1116=""),"",$H1116-$K1116)</f>
        <v/>
      </c>
      <c r="M1116" s="15">
        <f>IF(OR('Data Entry'!A1116="",$K1116="",$K1116=0),"",$L1116/$K1116)</f>
        <v/>
      </c>
      <c r="N1116" s="12">
        <f>IF('Data Entry'!A1116="","",IF($L1116="","New item",IF($L1116&gt;0,"UP",IF($L1116&lt;0,"down","same"))))</f>
        <v/>
      </c>
    </row>
    <row r="1117">
      <c r="A1117" s="11">
        <f>IF('Data Entry'!A1117="","",'Data Entry'!A1117)</f>
        <v/>
      </c>
      <c r="B1117" s="12">
        <f>IF('Data Entry'!A1117="","",'Data Entry'!B1117)</f>
        <v/>
      </c>
      <c r="C1117" s="12">
        <f>IF('Data Entry'!A1117="","",'Data Entry'!C1117)</f>
        <v/>
      </c>
      <c r="D1117" s="12">
        <f>IF('Data Entry'!A1117="","",'Data Entry'!D1117)</f>
        <v/>
      </c>
      <c r="E1117" s="12">
        <f>IF('Data Entry'!A1117="","",'Data Entry'!E1117)</f>
        <v/>
      </c>
      <c r="F1117" s="12">
        <f>IF('Data Entry'!A1117="","",'Data Entry'!F1117)</f>
        <v/>
      </c>
      <c r="G1117" s="13">
        <f>IF('Data Entry'!A1117="","",'Data Entry'!G1117)</f>
        <v/>
      </c>
      <c r="H1117" s="10">
        <f>IF('Data Entry'!A1117="","",'Data Entry'!H1117)</f>
        <v/>
      </c>
      <c r="I1117" s="10">
        <f>IF('Data Entry'!A1117="","",'Data Entry'!I1117)</f>
        <v/>
      </c>
      <c r="J1117" s="12">
        <f>IF('Data Entry'!A1117="","",IF('Data Entry'!D1117&lt;&gt;"",'Data Entry'!D1117,'Data Entry'!E1117))</f>
        <v/>
      </c>
      <c r="K1117" s="10">
        <f>IF('Data Entry'!A1117="","",IFERROR(SUMIFS($H$5:$H$2001,$J$5:$J$2001,$J1117,$B$5:$B$2001,$B1117,$A$5:$A$2001,(MAXIFS($A$5:$A$2001,$J$5:$J$2001,$J1117,$B$5:$B$2001,$B1117,$A$5:$A$2001,"&lt;"&amp;$A1117))),""))</f>
        <v/>
      </c>
      <c r="L1117" s="14">
        <f>IF(OR('Data Entry'!A1117="",$K1117=""),"",$H1117-$K1117)</f>
        <v/>
      </c>
      <c r="M1117" s="15">
        <f>IF(OR('Data Entry'!A1117="",$K1117="",$K1117=0),"",$L1117/$K1117)</f>
        <v/>
      </c>
      <c r="N1117" s="12">
        <f>IF('Data Entry'!A1117="","",IF($L1117="","New item",IF($L1117&gt;0,"UP",IF($L1117&lt;0,"down","same"))))</f>
        <v/>
      </c>
    </row>
    <row r="1118">
      <c r="A1118" s="11">
        <f>IF('Data Entry'!A1118="","",'Data Entry'!A1118)</f>
        <v/>
      </c>
      <c r="B1118" s="12">
        <f>IF('Data Entry'!A1118="","",'Data Entry'!B1118)</f>
        <v/>
      </c>
      <c r="C1118" s="12">
        <f>IF('Data Entry'!A1118="","",'Data Entry'!C1118)</f>
        <v/>
      </c>
      <c r="D1118" s="12">
        <f>IF('Data Entry'!A1118="","",'Data Entry'!D1118)</f>
        <v/>
      </c>
      <c r="E1118" s="12">
        <f>IF('Data Entry'!A1118="","",'Data Entry'!E1118)</f>
        <v/>
      </c>
      <c r="F1118" s="12">
        <f>IF('Data Entry'!A1118="","",'Data Entry'!F1118)</f>
        <v/>
      </c>
      <c r="G1118" s="13">
        <f>IF('Data Entry'!A1118="","",'Data Entry'!G1118)</f>
        <v/>
      </c>
      <c r="H1118" s="10">
        <f>IF('Data Entry'!A1118="","",'Data Entry'!H1118)</f>
        <v/>
      </c>
      <c r="I1118" s="10">
        <f>IF('Data Entry'!A1118="","",'Data Entry'!I1118)</f>
        <v/>
      </c>
      <c r="J1118" s="12">
        <f>IF('Data Entry'!A1118="","",IF('Data Entry'!D1118&lt;&gt;"",'Data Entry'!D1118,'Data Entry'!E1118))</f>
        <v/>
      </c>
      <c r="K1118" s="10">
        <f>IF('Data Entry'!A1118="","",IFERROR(SUMIFS($H$5:$H$2001,$J$5:$J$2001,$J1118,$B$5:$B$2001,$B1118,$A$5:$A$2001,(MAXIFS($A$5:$A$2001,$J$5:$J$2001,$J1118,$B$5:$B$2001,$B1118,$A$5:$A$2001,"&lt;"&amp;$A1118))),""))</f>
        <v/>
      </c>
      <c r="L1118" s="14">
        <f>IF(OR('Data Entry'!A1118="",$K1118=""),"",$H1118-$K1118)</f>
        <v/>
      </c>
      <c r="M1118" s="15">
        <f>IF(OR('Data Entry'!A1118="",$K1118="",$K1118=0),"",$L1118/$K1118)</f>
        <v/>
      </c>
      <c r="N1118" s="12">
        <f>IF('Data Entry'!A1118="","",IF($L1118="","New item",IF($L1118&gt;0,"UP",IF($L1118&lt;0,"down","same"))))</f>
        <v/>
      </c>
    </row>
    <row r="1119">
      <c r="A1119" s="11">
        <f>IF('Data Entry'!A1119="","",'Data Entry'!A1119)</f>
        <v/>
      </c>
      <c r="B1119" s="12">
        <f>IF('Data Entry'!A1119="","",'Data Entry'!B1119)</f>
        <v/>
      </c>
      <c r="C1119" s="12">
        <f>IF('Data Entry'!A1119="","",'Data Entry'!C1119)</f>
        <v/>
      </c>
      <c r="D1119" s="12">
        <f>IF('Data Entry'!A1119="","",'Data Entry'!D1119)</f>
        <v/>
      </c>
      <c r="E1119" s="12">
        <f>IF('Data Entry'!A1119="","",'Data Entry'!E1119)</f>
        <v/>
      </c>
      <c r="F1119" s="12">
        <f>IF('Data Entry'!A1119="","",'Data Entry'!F1119)</f>
        <v/>
      </c>
      <c r="G1119" s="13">
        <f>IF('Data Entry'!A1119="","",'Data Entry'!G1119)</f>
        <v/>
      </c>
      <c r="H1119" s="10">
        <f>IF('Data Entry'!A1119="","",'Data Entry'!H1119)</f>
        <v/>
      </c>
      <c r="I1119" s="10">
        <f>IF('Data Entry'!A1119="","",'Data Entry'!I1119)</f>
        <v/>
      </c>
      <c r="J1119" s="12">
        <f>IF('Data Entry'!A1119="","",IF('Data Entry'!D1119&lt;&gt;"",'Data Entry'!D1119,'Data Entry'!E1119))</f>
        <v/>
      </c>
      <c r="K1119" s="10">
        <f>IF('Data Entry'!A1119="","",IFERROR(SUMIFS($H$5:$H$2001,$J$5:$J$2001,$J1119,$B$5:$B$2001,$B1119,$A$5:$A$2001,(MAXIFS($A$5:$A$2001,$J$5:$J$2001,$J1119,$B$5:$B$2001,$B1119,$A$5:$A$2001,"&lt;"&amp;$A1119))),""))</f>
        <v/>
      </c>
      <c r="L1119" s="14">
        <f>IF(OR('Data Entry'!A1119="",$K1119=""),"",$H1119-$K1119)</f>
        <v/>
      </c>
      <c r="M1119" s="15">
        <f>IF(OR('Data Entry'!A1119="",$K1119="",$K1119=0),"",$L1119/$K1119)</f>
        <v/>
      </c>
      <c r="N1119" s="12">
        <f>IF('Data Entry'!A1119="","",IF($L1119="","New item",IF($L1119&gt;0,"UP",IF($L1119&lt;0,"down","same"))))</f>
        <v/>
      </c>
    </row>
    <row r="1120">
      <c r="A1120" s="11">
        <f>IF('Data Entry'!A1120="","",'Data Entry'!A1120)</f>
        <v/>
      </c>
      <c r="B1120" s="12">
        <f>IF('Data Entry'!A1120="","",'Data Entry'!B1120)</f>
        <v/>
      </c>
      <c r="C1120" s="12">
        <f>IF('Data Entry'!A1120="","",'Data Entry'!C1120)</f>
        <v/>
      </c>
      <c r="D1120" s="12">
        <f>IF('Data Entry'!A1120="","",'Data Entry'!D1120)</f>
        <v/>
      </c>
      <c r="E1120" s="12">
        <f>IF('Data Entry'!A1120="","",'Data Entry'!E1120)</f>
        <v/>
      </c>
      <c r="F1120" s="12">
        <f>IF('Data Entry'!A1120="","",'Data Entry'!F1120)</f>
        <v/>
      </c>
      <c r="G1120" s="13">
        <f>IF('Data Entry'!A1120="","",'Data Entry'!G1120)</f>
        <v/>
      </c>
      <c r="H1120" s="10">
        <f>IF('Data Entry'!A1120="","",'Data Entry'!H1120)</f>
        <v/>
      </c>
      <c r="I1120" s="10">
        <f>IF('Data Entry'!A1120="","",'Data Entry'!I1120)</f>
        <v/>
      </c>
      <c r="J1120" s="12">
        <f>IF('Data Entry'!A1120="","",IF('Data Entry'!D1120&lt;&gt;"",'Data Entry'!D1120,'Data Entry'!E1120))</f>
        <v/>
      </c>
      <c r="K1120" s="10">
        <f>IF('Data Entry'!A1120="","",IFERROR(SUMIFS($H$5:$H$2001,$J$5:$J$2001,$J1120,$B$5:$B$2001,$B1120,$A$5:$A$2001,(MAXIFS($A$5:$A$2001,$J$5:$J$2001,$J1120,$B$5:$B$2001,$B1120,$A$5:$A$2001,"&lt;"&amp;$A1120))),""))</f>
        <v/>
      </c>
      <c r="L1120" s="14">
        <f>IF(OR('Data Entry'!A1120="",$K1120=""),"",$H1120-$K1120)</f>
        <v/>
      </c>
      <c r="M1120" s="15">
        <f>IF(OR('Data Entry'!A1120="",$K1120="",$K1120=0),"",$L1120/$K1120)</f>
        <v/>
      </c>
      <c r="N1120" s="12">
        <f>IF('Data Entry'!A1120="","",IF($L1120="","New item",IF($L1120&gt;0,"UP",IF($L1120&lt;0,"down","same"))))</f>
        <v/>
      </c>
    </row>
    <row r="1121">
      <c r="A1121" s="11">
        <f>IF('Data Entry'!A1121="","",'Data Entry'!A1121)</f>
        <v/>
      </c>
      <c r="B1121" s="12">
        <f>IF('Data Entry'!A1121="","",'Data Entry'!B1121)</f>
        <v/>
      </c>
      <c r="C1121" s="12">
        <f>IF('Data Entry'!A1121="","",'Data Entry'!C1121)</f>
        <v/>
      </c>
      <c r="D1121" s="12">
        <f>IF('Data Entry'!A1121="","",'Data Entry'!D1121)</f>
        <v/>
      </c>
      <c r="E1121" s="12">
        <f>IF('Data Entry'!A1121="","",'Data Entry'!E1121)</f>
        <v/>
      </c>
      <c r="F1121" s="12">
        <f>IF('Data Entry'!A1121="","",'Data Entry'!F1121)</f>
        <v/>
      </c>
      <c r="G1121" s="13">
        <f>IF('Data Entry'!A1121="","",'Data Entry'!G1121)</f>
        <v/>
      </c>
      <c r="H1121" s="10">
        <f>IF('Data Entry'!A1121="","",'Data Entry'!H1121)</f>
        <v/>
      </c>
      <c r="I1121" s="10">
        <f>IF('Data Entry'!A1121="","",'Data Entry'!I1121)</f>
        <v/>
      </c>
      <c r="J1121" s="12">
        <f>IF('Data Entry'!A1121="","",IF('Data Entry'!D1121&lt;&gt;"",'Data Entry'!D1121,'Data Entry'!E1121))</f>
        <v/>
      </c>
      <c r="K1121" s="10">
        <f>IF('Data Entry'!A1121="","",IFERROR(SUMIFS($H$5:$H$2001,$J$5:$J$2001,$J1121,$B$5:$B$2001,$B1121,$A$5:$A$2001,(MAXIFS($A$5:$A$2001,$J$5:$J$2001,$J1121,$B$5:$B$2001,$B1121,$A$5:$A$2001,"&lt;"&amp;$A1121))),""))</f>
        <v/>
      </c>
      <c r="L1121" s="14">
        <f>IF(OR('Data Entry'!A1121="",$K1121=""),"",$H1121-$K1121)</f>
        <v/>
      </c>
      <c r="M1121" s="15">
        <f>IF(OR('Data Entry'!A1121="",$K1121="",$K1121=0),"",$L1121/$K1121)</f>
        <v/>
      </c>
      <c r="N1121" s="12">
        <f>IF('Data Entry'!A1121="","",IF($L1121="","New item",IF($L1121&gt;0,"UP",IF($L1121&lt;0,"down","same"))))</f>
        <v/>
      </c>
    </row>
    <row r="1122">
      <c r="A1122" s="11">
        <f>IF('Data Entry'!A1122="","",'Data Entry'!A1122)</f>
        <v/>
      </c>
      <c r="B1122" s="12">
        <f>IF('Data Entry'!A1122="","",'Data Entry'!B1122)</f>
        <v/>
      </c>
      <c r="C1122" s="12">
        <f>IF('Data Entry'!A1122="","",'Data Entry'!C1122)</f>
        <v/>
      </c>
      <c r="D1122" s="12">
        <f>IF('Data Entry'!A1122="","",'Data Entry'!D1122)</f>
        <v/>
      </c>
      <c r="E1122" s="12">
        <f>IF('Data Entry'!A1122="","",'Data Entry'!E1122)</f>
        <v/>
      </c>
      <c r="F1122" s="12">
        <f>IF('Data Entry'!A1122="","",'Data Entry'!F1122)</f>
        <v/>
      </c>
      <c r="G1122" s="13">
        <f>IF('Data Entry'!A1122="","",'Data Entry'!G1122)</f>
        <v/>
      </c>
      <c r="H1122" s="10">
        <f>IF('Data Entry'!A1122="","",'Data Entry'!H1122)</f>
        <v/>
      </c>
      <c r="I1122" s="10">
        <f>IF('Data Entry'!A1122="","",'Data Entry'!I1122)</f>
        <v/>
      </c>
      <c r="J1122" s="12">
        <f>IF('Data Entry'!A1122="","",IF('Data Entry'!D1122&lt;&gt;"",'Data Entry'!D1122,'Data Entry'!E1122))</f>
        <v/>
      </c>
      <c r="K1122" s="10">
        <f>IF('Data Entry'!A1122="","",IFERROR(SUMIFS($H$5:$H$2001,$J$5:$J$2001,$J1122,$B$5:$B$2001,$B1122,$A$5:$A$2001,(MAXIFS($A$5:$A$2001,$J$5:$J$2001,$J1122,$B$5:$B$2001,$B1122,$A$5:$A$2001,"&lt;"&amp;$A1122))),""))</f>
        <v/>
      </c>
      <c r="L1122" s="14">
        <f>IF(OR('Data Entry'!A1122="",$K1122=""),"",$H1122-$K1122)</f>
        <v/>
      </c>
      <c r="M1122" s="15">
        <f>IF(OR('Data Entry'!A1122="",$K1122="",$K1122=0),"",$L1122/$K1122)</f>
        <v/>
      </c>
      <c r="N1122" s="12">
        <f>IF('Data Entry'!A1122="","",IF($L1122="","New item",IF($L1122&gt;0,"UP",IF($L1122&lt;0,"down","same"))))</f>
        <v/>
      </c>
    </row>
    <row r="1123">
      <c r="A1123" s="11">
        <f>IF('Data Entry'!A1123="","",'Data Entry'!A1123)</f>
        <v/>
      </c>
      <c r="B1123" s="12">
        <f>IF('Data Entry'!A1123="","",'Data Entry'!B1123)</f>
        <v/>
      </c>
      <c r="C1123" s="12">
        <f>IF('Data Entry'!A1123="","",'Data Entry'!C1123)</f>
        <v/>
      </c>
      <c r="D1123" s="12">
        <f>IF('Data Entry'!A1123="","",'Data Entry'!D1123)</f>
        <v/>
      </c>
      <c r="E1123" s="12">
        <f>IF('Data Entry'!A1123="","",'Data Entry'!E1123)</f>
        <v/>
      </c>
      <c r="F1123" s="12">
        <f>IF('Data Entry'!A1123="","",'Data Entry'!F1123)</f>
        <v/>
      </c>
      <c r="G1123" s="13">
        <f>IF('Data Entry'!A1123="","",'Data Entry'!G1123)</f>
        <v/>
      </c>
      <c r="H1123" s="10">
        <f>IF('Data Entry'!A1123="","",'Data Entry'!H1123)</f>
        <v/>
      </c>
      <c r="I1123" s="10">
        <f>IF('Data Entry'!A1123="","",'Data Entry'!I1123)</f>
        <v/>
      </c>
      <c r="J1123" s="12">
        <f>IF('Data Entry'!A1123="","",IF('Data Entry'!D1123&lt;&gt;"",'Data Entry'!D1123,'Data Entry'!E1123))</f>
        <v/>
      </c>
      <c r="K1123" s="10">
        <f>IF('Data Entry'!A1123="","",IFERROR(SUMIFS($H$5:$H$2001,$J$5:$J$2001,$J1123,$B$5:$B$2001,$B1123,$A$5:$A$2001,(MAXIFS($A$5:$A$2001,$J$5:$J$2001,$J1123,$B$5:$B$2001,$B1123,$A$5:$A$2001,"&lt;"&amp;$A1123))),""))</f>
        <v/>
      </c>
      <c r="L1123" s="14">
        <f>IF(OR('Data Entry'!A1123="",$K1123=""),"",$H1123-$K1123)</f>
        <v/>
      </c>
      <c r="M1123" s="15">
        <f>IF(OR('Data Entry'!A1123="",$K1123="",$K1123=0),"",$L1123/$K1123)</f>
        <v/>
      </c>
      <c r="N1123" s="12">
        <f>IF('Data Entry'!A1123="","",IF($L1123="","New item",IF($L1123&gt;0,"UP",IF($L1123&lt;0,"down","same"))))</f>
        <v/>
      </c>
    </row>
    <row r="1124">
      <c r="A1124" s="11">
        <f>IF('Data Entry'!A1124="","",'Data Entry'!A1124)</f>
        <v/>
      </c>
      <c r="B1124" s="12">
        <f>IF('Data Entry'!A1124="","",'Data Entry'!B1124)</f>
        <v/>
      </c>
      <c r="C1124" s="12">
        <f>IF('Data Entry'!A1124="","",'Data Entry'!C1124)</f>
        <v/>
      </c>
      <c r="D1124" s="12">
        <f>IF('Data Entry'!A1124="","",'Data Entry'!D1124)</f>
        <v/>
      </c>
      <c r="E1124" s="12">
        <f>IF('Data Entry'!A1124="","",'Data Entry'!E1124)</f>
        <v/>
      </c>
      <c r="F1124" s="12">
        <f>IF('Data Entry'!A1124="","",'Data Entry'!F1124)</f>
        <v/>
      </c>
      <c r="G1124" s="13">
        <f>IF('Data Entry'!A1124="","",'Data Entry'!G1124)</f>
        <v/>
      </c>
      <c r="H1124" s="10">
        <f>IF('Data Entry'!A1124="","",'Data Entry'!H1124)</f>
        <v/>
      </c>
      <c r="I1124" s="10">
        <f>IF('Data Entry'!A1124="","",'Data Entry'!I1124)</f>
        <v/>
      </c>
      <c r="J1124" s="12">
        <f>IF('Data Entry'!A1124="","",IF('Data Entry'!D1124&lt;&gt;"",'Data Entry'!D1124,'Data Entry'!E1124))</f>
        <v/>
      </c>
      <c r="K1124" s="10">
        <f>IF('Data Entry'!A1124="","",IFERROR(SUMIFS($H$5:$H$2001,$J$5:$J$2001,$J1124,$B$5:$B$2001,$B1124,$A$5:$A$2001,(MAXIFS($A$5:$A$2001,$J$5:$J$2001,$J1124,$B$5:$B$2001,$B1124,$A$5:$A$2001,"&lt;"&amp;$A1124))),""))</f>
        <v/>
      </c>
      <c r="L1124" s="14">
        <f>IF(OR('Data Entry'!A1124="",$K1124=""),"",$H1124-$K1124)</f>
        <v/>
      </c>
      <c r="M1124" s="15">
        <f>IF(OR('Data Entry'!A1124="",$K1124="",$K1124=0),"",$L1124/$K1124)</f>
        <v/>
      </c>
      <c r="N1124" s="12">
        <f>IF('Data Entry'!A1124="","",IF($L1124="","New item",IF($L1124&gt;0,"UP",IF($L1124&lt;0,"down","same"))))</f>
        <v/>
      </c>
    </row>
    <row r="1125">
      <c r="A1125" s="11">
        <f>IF('Data Entry'!A1125="","",'Data Entry'!A1125)</f>
        <v/>
      </c>
      <c r="B1125" s="12">
        <f>IF('Data Entry'!A1125="","",'Data Entry'!B1125)</f>
        <v/>
      </c>
      <c r="C1125" s="12">
        <f>IF('Data Entry'!A1125="","",'Data Entry'!C1125)</f>
        <v/>
      </c>
      <c r="D1125" s="12">
        <f>IF('Data Entry'!A1125="","",'Data Entry'!D1125)</f>
        <v/>
      </c>
      <c r="E1125" s="12">
        <f>IF('Data Entry'!A1125="","",'Data Entry'!E1125)</f>
        <v/>
      </c>
      <c r="F1125" s="12">
        <f>IF('Data Entry'!A1125="","",'Data Entry'!F1125)</f>
        <v/>
      </c>
      <c r="G1125" s="13">
        <f>IF('Data Entry'!A1125="","",'Data Entry'!G1125)</f>
        <v/>
      </c>
      <c r="H1125" s="10">
        <f>IF('Data Entry'!A1125="","",'Data Entry'!H1125)</f>
        <v/>
      </c>
      <c r="I1125" s="10">
        <f>IF('Data Entry'!A1125="","",'Data Entry'!I1125)</f>
        <v/>
      </c>
      <c r="J1125" s="12">
        <f>IF('Data Entry'!A1125="","",IF('Data Entry'!D1125&lt;&gt;"",'Data Entry'!D1125,'Data Entry'!E1125))</f>
        <v/>
      </c>
      <c r="K1125" s="10">
        <f>IF('Data Entry'!A1125="","",IFERROR(SUMIFS($H$5:$H$2001,$J$5:$J$2001,$J1125,$B$5:$B$2001,$B1125,$A$5:$A$2001,(MAXIFS($A$5:$A$2001,$J$5:$J$2001,$J1125,$B$5:$B$2001,$B1125,$A$5:$A$2001,"&lt;"&amp;$A1125))),""))</f>
        <v/>
      </c>
      <c r="L1125" s="14">
        <f>IF(OR('Data Entry'!A1125="",$K1125=""),"",$H1125-$K1125)</f>
        <v/>
      </c>
      <c r="M1125" s="15">
        <f>IF(OR('Data Entry'!A1125="",$K1125="",$K1125=0),"",$L1125/$K1125)</f>
        <v/>
      </c>
      <c r="N1125" s="12">
        <f>IF('Data Entry'!A1125="","",IF($L1125="","New item",IF($L1125&gt;0,"UP",IF($L1125&lt;0,"down","same"))))</f>
        <v/>
      </c>
    </row>
    <row r="1126">
      <c r="A1126" s="11">
        <f>IF('Data Entry'!A1126="","",'Data Entry'!A1126)</f>
        <v/>
      </c>
      <c r="B1126" s="12">
        <f>IF('Data Entry'!A1126="","",'Data Entry'!B1126)</f>
        <v/>
      </c>
      <c r="C1126" s="12">
        <f>IF('Data Entry'!A1126="","",'Data Entry'!C1126)</f>
        <v/>
      </c>
      <c r="D1126" s="12">
        <f>IF('Data Entry'!A1126="","",'Data Entry'!D1126)</f>
        <v/>
      </c>
      <c r="E1126" s="12">
        <f>IF('Data Entry'!A1126="","",'Data Entry'!E1126)</f>
        <v/>
      </c>
      <c r="F1126" s="12">
        <f>IF('Data Entry'!A1126="","",'Data Entry'!F1126)</f>
        <v/>
      </c>
      <c r="G1126" s="13">
        <f>IF('Data Entry'!A1126="","",'Data Entry'!G1126)</f>
        <v/>
      </c>
      <c r="H1126" s="10">
        <f>IF('Data Entry'!A1126="","",'Data Entry'!H1126)</f>
        <v/>
      </c>
      <c r="I1126" s="10">
        <f>IF('Data Entry'!A1126="","",'Data Entry'!I1126)</f>
        <v/>
      </c>
      <c r="J1126" s="12">
        <f>IF('Data Entry'!A1126="","",IF('Data Entry'!D1126&lt;&gt;"",'Data Entry'!D1126,'Data Entry'!E1126))</f>
        <v/>
      </c>
      <c r="K1126" s="10">
        <f>IF('Data Entry'!A1126="","",IFERROR(SUMIFS($H$5:$H$2001,$J$5:$J$2001,$J1126,$B$5:$B$2001,$B1126,$A$5:$A$2001,(MAXIFS($A$5:$A$2001,$J$5:$J$2001,$J1126,$B$5:$B$2001,$B1126,$A$5:$A$2001,"&lt;"&amp;$A1126))),""))</f>
        <v/>
      </c>
      <c r="L1126" s="14">
        <f>IF(OR('Data Entry'!A1126="",$K1126=""),"",$H1126-$K1126)</f>
        <v/>
      </c>
      <c r="M1126" s="15">
        <f>IF(OR('Data Entry'!A1126="",$K1126="",$K1126=0),"",$L1126/$K1126)</f>
        <v/>
      </c>
      <c r="N1126" s="12">
        <f>IF('Data Entry'!A1126="","",IF($L1126="","New item",IF($L1126&gt;0,"UP",IF($L1126&lt;0,"down","same"))))</f>
        <v/>
      </c>
    </row>
    <row r="1127">
      <c r="A1127" s="11">
        <f>IF('Data Entry'!A1127="","",'Data Entry'!A1127)</f>
        <v/>
      </c>
      <c r="B1127" s="12">
        <f>IF('Data Entry'!A1127="","",'Data Entry'!B1127)</f>
        <v/>
      </c>
      <c r="C1127" s="12">
        <f>IF('Data Entry'!A1127="","",'Data Entry'!C1127)</f>
        <v/>
      </c>
      <c r="D1127" s="12">
        <f>IF('Data Entry'!A1127="","",'Data Entry'!D1127)</f>
        <v/>
      </c>
      <c r="E1127" s="12">
        <f>IF('Data Entry'!A1127="","",'Data Entry'!E1127)</f>
        <v/>
      </c>
      <c r="F1127" s="12">
        <f>IF('Data Entry'!A1127="","",'Data Entry'!F1127)</f>
        <v/>
      </c>
      <c r="G1127" s="13">
        <f>IF('Data Entry'!A1127="","",'Data Entry'!G1127)</f>
        <v/>
      </c>
      <c r="H1127" s="10">
        <f>IF('Data Entry'!A1127="","",'Data Entry'!H1127)</f>
        <v/>
      </c>
      <c r="I1127" s="10">
        <f>IF('Data Entry'!A1127="","",'Data Entry'!I1127)</f>
        <v/>
      </c>
      <c r="J1127" s="12">
        <f>IF('Data Entry'!A1127="","",IF('Data Entry'!D1127&lt;&gt;"",'Data Entry'!D1127,'Data Entry'!E1127))</f>
        <v/>
      </c>
      <c r="K1127" s="10">
        <f>IF('Data Entry'!A1127="","",IFERROR(SUMIFS($H$5:$H$2001,$J$5:$J$2001,$J1127,$B$5:$B$2001,$B1127,$A$5:$A$2001,(MAXIFS($A$5:$A$2001,$J$5:$J$2001,$J1127,$B$5:$B$2001,$B1127,$A$5:$A$2001,"&lt;"&amp;$A1127))),""))</f>
        <v/>
      </c>
      <c r="L1127" s="14">
        <f>IF(OR('Data Entry'!A1127="",$K1127=""),"",$H1127-$K1127)</f>
        <v/>
      </c>
      <c r="M1127" s="15">
        <f>IF(OR('Data Entry'!A1127="",$K1127="",$K1127=0),"",$L1127/$K1127)</f>
        <v/>
      </c>
      <c r="N1127" s="12">
        <f>IF('Data Entry'!A1127="","",IF($L1127="","New item",IF($L1127&gt;0,"UP",IF($L1127&lt;0,"down","same"))))</f>
        <v/>
      </c>
    </row>
    <row r="1128">
      <c r="A1128" s="11">
        <f>IF('Data Entry'!A1128="","",'Data Entry'!A1128)</f>
        <v/>
      </c>
      <c r="B1128" s="12">
        <f>IF('Data Entry'!A1128="","",'Data Entry'!B1128)</f>
        <v/>
      </c>
      <c r="C1128" s="12">
        <f>IF('Data Entry'!A1128="","",'Data Entry'!C1128)</f>
        <v/>
      </c>
      <c r="D1128" s="12">
        <f>IF('Data Entry'!A1128="","",'Data Entry'!D1128)</f>
        <v/>
      </c>
      <c r="E1128" s="12">
        <f>IF('Data Entry'!A1128="","",'Data Entry'!E1128)</f>
        <v/>
      </c>
      <c r="F1128" s="12">
        <f>IF('Data Entry'!A1128="","",'Data Entry'!F1128)</f>
        <v/>
      </c>
      <c r="G1128" s="13">
        <f>IF('Data Entry'!A1128="","",'Data Entry'!G1128)</f>
        <v/>
      </c>
      <c r="H1128" s="10">
        <f>IF('Data Entry'!A1128="","",'Data Entry'!H1128)</f>
        <v/>
      </c>
      <c r="I1128" s="10">
        <f>IF('Data Entry'!A1128="","",'Data Entry'!I1128)</f>
        <v/>
      </c>
      <c r="J1128" s="12">
        <f>IF('Data Entry'!A1128="","",IF('Data Entry'!D1128&lt;&gt;"",'Data Entry'!D1128,'Data Entry'!E1128))</f>
        <v/>
      </c>
      <c r="K1128" s="10">
        <f>IF('Data Entry'!A1128="","",IFERROR(SUMIFS($H$5:$H$2001,$J$5:$J$2001,$J1128,$B$5:$B$2001,$B1128,$A$5:$A$2001,(MAXIFS($A$5:$A$2001,$J$5:$J$2001,$J1128,$B$5:$B$2001,$B1128,$A$5:$A$2001,"&lt;"&amp;$A1128))),""))</f>
        <v/>
      </c>
      <c r="L1128" s="14">
        <f>IF(OR('Data Entry'!A1128="",$K1128=""),"",$H1128-$K1128)</f>
        <v/>
      </c>
      <c r="M1128" s="15">
        <f>IF(OR('Data Entry'!A1128="",$K1128="",$K1128=0),"",$L1128/$K1128)</f>
        <v/>
      </c>
      <c r="N1128" s="12">
        <f>IF('Data Entry'!A1128="","",IF($L1128="","New item",IF($L1128&gt;0,"UP",IF($L1128&lt;0,"down","same"))))</f>
        <v/>
      </c>
    </row>
    <row r="1129">
      <c r="A1129" s="11">
        <f>IF('Data Entry'!A1129="","",'Data Entry'!A1129)</f>
        <v/>
      </c>
      <c r="B1129" s="12">
        <f>IF('Data Entry'!A1129="","",'Data Entry'!B1129)</f>
        <v/>
      </c>
      <c r="C1129" s="12">
        <f>IF('Data Entry'!A1129="","",'Data Entry'!C1129)</f>
        <v/>
      </c>
      <c r="D1129" s="12">
        <f>IF('Data Entry'!A1129="","",'Data Entry'!D1129)</f>
        <v/>
      </c>
      <c r="E1129" s="12">
        <f>IF('Data Entry'!A1129="","",'Data Entry'!E1129)</f>
        <v/>
      </c>
      <c r="F1129" s="12">
        <f>IF('Data Entry'!A1129="","",'Data Entry'!F1129)</f>
        <v/>
      </c>
      <c r="G1129" s="13">
        <f>IF('Data Entry'!A1129="","",'Data Entry'!G1129)</f>
        <v/>
      </c>
      <c r="H1129" s="10">
        <f>IF('Data Entry'!A1129="","",'Data Entry'!H1129)</f>
        <v/>
      </c>
      <c r="I1129" s="10">
        <f>IF('Data Entry'!A1129="","",'Data Entry'!I1129)</f>
        <v/>
      </c>
      <c r="J1129" s="12">
        <f>IF('Data Entry'!A1129="","",IF('Data Entry'!D1129&lt;&gt;"",'Data Entry'!D1129,'Data Entry'!E1129))</f>
        <v/>
      </c>
      <c r="K1129" s="10">
        <f>IF('Data Entry'!A1129="","",IFERROR(SUMIFS($H$5:$H$2001,$J$5:$J$2001,$J1129,$B$5:$B$2001,$B1129,$A$5:$A$2001,(MAXIFS($A$5:$A$2001,$J$5:$J$2001,$J1129,$B$5:$B$2001,$B1129,$A$5:$A$2001,"&lt;"&amp;$A1129))),""))</f>
        <v/>
      </c>
      <c r="L1129" s="14">
        <f>IF(OR('Data Entry'!A1129="",$K1129=""),"",$H1129-$K1129)</f>
        <v/>
      </c>
      <c r="M1129" s="15">
        <f>IF(OR('Data Entry'!A1129="",$K1129="",$K1129=0),"",$L1129/$K1129)</f>
        <v/>
      </c>
      <c r="N1129" s="12">
        <f>IF('Data Entry'!A1129="","",IF($L1129="","New item",IF($L1129&gt;0,"UP",IF($L1129&lt;0,"down","same"))))</f>
        <v/>
      </c>
    </row>
    <row r="1130">
      <c r="A1130" s="11">
        <f>IF('Data Entry'!A1130="","",'Data Entry'!A1130)</f>
        <v/>
      </c>
      <c r="B1130" s="12">
        <f>IF('Data Entry'!A1130="","",'Data Entry'!B1130)</f>
        <v/>
      </c>
      <c r="C1130" s="12">
        <f>IF('Data Entry'!A1130="","",'Data Entry'!C1130)</f>
        <v/>
      </c>
      <c r="D1130" s="12">
        <f>IF('Data Entry'!A1130="","",'Data Entry'!D1130)</f>
        <v/>
      </c>
      <c r="E1130" s="12">
        <f>IF('Data Entry'!A1130="","",'Data Entry'!E1130)</f>
        <v/>
      </c>
      <c r="F1130" s="12">
        <f>IF('Data Entry'!A1130="","",'Data Entry'!F1130)</f>
        <v/>
      </c>
      <c r="G1130" s="13">
        <f>IF('Data Entry'!A1130="","",'Data Entry'!G1130)</f>
        <v/>
      </c>
      <c r="H1130" s="10">
        <f>IF('Data Entry'!A1130="","",'Data Entry'!H1130)</f>
        <v/>
      </c>
      <c r="I1130" s="10">
        <f>IF('Data Entry'!A1130="","",'Data Entry'!I1130)</f>
        <v/>
      </c>
      <c r="J1130" s="12">
        <f>IF('Data Entry'!A1130="","",IF('Data Entry'!D1130&lt;&gt;"",'Data Entry'!D1130,'Data Entry'!E1130))</f>
        <v/>
      </c>
      <c r="K1130" s="10">
        <f>IF('Data Entry'!A1130="","",IFERROR(SUMIFS($H$5:$H$2001,$J$5:$J$2001,$J1130,$B$5:$B$2001,$B1130,$A$5:$A$2001,(MAXIFS($A$5:$A$2001,$J$5:$J$2001,$J1130,$B$5:$B$2001,$B1130,$A$5:$A$2001,"&lt;"&amp;$A1130))),""))</f>
        <v/>
      </c>
      <c r="L1130" s="14">
        <f>IF(OR('Data Entry'!A1130="",$K1130=""),"",$H1130-$K1130)</f>
        <v/>
      </c>
      <c r="M1130" s="15">
        <f>IF(OR('Data Entry'!A1130="",$K1130="",$K1130=0),"",$L1130/$K1130)</f>
        <v/>
      </c>
      <c r="N1130" s="12">
        <f>IF('Data Entry'!A1130="","",IF($L1130="","New item",IF($L1130&gt;0,"UP",IF($L1130&lt;0,"down","same"))))</f>
        <v/>
      </c>
    </row>
    <row r="1131">
      <c r="A1131" s="11">
        <f>IF('Data Entry'!A1131="","",'Data Entry'!A1131)</f>
        <v/>
      </c>
      <c r="B1131" s="12">
        <f>IF('Data Entry'!A1131="","",'Data Entry'!B1131)</f>
        <v/>
      </c>
      <c r="C1131" s="12">
        <f>IF('Data Entry'!A1131="","",'Data Entry'!C1131)</f>
        <v/>
      </c>
      <c r="D1131" s="12">
        <f>IF('Data Entry'!A1131="","",'Data Entry'!D1131)</f>
        <v/>
      </c>
      <c r="E1131" s="12">
        <f>IF('Data Entry'!A1131="","",'Data Entry'!E1131)</f>
        <v/>
      </c>
      <c r="F1131" s="12">
        <f>IF('Data Entry'!A1131="","",'Data Entry'!F1131)</f>
        <v/>
      </c>
      <c r="G1131" s="13">
        <f>IF('Data Entry'!A1131="","",'Data Entry'!G1131)</f>
        <v/>
      </c>
      <c r="H1131" s="10">
        <f>IF('Data Entry'!A1131="","",'Data Entry'!H1131)</f>
        <v/>
      </c>
      <c r="I1131" s="10">
        <f>IF('Data Entry'!A1131="","",'Data Entry'!I1131)</f>
        <v/>
      </c>
      <c r="J1131" s="12">
        <f>IF('Data Entry'!A1131="","",IF('Data Entry'!D1131&lt;&gt;"",'Data Entry'!D1131,'Data Entry'!E1131))</f>
        <v/>
      </c>
      <c r="K1131" s="10">
        <f>IF('Data Entry'!A1131="","",IFERROR(SUMIFS($H$5:$H$2001,$J$5:$J$2001,$J1131,$B$5:$B$2001,$B1131,$A$5:$A$2001,(MAXIFS($A$5:$A$2001,$J$5:$J$2001,$J1131,$B$5:$B$2001,$B1131,$A$5:$A$2001,"&lt;"&amp;$A1131))),""))</f>
        <v/>
      </c>
      <c r="L1131" s="14">
        <f>IF(OR('Data Entry'!A1131="",$K1131=""),"",$H1131-$K1131)</f>
        <v/>
      </c>
      <c r="M1131" s="15">
        <f>IF(OR('Data Entry'!A1131="",$K1131="",$K1131=0),"",$L1131/$K1131)</f>
        <v/>
      </c>
      <c r="N1131" s="12">
        <f>IF('Data Entry'!A1131="","",IF($L1131="","New item",IF($L1131&gt;0,"UP",IF($L1131&lt;0,"down","same"))))</f>
        <v/>
      </c>
    </row>
    <row r="1132">
      <c r="A1132" s="11">
        <f>IF('Data Entry'!A1132="","",'Data Entry'!A1132)</f>
        <v/>
      </c>
      <c r="B1132" s="12">
        <f>IF('Data Entry'!A1132="","",'Data Entry'!B1132)</f>
        <v/>
      </c>
      <c r="C1132" s="12">
        <f>IF('Data Entry'!A1132="","",'Data Entry'!C1132)</f>
        <v/>
      </c>
      <c r="D1132" s="12">
        <f>IF('Data Entry'!A1132="","",'Data Entry'!D1132)</f>
        <v/>
      </c>
      <c r="E1132" s="12">
        <f>IF('Data Entry'!A1132="","",'Data Entry'!E1132)</f>
        <v/>
      </c>
      <c r="F1132" s="12">
        <f>IF('Data Entry'!A1132="","",'Data Entry'!F1132)</f>
        <v/>
      </c>
      <c r="G1132" s="13">
        <f>IF('Data Entry'!A1132="","",'Data Entry'!G1132)</f>
        <v/>
      </c>
      <c r="H1132" s="10">
        <f>IF('Data Entry'!A1132="","",'Data Entry'!H1132)</f>
        <v/>
      </c>
      <c r="I1132" s="10">
        <f>IF('Data Entry'!A1132="","",'Data Entry'!I1132)</f>
        <v/>
      </c>
      <c r="J1132" s="12">
        <f>IF('Data Entry'!A1132="","",IF('Data Entry'!D1132&lt;&gt;"",'Data Entry'!D1132,'Data Entry'!E1132))</f>
        <v/>
      </c>
      <c r="K1132" s="10">
        <f>IF('Data Entry'!A1132="","",IFERROR(SUMIFS($H$5:$H$2001,$J$5:$J$2001,$J1132,$B$5:$B$2001,$B1132,$A$5:$A$2001,(MAXIFS($A$5:$A$2001,$J$5:$J$2001,$J1132,$B$5:$B$2001,$B1132,$A$5:$A$2001,"&lt;"&amp;$A1132))),""))</f>
        <v/>
      </c>
      <c r="L1132" s="14">
        <f>IF(OR('Data Entry'!A1132="",$K1132=""),"",$H1132-$K1132)</f>
        <v/>
      </c>
      <c r="M1132" s="15">
        <f>IF(OR('Data Entry'!A1132="",$K1132="",$K1132=0),"",$L1132/$K1132)</f>
        <v/>
      </c>
      <c r="N1132" s="12">
        <f>IF('Data Entry'!A1132="","",IF($L1132="","New item",IF($L1132&gt;0,"UP",IF($L1132&lt;0,"down","same"))))</f>
        <v/>
      </c>
    </row>
    <row r="1133">
      <c r="A1133" s="11">
        <f>IF('Data Entry'!A1133="","",'Data Entry'!A1133)</f>
        <v/>
      </c>
      <c r="B1133" s="12">
        <f>IF('Data Entry'!A1133="","",'Data Entry'!B1133)</f>
        <v/>
      </c>
      <c r="C1133" s="12">
        <f>IF('Data Entry'!A1133="","",'Data Entry'!C1133)</f>
        <v/>
      </c>
      <c r="D1133" s="12">
        <f>IF('Data Entry'!A1133="","",'Data Entry'!D1133)</f>
        <v/>
      </c>
      <c r="E1133" s="12">
        <f>IF('Data Entry'!A1133="","",'Data Entry'!E1133)</f>
        <v/>
      </c>
      <c r="F1133" s="12">
        <f>IF('Data Entry'!A1133="","",'Data Entry'!F1133)</f>
        <v/>
      </c>
      <c r="G1133" s="13">
        <f>IF('Data Entry'!A1133="","",'Data Entry'!G1133)</f>
        <v/>
      </c>
      <c r="H1133" s="10">
        <f>IF('Data Entry'!A1133="","",'Data Entry'!H1133)</f>
        <v/>
      </c>
      <c r="I1133" s="10">
        <f>IF('Data Entry'!A1133="","",'Data Entry'!I1133)</f>
        <v/>
      </c>
      <c r="J1133" s="12">
        <f>IF('Data Entry'!A1133="","",IF('Data Entry'!D1133&lt;&gt;"",'Data Entry'!D1133,'Data Entry'!E1133))</f>
        <v/>
      </c>
      <c r="K1133" s="10">
        <f>IF('Data Entry'!A1133="","",IFERROR(SUMIFS($H$5:$H$2001,$J$5:$J$2001,$J1133,$B$5:$B$2001,$B1133,$A$5:$A$2001,(MAXIFS($A$5:$A$2001,$J$5:$J$2001,$J1133,$B$5:$B$2001,$B1133,$A$5:$A$2001,"&lt;"&amp;$A1133))),""))</f>
        <v/>
      </c>
      <c r="L1133" s="14">
        <f>IF(OR('Data Entry'!A1133="",$K1133=""),"",$H1133-$K1133)</f>
        <v/>
      </c>
      <c r="M1133" s="15">
        <f>IF(OR('Data Entry'!A1133="",$K1133="",$K1133=0),"",$L1133/$K1133)</f>
        <v/>
      </c>
      <c r="N1133" s="12">
        <f>IF('Data Entry'!A1133="","",IF($L1133="","New item",IF($L1133&gt;0,"UP",IF($L1133&lt;0,"down","same"))))</f>
        <v/>
      </c>
    </row>
    <row r="1134">
      <c r="A1134" s="11">
        <f>IF('Data Entry'!A1134="","",'Data Entry'!A1134)</f>
        <v/>
      </c>
      <c r="B1134" s="12">
        <f>IF('Data Entry'!A1134="","",'Data Entry'!B1134)</f>
        <v/>
      </c>
      <c r="C1134" s="12">
        <f>IF('Data Entry'!A1134="","",'Data Entry'!C1134)</f>
        <v/>
      </c>
      <c r="D1134" s="12">
        <f>IF('Data Entry'!A1134="","",'Data Entry'!D1134)</f>
        <v/>
      </c>
      <c r="E1134" s="12">
        <f>IF('Data Entry'!A1134="","",'Data Entry'!E1134)</f>
        <v/>
      </c>
      <c r="F1134" s="12">
        <f>IF('Data Entry'!A1134="","",'Data Entry'!F1134)</f>
        <v/>
      </c>
      <c r="G1134" s="13">
        <f>IF('Data Entry'!A1134="","",'Data Entry'!G1134)</f>
        <v/>
      </c>
      <c r="H1134" s="10">
        <f>IF('Data Entry'!A1134="","",'Data Entry'!H1134)</f>
        <v/>
      </c>
      <c r="I1134" s="10">
        <f>IF('Data Entry'!A1134="","",'Data Entry'!I1134)</f>
        <v/>
      </c>
      <c r="J1134" s="12">
        <f>IF('Data Entry'!A1134="","",IF('Data Entry'!D1134&lt;&gt;"",'Data Entry'!D1134,'Data Entry'!E1134))</f>
        <v/>
      </c>
      <c r="K1134" s="10">
        <f>IF('Data Entry'!A1134="","",IFERROR(SUMIFS($H$5:$H$2001,$J$5:$J$2001,$J1134,$B$5:$B$2001,$B1134,$A$5:$A$2001,(MAXIFS($A$5:$A$2001,$J$5:$J$2001,$J1134,$B$5:$B$2001,$B1134,$A$5:$A$2001,"&lt;"&amp;$A1134))),""))</f>
        <v/>
      </c>
      <c r="L1134" s="14">
        <f>IF(OR('Data Entry'!A1134="",$K1134=""),"",$H1134-$K1134)</f>
        <v/>
      </c>
      <c r="M1134" s="15">
        <f>IF(OR('Data Entry'!A1134="",$K1134="",$K1134=0),"",$L1134/$K1134)</f>
        <v/>
      </c>
      <c r="N1134" s="12">
        <f>IF('Data Entry'!A1134="","",IF($L1134="","New item",IF($L1134&gt;0,"UP",IF($L1134&lt;0,"down","same"))))</f>
        <v/>
      </c>
    </row>
    <row r="1135">
      <c r="A1135" s="11">
        <f>IF('Data Entry'!A1135="","",'Data Entry'!A1135)</f>
        <v/>
      </c>
      <c r="B1135" s="12">
        <f>IF('Data Entry'!A1135="","",'Data Entry'!B1135)</f>
        <v/>
      </c>
      <c r="C1135" s="12">
        <f>IF('Data Entry'!A1135="","",'Data Entry'!C1135)</f>
        <v/>
      </c>
      <c r="D1135" s="12">
        <f>IF('Data Entry'!A1135="","",'Data Entry'!D1135)</f>
        <v/>
      </c>
      <c r="E1135" s="12">
        <f>IF('Data Entry'!A1135="","",'Data Entry'!E1135)</f>
        <v/>
      </c>
      <c r="F1135" s="12">
        <f>IF('Data Entry'!A1135="","",'Data Entry'!F1135)</f>
        <v/>
      </c>
      <c r="G1135" s="13">
        <f>IF('Data Entry'!A1135="","",'Data Entry'!G1135)</f>
        <v/>
      </c>
      <c r="H1135" s="10">
        <f>IF('Data Entry'!A1135="","",'Data Entry'!H1135)</f>
        <v/>
      </c>
      <c r="I1135" s="10">
        <f>IF('Data Entry'!A1135="","",'Data Entry'!I1135)</f>
        <v/>
      </c>
      <c r="J1135" s="12">
        <f>IF('Data Entry'!A1135="","",IF('Data Entry'!D1135&lt;&gt;"",'Data Entry'!D1135,'Data Entry'!E1135))</f>
        <v/>
      </c>
      <c r="K1135" s="10">
        <f>IF('Data Entry'!A1135="","",IFERROR(SUMIFS($H$5:$H$2001,$J$5:$J$2001,$J1135,$B$5:$B$2001,$B1135,$A$5:$A$2001,(MAXIFS($A$5:$A$2001,$J$5:$J$2001,$J1135,$B$5:$B$2001,$B1135,$A$5:$A$2001,"&lt;"&amp;$A1135))),""))</f>
        <v/>
      </c>
      <c r="L1135" s="14">
        <f>IF(OR('Data Entry'!A1135="",$K1135=""),"",$H1135-$K1135)</f>
        <v/>
      </c>
      <c r="M1135" s="15">
        <f>IF(OR('Data Entry'!A1135="",$K1135="",$K1135=0),"",$L1135/$K1135)</f>
        <v/>
      </c>
      <c r="N1135" s="12">
        <f>IF('Data Entry'!A1135="","",IF($L1135="","New item",IF($L1135&gt;0,"UP",IF($L1135&lt;0,"down","same"))))</f>
        <v/>
      </c>
    </row>
    <row r="1136">
      <c r="A1136" s="11">
        <f>IF('Data Entry'!A1136="","",'Data Entry'!A1136)</f>
        <v/>
      </c>
      <c r="B1136" s="12">
        <f>IF('Data Entry'!A1136="","",'Data Entry'!B1136)</f>
        <v/>
      </c>
      <c r="C1136" s="12">
        <f>IF('Data Entry'!A1136="","",'Data Entry'!C1136)</f>
        <v/>
      </c>
      <c r="D1136" s="12">
        <f>IF('Data Entry'!A1136="","",'Data Entry'!D1136)</f>
        <v/>
      </c>
      <c r="E1136" s="12">
        <f>IF('Data Entry'!A1136="","",'Data Entry'!E1136)</f>
        <v/>
      </c>
      <c r="F1136" s="12">
        <f>IF('Data Entry'!A1136="","",'Data Entry'!F1136)</f>
        <v/>
      </c>
      <c r="G1136" s="13">
        <f>IF('Data Entry'!A1136="","",'Data Entry'!G1136)</f>
        <v/>
      </c>
      <c r="H1136" s="10">
        <f>IF('Data Entry'!A1136="","",'Data Entry'!H1136)</f>
        <v/>
      </c>
      <c r="I1136" s="10">
        <f>IF('Data Entry'!A1136="","",'Data Entry'!I1136)</f>
        <v/>
      </c>
      <c r="J1136" s="12">
        <f>IF('Data Entry'!A1136="","",IF('Data Entry'!D1136&lt;&gt;"",'Data Entry'!D1136,'Data Entry'!E1136))</f>
        <v/>
      </c>
      <c r="K1136" s="10">
        <f>IF('Data Entry'!A1136="","",IFERROR(SUMIFS($H$5:$H$2001,$J$5:$J$2001,$J1136,$B$5:$B$2001,$B1136,$A$5:$A$2001,(MAXIFS($A$5:$A$2001,$J$5:$J$2001,$J1136,$B$5:$B$2001,$B1136,$A$5:$A$2001,"&lt;"&amp;$A1136))),""))</f>
        <v/>
      </c>
      <c r="L1136" s="14">
        <f>IF(OR('Data Entry'!A1136="",$K1136=""),"",$H1136-$K1136)</f>
        <v/>
      </c>
      <c r="M1136" s="15">
        <f>IF(OR('Data Entry'!A1136="",$K1136="",$K1136=0),"",$L1136/$K1136)</f>
        <v/>
      </c>
      <c r="N1136" s="12">
        <f>IF('Data Entry'!A1136="","",IF($L1136="","New item",IF($L1136&gt;0,"UP",IF($L1136&lt;0,"down","same"))))</f>
        <v/>
      </c>
    </row>
    <row r="1137">
      <c r="A1137" s="11">
        <f>IF('Data Entry'!A1137="","",'Data Entry'!A1137)</f>
        <v/>
      </c>
      <c r="B1137" s="12">
        <f>IF('Data Entry'!A1137="","",'Data Entry'!B1137)</f>
        <v/>
      </c>
      <c r="C1137" s="12">
        <f>IF('Data Entry'!A1137="","",'Data Entry'!C1137)</f>
        <v/>
      </c>
      <c r="D1137" s="12">
        <f>IF('Data Entry'!A1137="","",'Data Entry'!D1137)</f>
        <v/>
      </c>
      <c r="E1137" s="12">
        <f>IF('Data Entry'!A1137="","",'Data Entry'!E1137)</f>
        <v/>
      </c>
      <c r="F1137" s="12">
        <f>IF('Data Entry'!A1137="","",'Data Entry'!F1137)</f>
        <v/>
      </c>
      <c r="G1137" s="13">
        <f>IF('Data Entry'!A1137="","",'Data Entry'!G1137)</f>
        <v/>
      </c>
      <c r="H1137" s="10">
        <f>IF('Data Entry'!A1137="","",'Data Entry'!H1137)</f>
        <v/>
      </c>
      <c r="I1137" s="10">
        <f>IF('Data Entry'!A1137="","",'Data Entry'!I1137)</f>
        <v/>
      </c>
      <c r="J1137" s="12">
        <f>IF('Data Entry'!A1137="","",IF('Data Entry'!D1137&lt;&gt;"",'Data Entry'!D1137,'Data Entry'!E1137))</f>
        <v/>
      </c>
      <c r="K1137" s="10">
        <f>IF('Data Entry'!A1137="","",IFERROR(SUMIFS($H$5:$H$2001,$J$5:$J$2001,$J1137,$B$5:$B$2001,$B1137,$A$5:$A$2001,(MAXIFS($A$5:$A$2001,$J$5:$J$2001,$J1137,$B$5:$B$2001,$B1137,$A$5:$A$2001,"&lt;"&amp;$A1137))),""))</f>
        <v/>
      </c>
      <c r="L1137" s="14">
        <f>IF(OR('Data Entry'!A1137="",$K1137=""),"",$H1137-$K1137)</f>
        <v/>
      </c>
      <c r="M1137" s="15">
        <f>IF(OR('Data Entry'!A1137="",$K1137="",$K1137=0),"",$L1137/$K1137)</f>
        <v/>
      </c>
      <c r="N1137" s="12">
        <f>IF('Data Entry'!A1137="","",IF($L1137="","New item",IF($L1137&gt;0,"UP",IF($L1137&lt;0,"down","same"))))</f>
        <v/>
      </c>
    </row>
    <row r="1138">
      <c r="A1138" s="11">
        <f>IF('Data Entry'!A1138="","",'Data Entry'!A1138)</f>
        <v/>
      </c>
      <c r="B1138" s="12">
        <f>IF('Data Entry'!A1138="","",'Data Entry'!B1138)</f>
        <v/>
      </c>
      <c r="C1138" s="12">
        <f>IF('Data Entry'!A1138="","",'Data Entry'!C1138)</f>
        <v/>
      </c>
      <c r="D1138" s="12">
        <f>IF('Data Entry'!A1138="","",'Data Entry'!D1138)</f>
        <v/>
      </c>
      <c r="E1138" s="12">
        <f>IF('Data Entry'!A1138="","",'Data Entry'!E1138)</f>
        <v/>
      </c>
      <c r="F1138" s="12">
        <f>IF('Data Entry'!A1138="","",'Data Entry'!F1138)</f>
        <v/>
      </c>
      <c r="G1138" s="13">
        <f>IF('Data Entry'!A1138="","",'Data Entry'!G1138)</f>
        <v/>
      </c>
      <c r="H1138" s="10">
        <f>IF('Data Entry'!A1138="","",'Data Entry'!H1138)</f>
        <v/>
      </c>
      <c r="I1138" s="10">
        <f>IF('Data Entry'!A1138="","",'Data Entry'!I1138)</f>
        <v/>
      </c>
      <c r="J1138" s="12">
        <f>IF('Data Entry'!A1138="","",IF('Data Entry'!D1138&lt;&gt;"",'Data Entry'!D1138,'Data Entry'!E1138))</f>
        <v/>
      </c>
      <c r="K1138" s="10">
        <f>IF('Data Entry'!A1138="","",IFERROR(SUMIFS($H$5:$H$2001,$J$5:$J$2001,$J1138,$B$5:$B$2001,$B1138,$A$5:$A$2001,(MAXIFS($A$5:$A$2001,$J$5:$J$2001,$J1138,$B$5:$B$2001,$B1138,$A$5:$A$2001,"&lt;"&amp;$A1138))),""))</f>
        <v/>
      </c>
      <c r="L1138" s="14">
        <f>IF(OR('Data Entry'!A1138="",$K1138=""),"",$H1138-$K1138)</f>
        <v/>
      </c>
      <c r="M1138" s="15">
        <f>IF(OR('Data Entry'!A1138="",$K1138="",$K1138=0),"",$L1138/$K1138)</f>
        <v/>
      </c>
      <c r="N1138" s="12">
        <f>IF('Data Entry'!A1138="","",IF($L1138="","New item",IF($L1138&gt;0,"UP",IF($L1138&lt;0,"down","same"))))</f>
        <v/>
      </c>
    </row>
    <row r="1139">
      <c r="A1139" s="11">
        <f>IF('Data Entry'!A1139="","",'Data Entry'!A1139)</f>
        <v/>
      </c>
      <c r="B1139" s="12">
        <f>IF('Data Entry'!A1139="","",'Data Entry'!B1139)</f>
        <v/>
      </c>
      <c r="C1139" s="12">
        <f>IF('Data Entry'!A1139="","",'Data Entry'!C1139)</f>
        <v/>
      </c>
      <c r="D1139" s="12">
        <f>IF('Data Entry'!A1139="","",'Data Entry'!D1139)</f>
        <v/>
      </c>
      <c r="E1139" s="12">
        <f>IF('Data Entry'!A1139="","",'Data Entry'!E1139)</f>
        <v/>
      </c>
      <c r="F1139" s="12">
        <f>IF('Data Entry'!A1139="","",'Data Entry'!F1139)</f>
        <v/>
      </c>
      <c r="G1139" s="13">
        <f>IF('Data Entry'!A1139="","",'Data Entry'!G1139)</f>
        <v/>
      </c>
      <c r="H1139" s="10">
        <f>IF('Data Entry'!A1139="","",'Data Entry'!H1139)</f>
        <v/>
      </c>
      <c r="I1139" s="10">
        <f>IF('Data Entry'!A1139="","",'Data Entry'!I1139)</f>
        <v/>
      </c>
      <c r="J1139" s="12">
        <f>IF('Data Entry'!A1139="","",IF('Data Entry'!D1139&lt;&gt;"",'Data Entry'!D1139,'Data Entry'!E1139))</f>
        <v/>
      </c>
      <c r="K1139" s="10">
        <f>IF('Data Entry'!A1139="","",IFERROR(SUMIFS($H$5:$H$2001,$J$5:$J$2001,$J1139,$B$5:$B$2001,$B1139,$A$5:$A$2001,(MAXIFS($A$5:$A$2001,$J$5:$J$2001,$J1139,$B$5:$B$2001,$B1139,$A$5:$A$2001,"&lt;"&amp;$A1139))),""))</f>
        <v/>
      </c>
      <c r="L1139" s="14">
        <f>IF(OR('Data Entry'!A1139="",$K1139=""),"",$H1139-$K1139)</f>
        <v/>
      </c>
      <c r="M1139" s="15">
        <f>IF(OR('Data Entry'!A1139="",$K1139="",$K1139=0),"",$L1139/$K1139)</f>
        <v/>
      </c>
      <c r="N1139" s="12">
        <f>IF('Data Entry'!A1139="","",IF($L1139="","New item",IF($L1139&gt;0,"UP",IF($L1139&lt;0,"down","same"))))</f>
        <v/>
      </c>
    </row>
    <row r="1140">
      <c r="A1140" s="11">
        <f>IF('Data Entry'!A1140="","",'Data Entry'!A1140)</f>
        <v/>
      </c>
      <c r="B1140" s="12">
        <f>IF('Data Entry'!A1140="","",'Data Entry'!B1140)</f>
        <v/>
      </c>
      <c r="C1140" s="12">
        <f>IF('Data Entry'!A1140="","",'Data Entry'!C1140)</f>
        <v/>
      </c>
      <c r="D1140" s="12">
        <f>IF('Data Entry'!A1140="","",'Data Entry'!D1140)</f>
        <v/>
      </c>
      <c r="E1140" s="12">
        <f>IF('Data Entry'!A1140="","",'Data Entry'!E1140)</f>
        <v/>
      </c>
      <c r="F1140" s="12">
        <f>IF('Data Entry'!A1140="","",'Data Entry'!F1140)</f>
        <v/>
      </c>
      <c r="G1140" s="13">
        <f>IF('Data Entry'!A1140="","",'Data Entry'!G1140)</f>
        <v/>
      </c>
      <c r="H1140" s="10">
        <f>IF('Data Entry'!A1140="","",'Data Entry'!H1140)</f>
        <v/>
      </c>
      <c r="I1140" s="10">
        <f>IF('Data Entry'!A1140="","",'Data Entry'!I1140)</f>
        <v/>
      </c>
      <c r="J1140" s="12">
        <f>IF('Data Entry'!A1140="","",IF('Data Entry'!D1140&lt;&gt;"",'Data Entry'!D1140,'Data Entry'!E1140))</f>
        <v/>
      </c>
      <c r="K1140" s="10">
        <f>IF('Data Entry'!A1140="","",IFERROR(SUMIFS($H$5:$H$2001,$J$5:$J$2001,$J1140,$B$5:$B$2001,$B1140,$A$5:$A$2001,(MAXIFS($A$5:$A$2001,$J$5:$J$2001,$J1140,$B$5:$B$2001,$B1140,$A$5:$A$2001,"&lt;"&amp;$A1140))),""))</f>
        <v/>
      </c>
      <c r="L1140" s="14">
        <f>IF(OR('Data Entry'!A1140="",$K1140=""),"",$H1140-$K1140)</f>
        <v/>
      </c>
      <c r="M1140" s="15">
        <f>IF(OR('Data Entry'!A1140="",$K1140="",$K1140=0),"",$L1140/$K1140)</f>
        <v/>
      </c>
      <c r="N1140" s="12">
        <f>IF('Data Entry'!A1140="","",IF($L1140="","New item",IF($L1140&gt;0,"UP",IF($L1140&lt;0,"down","same"))))</f>
        <v/>
      </c>
    </row>
    <row r="1141">
      <c r="A1141" s="11">
        <f>IF('Data Entry'!A1141="","",'Data Entry'!A1141)</f>
        <v/>
      </c>
      <c r="B1141" s="12">
        <f>IF('Data Entry'!A1141="","",'Data Entry'!B1141)</f>
        <v/>
      </c>
      <c r="C1141" s="12">
        <f>IF('Data Entry'!A1141="","",'Data Entry'!C1141)</f>
        <v/>
      </c>
      <c r="D1141" s="12">
        <f>IF('Data Entry'!A1141="","",'Data Entry'!D1141)</f>
        <v/>
      </c>
      <c r="E1141" s="12">
        <f>IF('Data Entry'!A1141="","",'Data Entry'!E1141)</f>
        <v/>
      </c>
      <c r="F1141" s="12">
        <f>IF('Data Entry'!A1141="","",'Data Entry'!F1141)</f>
        <v/>
      </c>
      <c r="G1141" s="13">
        <f>IF('Data Entry'!A1141="","",'Data Entry'!G1141)</f>
        <v/>
      </c>
      <c r="H1141" s="10">
        <f>IF('Data Entry'!A1141="","",'Data Entry'!H1141)</f>
        <v/>
      </c>
      <c r="I1141" s="10">
        <f>IF('Data Entry'!A1141="","",'Data Entry'!I1141)</f>
        <v/>
      </c>
      <c r="J1141" s="12">
        <f>IF('Data Entry'!A1141="","",IF('Data Entry'!D1141&lt;&gt;"",'Data Entry'!D1141,'Data Entry'!E1141))</f>
        <v/>
      </c>
      <c r="K1141" s="10">
        <f>IF('Data Entry'!A1141="","",IFERROR(SUMIFS($H$5:$H$2001,$J$5:$J$2001,$J1141,$B$5:$B$2001,$B1141,$A$5:$A$2001,(MAXIFS($A$5:$A$2001,$J$5:$J$2001,$J1141,$B$5:$B$2001,$B1141,$A$5:$A$2001,"&lt;"&amp;$A1141))),""))</f>
        <v/>
      </c>
      <c r="L1141" s="14">
        <f>IF(OR('Data Entry'!A1141="",$K1141=""),"",$H1141-$K1141)</f>
        <v/>
      </c>
      <c r="M1141" s="15">
        <f>IF(OR('Data Entry'!A1141="",$K1141="",$K1141=0),"",$L1141/$K1141)</f>
        <v/>
      </c>
      <c r="N1141" s="12">
        <f>IF('Data Entry'!A1141="","",IF($L1141="","New item",IF($L1141&gt;0,"UP",IF($L1141&lt;0,"down","same"))))</f>
        <v/>
      </c>
    </row>
    <row r="1142">
      <c r="A1142" s="11">
        <f>IF('Data Entry'!A1142="","",'Data Entry'!A1142)</f>
        <v/>
      </c>
      <c r="B1142" s="12">
        <f>IF('Data Entry'!A1142="","",'Data Entry'!B1142)</f>
        <v/>
      </c>
      <c r="C1142" s="12">
        <f>IF('Data Entry'!A1142="","",'Data Entry'!C1142)</f>
        <v/>
      </c>
      <c r="D1142" s="12">
        <f>IF('Data Entry'!A1142="","",'Data Entry'!D1142)</f>
        <v/>
      </c>
      <c r="E1142" s="12">
        <f>IF('Data Entry'!A1142="","",'Data Entry'!E1142)</f>
        <v/>
      </c>
      <c r="F1142" s="12">
        <f>IF('Data Entry'!A1142="","",'Data Entry'!F1142)</f>
        <v/>
      </c>
      <c r="G1142" s="13">
        <f>IF('Data Entry'!A1142="","",'Data Entry'!G1142)</f>
        <v/>
      </c>
      <c r="H1142" s="10">
        <f>IF('Data Entry'!A1142="","",'Data Entry'!H1142)</f>
        <v/>
      </c>
      <c r="I1142" s="10">
        <f>IF('Data Entry'!A1142="","",'Data Entry'!I1142)</f>
        <v/>
      </c>
      <c r="J1142" s="12">
        <f>IF('Data Entry'!A1142="","",IF('Data Entry'!D1142&lt;&gt;"",'Data Entry'!D1142,'Data Entry'!E1142))</f>
        <v/>
      </c>
      <c r="K1142" s="10">
        <f>IF('Data Entry'!A1142="","",IFERROR(SUMIFS($H$5:$H$2001,$J$5:$J$2001,$J1142,$B$5:$B$2001,$B1142,$A$5:$A$2001,(MAXIFS($A$5:$A$2001,$J$5:$J$2001,$J1142,$B$5:$B$2001,$B1142,$A$5:$A$2001,"&lt;"&amp;$A1142))),""))</f>
        <v/>
      </c>
      <c r="L1142" s="14">
        <f>IF(OR('Data Entry'!A1142="",$K1142=""),"",$H1142-$K1142)</f>
        <v/>
      </c>
      <c r="M1142" s="15">
        <f>IF(OR('Data Entry'!A1142="",$K1142="",$K1142=0),"",$L1142/$K1142)</f>
        <v/>
      </c>
      <c r="N1142" s="12">
        <f>IF('Data Entry'!A1142="","",IF($L1142="","New item",IF($L1142&gt;0,"UP",IF($L1142&lt;0,"down","same"))))</f>
        <v/>
      </c>
    </row>
    <row r="1143">
      <c r="A1143" s="11">
        <f>IF('Data Entry'!A1143="","",'Data Entry'!A1143)</f>
        <v/>
      </c>
      <c r="B1143" s="12">
        <f>IF('Data Entry'!A1143="","",'Data Entry'!B1143)</f>
        <v/>
      </c>
      <c r="C1143" s="12">
        <f>IF('Data Entry'!A1143="","",'Data Entry'!C1143)</f>
        <v/>
      </c>
      <c r="D1143" s="12">
        <f>IF('Data Entry'!A1143="","",'Data Entry'!D1143)</f>
        <v/>
      </c>
      <c r="E1143" s="12">
        <f>IF('Data Entry'!A1143="","",'Data Entry'!E1143)</f>
        <v/>
      </c>
      <c r="F1143" s="12">
        <f>IF('Data Entry'!A1143="","",'Data Entry'!F1143)</f>
        <v/>
      </c>
      <c r="G1143" s="13">
        <f>IF('Data Entry'!A1143="","",'Data Entry'!G1143)</f>
        <v/>
      </c>
      <c r="H1143" s="10">
        <f>IF('Data Entry'!A1143="","",'Data Entry'!H1143)</f>
        <v/>
      </c>
      <c r="I1143" s="10">
        <f>IF('Data Entry'!A1143="","",'Data Entry'!I1143)</f>
        <v/>
      </c>
      <c r="J1143" s="12">
        <f>IF('Data Entry'!A1143="","",IF('Data Entry'!D1143&lt;&gt;"",'Data Entry'!D1143,'Data Entry'!E1143))</f>
        <v/>
      </c>
      <c r="K1143" s="10">
        <f>IF('Data Entry'!A1143="","",IFERROR(SUMIFS($H$5:$H$2001,$J$5:$J$2001,$J1143,$B$5:$B$2001,$B1143,$A$5:$A$2001,(MAXIFS($A$5:$A$2001,$J$5:$J$2001,$J1143,$B$5:$B$2001,$B1143,$A$5:$A$2001,"&lt;"&amp;$A1143))),""))</f>
        <v/>
      </c>
      <c r="L1143" s="14">
        <f>IF(OR('Data Entry'!A1143="",$K1143=""),"",$H1143-$K1143)</f>
        <v/>
      </c>
      <c r="M1143" s="15">
        <f>IF(OR('Data Entry'!A1143="",$K1143="",$K1143=0),"",$L1143/$K1143)</f>
        <v/>
      </c>
      <c r="N1143" s="12">
        <f>IF('Data Entry'!A1143="","",IF($L1143="","New item",IF($L1143&gt;0,"UP",IF($L1143&lt;0,"down","same"))))</f>
        <v/>
      </c>
    </row>
    <row r="1144">
      <c r="A1144" s="11">
        <f>IF('Data Entry'!A1144="","",'Data Entry'!A1144)</f>
        <v/>
      </c>
      <c r="B1144" s="12">
        <f>IF('Data Entry'!A1144="","",'Data Entry'!B1144)</f>
        <v/>
      </c>
      <c r="C1144" s="12">
        <f>IF('Data Entry'!A1144="","",'Data Entry'!C1144)</f>
        <v/>
      </c>
      <c r="D1144" s="12">
        <f>IF('Data Entry'!A1144="","",'Data Entry'!D1144)</f>
        <v/>
      </c>
      <c r="E1144" s="12">
        <f>IF('Data Entry'!A1144="","",'Data Entry'!E1144)</f>
        <v/>
      </c>
      <c r="F1144" s="12">
        <f>IF('Data Entry'!A1144="","",'Data Entry'!F1144)</f>
        <v/>
      </c>
      <c r="G1144" s="13">
        <f>IF('Data Entry'!A1144="","",'Data Entry'!G1144)</f>
        <v/>
      </c>
      <c r="H1144" s="10">
        <f>IF('Data Entry'!A1144="","",'Data Entry'!H1144)</f>
        <v/>
      </c>
      <c r="I1144" s="10">
        <f>IF('Data Entry'!A1144="","",'Data Entry'!I1144)</f>
        <v/>
      </c>
      <c r="J1144" s="12">
        <f>IF('Data Entry'!A1144="","",IF('Data Entry'!D1144&lt;&gt;"",'Data Entry'!D1144,'Data Entry'!E1144))</f>
        <v/>
      </c>
      <c r="K1144" s="10">
        <f>IF('Data Entry'!A1144="","",IFERROR(SUMIFS($H$5:$H$2001,$J$5:$J$2001,$J1144,$B$5:$B$2001,$B1144,$A$5:$A$2001,(MAXIFS($A$5:$A$2001,$J$5:$J$2001,$J1144,$B$5:$B$2001,$B1144,$A$5:$A$2001,"&lt;"&amp;$A1144))),""))</f>
        <v/>
      </c>
      <c r="L1144" s="14">
        <f>IF(OR('Data Entry'!A1144="",$K1144=""),"",$H1144-$K1144)</f>
        <v/>
      </c>
      <c r="M1144" s="15">
        <f>IF(OR('Data Entry'!A1144="",$K1144="",$K1144=0),"",$L1144/$K1144)</f>
        <v/>
      </c>
      <c r="N1144" s="12">
        <f>IF('Data Entry'!A1144="","",IF($L1144="","New item",IF($L1144&gt;0,"UP",IF($L1144&lt;0,"down","same"))))</f>
        <v/>
      </c>
    </row>
    <row r="1145">
      <c r="A1145" s="11">
        <f>IF('Data Entry'!A1145="","",'Data Entry'!A1145)</f>
        <v/>
      </c>
      <c r="B1145" s="12">
        <f>IF('Data Entry'!A1145="","",'Data Entry'!B1145)</f>
        <v/>
      </c>
      <c r="C1145" s="12">
        <f>IF('Data Entry'!A1145="","",'Data Entry'!C1145)</f>
        <v/>
      </c>
      <c r="D1145" s="12">
        <f>IF('Data Entry'!A1145="","",'Data Entry'!D1145)</f>
        <v/>
      </c>
      <c r="E1145" s="12">
        <f>IF('Data Entry'!A1145="","",'Data Entry'!E1145)</f>
        <v/>
      </c>
      <c r="F1145" s="12">
        <f>IF('Data Entry'!A1145="","",'Data Entry'!F1145)</f>
        <v/>
      </c>
      <c r="G1145" s="13">
        <f>IF('Data Entry'!A1145="","",'Data Entry'!G1145)</f>
        <v/>
      </c>
      <c r="H1145" s="10">
        <f>IF('Data Entry'!A1145="","",'Data Entry'!H1145)</f>
        <v/>
      </c>
      <c r="I1145" s="10">
        <f>IF('Data Entry'!A1145="","",'Data Entry'!I1145)</f>
        <v/>
      </c>
      <c r="J1145" s="12">
        <f>IF('Data Entry'!A1145="","",IF('Data Entry'!D1145&lt;&gt;"",'Data Entry'!D1145,'Data Entry'!E1145))</f>
        <v/>
      </c>
      <c r="K1145" s="10">
        <f>IF('Data Entry'!A1145="","",IFERROR(SUMIFS($H$5:$H$2001,$J$5:$J$2001,$J1145,$B$5:$B$2001,$B1145,$A$5:$A$2001,(MAXIFS($A$5:$A$2001,$J$5:$J$2001,$J1145,$B$5:$B$2001,$B1145,$A$5:$A$2001,"&lt;"&amp;$A1145))),""))</f>
        <v/>
      </c>
      <c r="L1145" s="14">
        <f>IF(OR('Data Entry'!A1145="",$K1145=""),"",$H1145-$K1145)</f>
        <v/>
      </c>
      <c r="M1145" s="15">
        <f>IF(OR('Data Entry'!A1145="",$K1145="",$K1145=0),"",$L1145/$K1145)</f>
        <v/>
      </c>
      <c r="N1145" s="12">
        <f>IF('Data Entry'!A1145="","",IF($L1145="","New item",IF($L1145&gt;0,"UP",IF($L1145&lt;0,"down","same"))))</f>
        <v/>
      </c>
    </row>
    <row r="1146">
      <c r="A1146" s="11">
        <f>IF('Data Entry'!A1146="","",'Data Entry'!A1146)</f>
        <v/>
      </c>
      <c r="B1146" s="12">
        <f>IF('Data Entry'!A1146="","",'Data Entry'!B1146)</f>
        <v/>
      </c>
      <c r="C1146" s="12">
        <f>IF('Data Entry'!A1146="","",'Data Entry'!C1146)</f>
        <v/>
      </c>
      <c r="D1146" s="12">
        <f>IF('Data Entry'!A1146="","",'Data Entry'!D1146)</f>
        <v/>
      </c>
      <c r="E1146" s="12">
        <f>IF('Data Entry'!A1146="","",'Data Entry'!E1146)</f>
        <v/>
      </c>
      <c r="F1146" s="12">
        <f>IF('Data Entry'!A1146="","",'Data Entry'!F1146)</f>
        <v/>
      </c>
      <c r="G1146" s="13">
        <f>IF('Data Entry'!A1146="","",'Data Entry'!G1146)</f>
        <v/>
      </c>
      <c r="H1146" s="10">
        <f>IF('Data Entry'!A1146="","",'Data Entry'!H1146)</f>
        <v/>
      </c>
      <c r="I1146" s="10">
        <f>IF('Data Entry'!A1146="","",'Data Entry'!I1146)</f>
        <v/>
      </c>
      <c r="J1146" s="12">
        <f>IF('Data Entry'!A1146="","",IF('Data Entry'!D1146&lt;&gt;"",'Data Entry'!D1146,'Data Entry'!E1146))</f>
        <v/>
      </c>
      <c r="K1146" s="10">
        <f>IF('Data Entry'!A1146="","",IFERROR(SUMIFS($H$5:$H$2001,$J$5:$J$2001,$J1146,$B$5:$B$2001,$B1146,$A$5:$A$2001,(MAXIFS($A$5:$A$2001,$J$5:$J$2001,$J1146,$B$5:$B$2001,$B1146,$A$5:$A$2001,"&lt;"&amp;$A1146))),""))</f>
        <v/>
      </c>
      <c r="L1146" s="14">
        <f>IF(OR('Data Entry'!A1146="",$K1146=""),"",$H1146-$K1146)</f>
        <v/>
      </c>
      <c r="M1146" s="15">
        <f>IF(OR('Data Entry'!A1146="",$K1146="",$K1146=0),"",$L1146/$K1146)</f>
        <v/>
      </c>
      <c r="N1146" s="12">
        <f>IF('Data Entry'!A1146="","",IF($L1146="","New item",IF($L1146&gt;0,"UP",IF($L1146&lt;0,"down","same"))))</f>
        <v/>
      </c>
    </row>
    <row r="1147">
      <c r="A1147" s="11">
        <f>IF('Data Entry'!A1147="","",'Data Entry'!A1147)</f>
        <v/>
      </c>
      <c r="B1147" s="12">
        <f>IF('Data Entry'!A1147="","",'Data Entry'!B1147)</f>
        <v/>
      </c>
      <c r="C1147" s="12">
        <f>IF('Data Entry'!A1147="","",'Data Entry'!C1147)</f>
        <v/>
      </c>
      <c r="D1147" s="12">
        <f>IF('Data Entry'!A1147="","",'Data Entry'!D1147)</f>
        <v/>
      </c>
      <c r="E1147" s="12">
        <f>IF('Data Entry'!A1147="","",'Data Entry'!E1147)</f>
        <v/>
      </c>
      <c r="F1147" s="12">
        <f>IF('Data Entry'!A1147="","",'Data Entry'!F1147)</f>
        <v/>
      </c>
      <c r="G1147" s="13">
        <f>IF('Data Entry'!A1147="","",'Data Entry'!G1147)</f>
        <v/>
      </c>
      <c r="H1147" s="10">
        <f>IF('Data Entry'!A1147="","",'Data Entry'!H1147)</f>
        <v/>
      </c>
      <c r="I1147" s="10">
        <f>IF('Data Entry'!A1147="","",'Data Entry'!I1147)</f>
        <v/>
      </c>
      <c r="J1147" s="12">
        <f>IF('Data Entry'!A1147="","",IF('Data Entry'!D1147&lt;&gt;"",'Data Entry'!D1147,'Data Entry'!E1147))</f>
        <v/>
      </c>
      <c r="K1147" s="10">
        <f>IF('Data Entry'!A1147="","",IFERROR(SUMIFS($H$5:$H$2001,$J$5:$J$2001,$J1147,$B$5:$B$2001,$B1147,$A$5:$A$2001,(MAXIFS($A$5:$A$2001,$J$5:$J$2001,$J1147,$B$5:$B$2001,$B1147,$A$5:$A$2001,"&lt;"&amp;$A1147))),""))</f>
        <v/>
      </c>
      <c r="L1147" s="14">
        <f>IF(OR('Data Entry'!A1147="",$K1147=""),"",$H1147-$K1147)</f>
        <v/>
      </c>
      <c r="M1147" s="15">
        <f>IF(OR('Data Entry'!A1147="",$K1147="",$K1147=0),"",$L1147/$K1147)</f>
        <v/>
      </c>
      <c r="N1147" s="12">
        <f>IF('Data Entry'!A1147="","",IF($L1147="","New item",IF($L1147&gt;0,"UP",IF($L1147&lt;0,"down","same"))))</f>
        <v/>
      </c>
    </row>
    <row r="1148">
      <c r="A1148" s="11">
        <f>IF('Data Entry'!A1148="","",'Data Entry'!A1148)</f>
        <v/>
      </c>
      <c r="B1148" s="12">
        <f>IF('Data Entry'!A1148="","",'Data Entry'!B1148)</f>
        <v/>
      </c>
      <c r="C1148" s="12">
        <f>IF('Data Entry'!A1148="","",'Data Entry'!C1148)</f>
        <v/>
      </c>
      <c r="D1148" s="12">
        <f>IF('Data Entry'!A1148="","",'Data Entry'!D1148)</f>
        <v/>
      </c>
      <c r="E1148" s="12">
        <f>IF('Data Entry'!A1148="","",'Data Entry'!E1148)</f>
        <v/>
      </c>
      <c r="F1148" s="12">
        <f>IF('Data Entry'!A1148="","",'Data Entry'!F1148)</f>
        <v/>
      </c>
      <c r="G1148" s="13">
        <f>IF('Data Entry'!A1148="","",'Data Entry'!G1148)</f>
        <v/>
      </c>
      <c r="H1148" s="10">
        <f>IF('Data Entry'!A1148="","",'Data Entry'!H1148)</f>
        <v/>
      </c>
      <c r="I1148" s="10">
        <f>IF('Data Entry'!A1148="","",'Data Entry'!I1148)</f>
        <v/>
      </c>
      <c r="J1148" s="12">
        <f>IF('Data Entry'!A1148="","",IF('Data Entry'!D1148&lt;&gt;"",'Data Entry'!D1148,'Data Entry'!E1148))</f>
        <v/>
      </c>
      <c r="K1148" s="10">
        <f>IF('Data Entry'!A1148="","",IFERROR(SUMIFS($H$5:$H$2001,$J$5:$J$2001,$J1148,$B$5:$B$2001,$B1148,$A$5:$A$2001,(MAXIFS($A$5:$A$2001,$J$5:$J$2001,$J1148,$B$5:$B$2001,$B1148,$A$5:$A$2001,"&lt;"&amp;$A1148))),""))</f>
        <v/>
      </c>
      <c r="L1148" s="14">
        <f>IF(OR('Data Entry'!A1148="",$K1148=""),"",$H1148-$K1148)</f>
        <v/>
      </c>
      <c r="M1148" s="15">
        <f>IF(OR('Data Entry'!A1148="",$K1148="",$K1148=0),"",$L1148/$K1148)</f>
        <v/>
      </c>
      <c r="N1148" s="12">
        <f>IF('Data Entry'!A1148="","",IF($L1148="","New item",IF($L1148&gt;0,"UP",IF($L1148&lt;0,"down","same"))))</f>
        <v/>
      </c>
    </row>
    <row r="1149">
      <c r="A1149" s="11">
        <f>IF('Data Entry'!A1149="","",'Data Entry'!A1149)</f>
        <v/>
      </c>
      <c r="B1149" s="12">
        <f>IF('Data Entry'!A1149="","",'Data Entry'!B1149)</f>
        <v/>
      </c>
      <c r="C1149" s="12">
        <f>IF('Data Entry'!A1149="","",'Data Entry'!C1149)</f>
        <v/>
      </c>
      <c r="D1149" s="12">
        <f>IF('Data Entry'!A1149="","",'Data Entry'!D1149)</f>
        <v/>
      </c>
      <c r="E1149" s="12">
        <f>IF('Data Entry'!A1149="","",'Data Entry'!E1149)</f>
        <v/>
      </c>
      <c r="F1149" s="12">
        <f>IF('Data Entry'!A1149="","",'Data Entry'!F1149)</f>
        <v/>
      </c>
      <c r="G1149" s="13">
        <f>IF('Data Entry'!A1149="","",'Data Entry'!G1149)</f>
        <v/>
      </c>
      <c r="H1149" s="10">
        <f>IF('Data Entry'!A1149="","",'Data Entry'!H1149)</f>
        <v/>
      </c>
      <c r="I1149" s="10">
        <f>IF('Data Entry'!A1149="","",'Data Entry'!I1149)</f>
        <v/>
      </c>
      <c r="J1149" s="12">
        <f>IF('Data Entry'!A1149="","",IF('Data Entry'!D1149&lt;&gt;"",'Data Entry'!D1149,'Data Entry'!E1149))</f>
        <v/>
      </c>
      <c r="K1149" s="10">
        <f>IF('Data Entry'!A1149="","",IFERROR(SUMIFS($H$5:$H$2001,$J$5:$J$2001,$J1149,$B$5:$B$2001,$B1149,$A$5:$A$2001,(MAXIFS($A$5:$A$2001,$J$5:$J$2001,$J1149,$B$5:$B$2001,$B1149,$A$5:$A$2001,"&lt;"&amp;$A1149))),""))</f>
        <v/>
      </c>
      <c r="L1149" s="14">
        <f>IF(OR('Data Entry'!A1149="",$K1149=""),"",$H1149-$K1149)</f>
        <v/>
      </c>
      <c r="M1149" s="15">
        <f>IF(OR('Data Entry'!A1149="",$K1149="",$K1149=0),"",$L1149/$K1149)</f>
        <v/>
      </c>
      <c r="N1149" s="12">
        <f>IF('Data Entry'!A1149="","",IF($L1149="","New item",IF($L1149&gt;0,"UP",IF($L1149&lt;0,"down","same"))))</f>
        <v/>
      </c>
    </row>
    <row r="1150">
      <c r="A1150" s="11">
        <f>IF('Data Entry'!A1150="","",'Data Entry'!A1150)</f>
        <v/>
      </c>
      <c r="B1150" s="12">
        <f>IF('Data Entry'!A1150="","",'Data Entry'!B1150)</f>
        <v/>
      </c>
      <c r="C1150" s="12">
        <f>IF('Data Entry'!A1150="","",'Data Entry'!C1150)</f>
        <v/>
      </c>
      <c r="D1150" s="12">
        <f>IF('Data Entry'!A1150="","",'Data Entry'!D1150)</f>
        <v/>
      </c>
      <c r="E1150" s="12">
        <f>IF('Data Entry'!A1150="","",'Data Entry'!E1150)</f>
        <v/>
      </c>
      <c r="F1150" s="12">
        <f>IF('Data Entry'!A1150="","",'Data Entry'!F1150)</f>
        <v/>
      </c>
      <c r="G1150" s="13">
        <f>IF('Data Entry'!A1150="","",'Data Entry'!G1150)</f>
        <v/>
      </c>
      <c r="H1150" s="10">
        <f>IF('Data Entry'!A1150="","",'Data Entry'!H1150)</f>
        <v/>
      </c>
      <c r="I1150" s="10">
        <f>IF('Data Entry'!A1150="","",'Data Entry'!I1150)</f>
        <v/>
      </c>
      <c r="J1150" s="12">
        <f>IF('Data Entry'!A1150="","",IF('Data Entry'!D1150&lt;&gt;"",'Data Entry'!D1150,'Data Entry'!E1150))</f>
        <v/>
      </c>
      <c r="K1150" s="10">
        <f>IF('Data Entry'!A1150="","",IFERROR(SUMIFS($H$5:$H$2001,$J$5:$J$2001,$J1150,$B$5:$B$2001,$B1150,$A$5:$A$2001,(MAXIFS($A$5:$A$2001,$J$5:$J$2001,$J1150,$B$5:$B$2001,$B1150,$A$5:$A$2001,"&lt;"&amp;$A1150))),""))</f>
        <v/>
      </c>
      <c r="L1150" s="14">
        <f>IF(OR('Data Entry'!A1150="",$K1150=""),"",$H1150-$K1150)</f>
        <v/>
      </c>
      <c r="M1150" s="15">
        <f>IF(OR('Data Entry'!A1150="",$K1150="",$K1150=0),"",$L1150/$K1150)</f>
        <v/>
      </c>
      <c r="N1150" s="12">
        <f>IF('Data Entry'!A1150="","",IF($L1150="","New item",IF($L1150&gt;0,"UP",IF($L1150&lt;0,"down","same"))))</f>
        <v/>
      </c>
    </row>
    <row r="1151">
      <c r="A1151" s="11">
        <f>IF('Data Entry'!A1151="","",'Data Entry'!A1151)</f>
        <v/>
      </c>
      <c r="B1151" s="12">
        <f>IF('Data Entry'!A1151="","",'Data Entry'!B1151)</f>
        <v/>
      </c>
      <c r="C1151" s="12">
        <f>IF('Data Entry'!A1151="","",'Data Entry'!C1151)</f>
        <v/>
      </c>
      <c r="D1151" s="12">
        <f>IF('Data Entry'!A1151="","",'Data Entry'!D1151)</f>
        <v/>
      </c>
      <c r="E1151" s="12">
        <f>IF('Data Entry'!A1151="","",'Data Entry'!E1151)</f>
        <v/>
      </c>
      <c r="F1151" s="12">
        <f>IF('Data Entry'!A1151="","",'Data Entry'!F1151)</f>
        <v/>
      </c>
      <c r="G1151" s="13">
        <f>IF('Data Entry'!A1151="","",'Data Entry'!G1151)</f>
        <v/>
      </c>
      <c r="H1151" s="10">
        <f>IF('Data Entry'!A1151="","",'Data Entry'!H1151)</f>
        <v/>
      </c>
      <c r="I1151" s="10">
        <f>IF('Data Entry'!A1151="","",'Data Entry'!I1151)</f>
        <v/>
      </c>
      <c r="J1151" s="12">
        <f>IF('Data Entry'!A1151="","",IF('Data Entry'!D1151&lt;&gt;"",'Data Entry'!D1151,'Data Entry'!E1151))</f>
        <v/>
      </c>
      <c r="K1151" s="10">
        <f>IF('Data Entry'!A1151="","",IFERROR(SUMIFS($H$5:$H$2001,$J$5:$J$2001,$J1151,$B$5:$B$2001,$B1151,$A$5:$A$2001,(MAXIFS($A$5:$A$2001,$J$5:$J$2001,$J1151,$B$5:$B$2001,$B1151,$A$5:$A$2001,"&lt;"&amp;$A1151))),""))</f>
        <v/>
      </c>
      <c r="L1151" s="14">
        <f>IF(OR('Data Entry'!A1151="",$K1151=""),"",$H1151-$K1151)</f>
        <v/>
      </c>
      <c r="M1151" s="15">
        <f>IF(OR('Data Entry'!A1151="",$K1151="",$K1151=0),"",$L1151/$K1151)</f>
        <v/>
      </c>
      <c r="N1151" s="12">
        <f>IF('Data Entry'!A1151="","",IF($L1151="","New item",IF($L1151&gt;0,"UP",IF($L1151&lt;0,"down","same"))))</f>
        <v/>
      </c>
    </row>
    <row r="1152">
      <c r="A1152" s="11">
        <f>IF('Data Entry'!A1152="","",'Data Entry'!A1152)</f>
        <v/>
      </c>
      <c r="B1152" s="12">
        <f>IF('Data Entry'!A1152="","",'Data Entry'!B1152)</f>
        <v/>
      </c>
      <c r="C1152" s="12">
        <f>IF('Data Entry'!A1152="","",'Data Entry'!C1152)</f>
        <v/>
      </c>
      <c r="D1152" s="12">
        <f>IF('Data Entry'!A1152="","",'Data Entry'!D1152)</f>
        <v/>
      </c>
      <c r="E1152" s="12">
        <f>IF('Data Entry'!A1152="","",'Data Entry'!E1152)</f>
        <v/>
      </c>
      <c r="F1152" s="12">
        <f>IF('Data Entry'!A1152="","",'Data Entry'!F1152)</f>
        <v/>
      </c>
      <c r="G1152" s="13">
        <f>IF('Data Entry'!A1152="","",'Data Entry'!G1152)</f>
        <v/>
      </c>
      <c r="H1152" s="10">
        <f>IF('Data Entry'!A1152="","",'Data Entry'!H1152)</f>
        <v/>
      </c>
      <c r="I1152" s="10">
        <f>IF('Data Entry'!A1152="","",'Data Entry'!I1152)</f>
        <v/>
      </c>
      <c r="J1152" s="12">
        <f>IF('Data Entry'!A1152="","",IF('Data Entry'!D1152&lt;&gt;"",'Data Entry'!D1152,'Data Entry'!E1152))</f>
        <v/>
      </c>
      <c r="K1152" s="10">
        <f>IF('Data Entry'!A1152="","",IFERROR(SUMIFS($H$5:$H$2001,$J$5:$J$2001,$J1152,$B$5:$B$2001,$B1152,$A$5:$A$2001,(MAXIFS($A$5:$A$2001,$J$5:$J$2001,$J1152,$B$5:$B$2001,$B1152,$A$5:$A$2001,"&lt;"&amp;$A1152))),""))</f>
        <v/>
      </c>
      <c r="L1152" s="14">
        <f>IF(OR('Data Entry'!A1152="",$K1152=""),"",$H1152-$K1152)</f>
        <v/>
      </c>
      <c r="M1152" s="15">
        <f>IF(OR('Data Entry'!A1152="",$K1152="",$K1152=0),"",$L1152/$K1152)</f>
        <v/>
      </c>
      <c r="N1152" s="12">
        <f>IF('Data Entry'!A1152="","",IF($L1152="","New item",IF($L1152&gt;0,"UP",IF($L1152&lt;0,"down","same"))))</f>
        <v/>
      </c>
    </row>
    <row r="1153">
      <c r="A1153" s="11">
        <f>IF('Data Entry'!A1153="","",'Data Entry'!A1153)</f>
        <v/>
      </c>
      <c r="B1153" s="12">
        <f>IF('Data Entry'!A1153="","",'Data Entry'!B1153)</f>
        <v/>
      </c>
      <c r="C1153" s="12">
        <f>IF('Data Entry'!A1153="","",'Data Entry'!C1153)</f>
        <v/>
      </c>
      <c r="D1153" s="12">
        <f>IF('Data Entry'!A1153="","",'Data Entry'!D1153)</f>
        <v/>
      </c>
      <c r="E1153" s="12">
        <f>IF('Data Entry'!A1153="","",'Data Entry'!E1153)</f>
        <v/>
      </c>
      <c r="F1153" s="12">
        <f>IF('Data Entry'!A1153="","",'Data Entry'!F1153)</f>
        <v/>
      </c>
      <c r="G1153" s="13">
        <f>IF('Data Entry'!A1153="","",'Data Entry'!G1153)</f>
        <v/>
      </c>
      <c r="H1153" s="10">
        <f>IF('Data Entry'!A1153="","",'Data Entry'!H1153)</f>
        <v/>
      </c>
      <c r="I1153" s="10">
        <f>IF('Data Entry'!A1153="","",'Data Entry'!I1153)</f>
        <v/>
      </c>
      <c r="J1153" s="12">
        <f>IF('Data Entry'!A1153="","",IF('Data Entry'!D1153&lt;&gt;"",'Data Entry'!D1153,'Data Entry'!E1153))</f>
        <v/>
      </c>
      <c r="K1153" s="10">
        <f>IF('Data Entry'!A1153="","",IFERROR(SUMIFS($H$5:$H$2001,$J$5:$J$2001,$J1153,$B$5:$B$2001,$B1153,$A$5:$A$2001,(MAXIFS($A$5:$A$2001,$J$5:$J$2001,$J1153,$B$5:$B$2001,$B1153,$A$5:$A$2001,"&lt;"&amp;$A1153))),""))</f>
        <v/>
      </c>
      <c r="L1153" s="14">
        <f>IF(OR('Data Entry'!A1153="",$K1153=""),"",$H1153-$K1153)</f>
        <v/>
      </c>
      <c r="M1153" s="15">
        <f>IF(OR('Data Entry'!A1153="",$K1153="",$K1153=0),"",$L1153/$K1153)</f>
        <v/>
      </c>
      <c r="N1153" s="12">
        <f>IF('Data Entry'!A1153="","",IF($L1153="","New item",IF($L1153&gt;0,"UP",IF($L1153&lt;0,"down","same"))))</f>
        <v/>
      </c>
    </row>
    <row r="1154">
      <c r="A1154" s="11">
        <f>IF('Data Entry'!A1154="","",'Data Entry'!A1154)</f>
        <v/>
      </c>
      <c r="B1154" s="12">
        <f>IF('Data Entry'!A1154="","",'Data Entry'!B1154)</f>
        <v/>
      </c>
      <c r="C1154" s="12">
        <f>IF('Data Entry'!A1154="","",'Data Entry'!C1154)</f>
        <v/>
      </c>
      <c r="D1154" s="12">
        <f>IF('Data Entry'!A1154="","",'Data Entry'!D1154)</f>
        <v/>
      </c>
      <c r="E1154" s="12">
        <f>IF('Data Entry'!A1154="","",'Data Entry'!E1154)</f>
        <v/>
      </c>
      <c r="F1154" s="12">
        <f>IF('Data Entry'!A1154="","",'Data Entry'!F1154)</f>
        <v/>
      </c>
      <c r="G1154" s="13">
        <f>IF('Data Entry'!A1154="","",'Data Entry'!G1154)</f>
        <v/>
      </c>
      <c r="H1154" s="10">
        <f>IF('Data Entry'!A1154="","",'Data Entry'!H1154)</f>
        <v/>
      </c>
      <c r="I1154" s="10">
        <f>IF('Data Entry'!A1154="","",'Data Entry'!I1154)</f>
        <v/>
      </c>
      <c r="J1154" s="12">
        <f>IF('Data Entry'!A1154="","",IF('Data Entry'!D1154&lt;&gt;"",'Data Entry'!D1154,'Data Entry'!E1154))</f>
        <v/>
      </c>
      <c r="K1154" s="10">
        <f>IF('Data Entry'!A1154="","",IFERROR(SUMIFS($H$5:$H$2001,$J$5:$J$2001,$J1154,$B$5:$B$2001,$B1154,$A$5:$A$2001,(MAXIFS($A$5:$A$2001,$J$5:$J$2001,$J1154,$B$5:$B$2001,$B1154,$A$5:$A$2001,"&lt;"&amp;$A1154))),""))</f>
        <v/>
      </c>
      <c r="L1154" s="14">
        <f>IF(OR('Data Entry'!A1154="",$K1154=""),"",$H1154-$K1154)</f>
        <v/>
      </c>
      <c r="M1154" s="15">
        <f>IF(OR('Data Entry'!A1154="",$K1154="",$K1154=0),"",$L1154/$K1154)</f>
        <v/>
      </c>
      <c r="N1154" s="12">
        <f>IF('Data Entry'!A1154="","",IF($L1154="","New item",IF($L1154&gt;0,"UP",IF($L1154&lt;0,"down","same"))))</f>
        <v/>
      </c>
    </row>
    <row r="1155">
      <c r="A1155" s="11">
        <f>IF('Data Entry'!A1155="","",'Data Entry'!A1155)</f>
        <v/>
      </c>
      <c r="B1155" s="12">
        <f>IF('Data Entry'!A1155="","",'Data Entry'!B1155)</f>
        <v/>
      </c>
      <c r="C1155" s="12">
        <f>IF('Data Entry'!A1155="","",'Data Entry'!C1155)</f>
        <v/>
      </c>
      <c r="D1155" s="12">
        <f>IF('Data Entry'!A1155="","",'Data Entry'!D1155)</f>
        <v/>
      </c>
      <c r="E1155" s="12">
        <f>IF('Data Entry'!A1155="","",'Data Entry'!E1155)</f>
        <v/>
      </c>
      <c r="F1155" s="12">
        <f>IF('Data Entry'!A1155="","",'Data Entry'!F1155)</f>
        <v/>
      </c>
      <c r="G1155" s="13">
        <f>IF('Data Entry'!A1155="","",'Data Entry'!G1155)</f>
        <v/>
      </c>
      <c r="H1155" s="10">
        <f>IF('Data Entry'!A1155="","",'Data Entry'!H1155)</f>
        <v/>
      </c>
      <c r="I1155" s="10">
        <f>IF('Data Entry'!A1155="","",'Data Entry'!I1155)</f>
        <v/>
      </c>
      <c r="J1155" s="12">
        <f>IF('Data Entry'!A1155="","",IF('Data Entry'!D1155&lt;&gt;"",'Data Entry'!D1155,'Data Entry'!E1155))</f>
        <v/>
      </c>
      <c r="K1155" s="10">
        <f>IF('Data Entry'!A1155="","",IFERROR(SUMIFS($H$5:$H$2001,$J$5:$J$2001,$J1155,$B$5:$B$2001,$B1155,$A$5:$A$2001,(MAXIFS($A$5:$A$2001,$J$5:$J$2001,$J1155,$B$5:$B$2001,$B1155,$A$5:$A$2001,"&lt;"&amp;$A1155))),""))</f>
        <v/>
      </c>
      <c r="L1155" s="14">
        <f>IF(OR('Data Entry'!A1155="",$K1155=""),"",$H1155-$K1155)</f>
        <v/>
      </c>
      <c r="M1155" s="15">
        <f>IF(OR('Data Entry'!A1155="",$K1155="",$K1155=0),"",$L1155/$K1155)</f>
        <v/>
      </c>
      <c r="N1155" s="12">
        <f>IF('Data Entry'!A1155="","",IF($L1155="","New item",IF($L1155&gt;0,"UP",IF($L1155&lt;0,"down","same"))))</f>
        <v/>
      </c>
    </row>
    <row r="1156">
      <c r="A1156" s="11">
        <f>IF('Data Entry'!A1156="","",'Data Entry'!A1156)</f>
        <v/>
      </c>
      <c r="B1156" s="12">
        <f>IF('Data Entry'!A1156="","",'Data Entry'!B1156)</f>
        <v/>
      </c>
      <c r="C1156" s="12">
        <f>IF('Data Entry'!A1156="","",'Data Entry'!C1156)</f>
        <v/>
      </c>
      <c r="D1156" s="12">
        <f>IF('Data Entry'!A1156="","",'Data Entry'!D1156)</f>
        <v/>
      </c>
      <c r="E1156" s="12">
        <f>IF('Data Entry'!A1156="","",'Data Entry'!E1156)</f>
        <v/>
      </c>
      <c r="F1156" s="12">
        <f>IF('Data Entry'!A1156="","",'Data Entry'!F1156)</f>
        <v/>
      </c>
      <c r="G1156" s="13">
        <f>IF('Data Entry'!A1156="","",'Data Entry'!G1156)</f>
        <v/>
      </c>
      <c r="H1156" s="10">
        <f>IF('Data Entry'!A1156="","",'Data Entry'!H1156)</f>
        <v/>
      </c>
      <c r="I1156" s="10">
        <f>IF('Data Entry'!A1156="","",'Data Entry'!I1156)</f>
        <v/>
      </c>
      <c r="J1156" s="12">
        <f>IF('Data Entry'!A1156="","",IF('Data Entry'!D1156&lt;&gt;"",'Data Entry'!D1156,'Data Entry'!E1156))</f>
        <v/>
      </c>
      <c r="K1156" s="10">
        <f>IF('Data Entry'!A1156="","",IFERROR(SUMIFS($H$5:$H$2001,$J$5:$J$2001,$J1156,$B$5:$B$2001,$B1156,$A$5:$A$2001,(MAXIFS($A$5:$A$2001,$J$5:$J$2001,$J1156,$B$5:$B$2001,$B1156,$A$5:$A$2001,"&lt;"&amp;$A1156))),""))</f>
        <v/>
      </c>
      <c r="L1156" s="14">
        <f>IF(OR('Data Entry'!A1156="",$K1156=""),"",$H1156-$K1156)</f>
        <v/>
      </c>
      <c r="M1156" s="15">
        <f>IF(OR('Data Entry'!A1156="",$K1156="",$K1156=0),"",$L1156/$K1156)</f>
        <v/>
      </c>
      <c r="N1156" s="12">
        <f>IF('Data Entry'!A1156="","",IF($L1156="","New item",IF($L1156&gt;0,"UP",IF($L1156&lt;0,"down","same"))))</f>
        <v/>
      </c>
    </row>
    <row r="1157">
      <c r="A1157" s="11">
        <f>IF('Data Entry'!A1157="","",'Data Entry'!A1157)</f>
        <v/>
      </c>
      <c r="B1157" s="12">
        <f>IF('Data Entry'!A1157="","",'Data Entry'!B1157)</f>
        <v/>
      </c>
      <c r="C1157" s="12">
        <f>IF('Data Entry'!A1157="","",'Data Entry'!C1157)</f>
        <v/>
      </c>
      <c r="D1157" s="12">
        <f>IF('Data Entry'!A1157="","",'Data Entry'!D1157)</f>
        <v/>
      </c>
      <c r="E1157" s="12">
        <f>IF('Data Entry'!A1157="","",'Data Entry'!E1157)</f>
        <v/>
      </c>
      <c r="F1157" s="12">
        <f>IF('Data Entry'!A1157="","",'Data Entry'!F1157)</f>
        <v/>
      </c>
      <c r="G1157" s="13">
        <f>IF('Data Entry'!A1157="","",'Data Entry'!G1157)</f>
        <v/>
      </c>
      <c r="H1157" s="10">
        <f>IF('Data Entry'!A1157="","",'Data Entry'!H1157)</f>
        <v/>
      </c>
      <c r="I1157" s="10">
        <f>IF('Data Entry'!A1157="","",'Data Entry'!I1157)</f>
        <v/>
      </c>
      <c r="J1157" s="12">
        <f>IF('Data Entry'!A1157="","",IF('Data Entry'!D1157&lt;&gt;"",'Data Entry'!D1157,'Data Entry'!E1157))</f>
        <v/>
      </c>
      <c r="K1157" s="10">
        <f>IF('Data Entry'!A1157="","",IFERROR(SUMIFS($H$5:$H$2001,$J$5:$J$2001,$J1157,$B$5:$B$2001,$B1157,$A$5:$A$2001,(MAXIFS($A$5:$A$2001,$J$5:$J$2001,$J1157,$B$5:$B$2001,$B1157,$A$5:$A$2001,"&lt;"&amp;$A1157))),""))</f>
        <v/>
      </c>
      <c r="L1157" s="14">
        <f>IF(OR('Data Entry'!A1157="",$K1157=""),"",$H1157-$K1157)</f>
        <v/>
      </c>
      <c r="M1157" s="15">
        <f>IF(OR('Data Entry'!A1157="",$K1157="",$K1157=0),"",$L1157/$K1157)</f>
        <v/>
      </c>
      <c r="N1157" s="12">
        <f>IF('Data Entry'!A1157="","",IF($L1157="","New item",IF($L1157&gt;0,"UP",IF($L1157&lt;0,"down","same"))))</f>
        <v/>
      </c>
    </row>
    <row r="1158">
      <c r="A1158" s="11">
        <f>IF('Data Entry'!A1158="","",'Data Entry'!A1158)</f>
        <v/>
      </c>
      <c r="B1158" s="12">
        <f>IF('Data Entry'!A1158="","",'Data Entry'!B1158)</f>
        <v/>
      </c>
      <c r="C1158" s="12">
        <f>IF('Data Entry'!A1158="","",'Data Entry'!C1158)</f>
        <v/>
      </c>
      <c r="D1158" s="12">
        <f>IF('Data Entry'!A1158="","",'Data Entry'!D1158)</f>
        <v/>
      </c>
      <c r="E1158" s="12">
        <f>IF('Data Entry'!A1158="","",'Data Entry'!E1158)</f>
        <v/>
      </c>
      <c r="F1158" s="12">
        <f>IF('Data Entry'!A1158="","",'Data Entry'!F1158)</f>
        <v/>
      </c>
      <c r="G1158" s="13">
        <f>IF('Data Entry'!A1158="","",'Data Entry'!G1158)</f>
        <v/>
      </c>
      <c r="H1158" s="10">
        <f>IF('Data Entry'!A1158="","",'Data Entry'!H1158)</f>
        <v/>
      </c>
      <c r="I1158" s="10">
        <f>IF('Data Entry'!A1158="","",'Data Entry'!I1158)</f>
        <v/>
      </c>
      <c r="J1158" s="12">
        <f>IF('Data Entry'!A1158="","",IF('Data Entry'!D1158&lt;&gt;"",'Data Entry'!D1158,'Data Entry'!E1158))</f>
        <v/>
      </c>
      <c r="K1158" s="10">
        <f>IF('Data Entry'!A1158="","",IFERROR(SUMIFS($H$5:$H$2001,$J$5:$J$2001,$J1158,$B$5:$B$2001,$B1158,$A$5:$A$2001,(MAXIFS($A$5:$A$2001,$J$5:$J$2001,$J1158,$B$5:$B$2001,$B1158,$A$5:$A$2001,"&lt;"&amp;$A1158))),""))</f>
        <v/>
      </c>
      <c r="L1158" s="14">
        <f>IF(OR('Data Entry'!A1158="",$K1158=""),"",$H1158-$K1158)</f>
        <v/>
      </c>
      <c r="M1158" s="15">
        <f>IF(OR('Data Entry'!A1158="",$K1158="",$K1158=0),"",$L1158/$K1158)</f>
        <v/>
      </c>
      <c r="N1158" s="12">
        <f>IF('Data Entry'!A1158="","",IF($L1158="","New item",IF($L1158&gt;0,"UP",IF($L1158&lt;0,"down","same"))))</f>
        <v/>
      </c>
    </row>
    <row r="1159">
      <c r="A1159" s="11">
        <f>IF('Data Entry'!A1159="","",'Data Entry'!A1159)</f>
        <v/>
      </c>
      <c r="B1159" s="12">
        <f>IF('Data Entry'!A1159="","",'Data Entry'!B1159)</f>
        <v/>
      </c>
      <c r="C1159" s="12">
        <f>IF('Data Entry'!A1159="","",'Data Entry'!C1159)</f>
        <v/>
      </c>
      <c r="D1159" s="12">
        <f>IF('Data Entry'!A1159="","",'Data Entry'!D1159)</f>
        <v/>
      </c>
      <c r="E1159" s="12">
        <f>IF('Data Entry'!A1159="","",'Data Entry'!E1159)</f>
        <v/>
      </c>
      <c r="F1159" s="12">
        <f>IF('Data Entry'!A1159="","",'Data Entry'!F1159)</f>
        <v/>
      </c>
      <c r="G1159" s="13">
        <f>IF('Data Entry'!A1159="","",'Data Entry'!G1159)</f>
        <v/>
      </c>
      <c r="H1159" s="10">
        <f>IF('Data Entry'!A1159="","",'Data Entry'!H1159)</f>
        <v/>
      </c>
      <c r="I1159" s="10">
        <f>IF('Data Entry'!A1159="","",'Data Entry'!I1159)</f>
        <v/>
      </c>
      <c r="J1159" s="12">
        <f>IF('Data Entry'!A1159="","",IF('Data Entry'!D1159&lt;&gt;"",'Data Entry'!D1159,'Data Entry'!E1159))</f>
        <v/>
      </c>
      <c r="K1159" s="10">
        <f>IF('Data Entry'!A1159="","",IFERROR(SUMIFS($H$5:$H$2001,$J$5:$J$2001,$J1159,$B$5:$B$2001,$B1159,$A$5:$A$2001,(MAXIFS($A$5:$A$2001,$J$5:$J$2001,$J1159,$B$5:$B$2001,$B1159,$A$5:$A$2001,"&lt;"&amp;$A1159))),""))</f>
        <v/>
      </c>
      <c r="L1159" s="14">
        <f>IF(OR('Data Entry'!A1159="",$K1159=""),"",$H1159-$K1159)</f>
        <v/>
      </c>
      <c r="M1159" s="15">
        <f>IF(OR('Data Entry'!A1159="",$K1159="",$K1159=0),"",$L1159/$K1159)</f>
        <v/>
      </c>
      <c r="N1159" s="12">
        <f>IF('Data Entry'!A1159="","",IF($L1159="","New item",IF($L1159&gt;0,"UP",IF($L1159&lt;0,"down","same"))))</f>
        <v/>
      </c>
    </row>
    <row r="1160">
      <c r="A1160" s="11">
        <f>IF('Data Entry'!A1160="","",'Data Entry'!A1160)</f>
        <v/>
      </c>
      <c r="B1160" s="12">
        <f>IF('Data Entry'!A1160="","",'Data Entry'!B1160)</f>
        <v/>
      </c>
      <c r="C1160" s="12">
        <f>IF('Data Entry'!A1160="","",'Data Entry'!C1160)</f>
        <v/>
      </c>
      <c r="D1160" s="12">
        <f>IF('Data Entry'!A1160="","",'Data Entry'!D1160)</f>
        <v/>
      </c>
      <c r="E1160" s="12">
        <f>IF('Data Entry'!A1160="","",'Data Entry'!E1160)</f>
        <v/>
      </c>
      <c r="F1160" s="12">
        <f>IF('Data Entry'!A1160="","",'Data Entry'!F1160)</f>
        <v/>
      </c>
      <c r="G1160" s="13">
        <f>IF('Data Entry'!A1160="","",'Data Entry'!G1160)</f>
        <v/>
      </c>
      <c r="H1160" s="10">
        <f>IF('Data Entry'!A1160="","",'Data Entry'!H1160)</f>
        <v/>
      </c>
      <c r="I1160" s="10">
        <f>IF('Data Entry'!A1160="","",'Data Entry'!I1160)</f>
        <v/>
      </c>
      <c r="J1160" s="12">
        <f>IF('Data Entry'!A1160="","",IF('Data Entry'!D1160&lt;&gt;"",'Data Entry'!D1160,'Data Entry'!E1160))</f>
        <v/>
      </c>
      <c r="K1160" s="10">
        <f>IF('Data Entry'!A1160="","",IFERROR(SUMIFS($H$5:$H$2001,$J$5:$J$2001,$J1160,$B$5:$B$2001,$B1160,$A$5:$A$2001,(MAXIFS($A$5:$A$2001,$J$5:$J$2001,$J1160,$B$5:$B$2001,$B1160,$A$5:$A$2001,"&lt;"&amp;$A1160))),""))</f>
        <v/>
      </c>
      <c r="L1160" s="14">
        <f>IF(OR('Data Entry'!A1160="",$K1160=""),"",$H1160-$K1160)</f>
        <v/>
      </c>
      <c r="M1160" s="15">
        <f>IF(OR('Data Entry'!A1160="",$K1160="",$K1160=0),"",$L1160/$K1160)</f>
        <v/>
      </c>
      <c r="N1160" s="12">
        <f>IF('Data Entry'!A1160="","",IF($L1160="","New item",IF($L1160&gt;0,"UP",IF($L1160&lt;0,"down","same"))))</f>
        <v/>
      </c>
    </row>
    <row r="1161">
      <c r="A1161" s="11">
        <f>IF('Data Entry'!A1161="","",'Data Entry'!A1161)</f>
        <v/>
      </c>
      <c r="B1161" s="12">
        <f>IF('Data Entry'!A1161="","",'Data Entry'!B1161)</f>
        <v/>
      </c>
      <c r="C1161" s="12">
        <f>IF('Data Entry'!A1161="","",'Data Entry'!C1161)</f>
        <v/>
      </c>
      <c r="D1161" s="12">
        <f>IF('Data Entry'!A1161="","",'Data Entry'!D1161)</f>
        <v/>
      </c>
      <c r="E1161" s="12">
        <f>IF('Data Entry'!A1161="","",'Data Entry'!E1161)</f>
        <v/>
      </c>
      <c r="F1161" s="12">
        <f>IF('Data Entry'!A1161="","",'Data Entry'!F1161)</f>
        <v/>
      </c>
      <c r="G1161" s="13">
        <f>IF('Data Entry'!A1161="","",'Data Entry'!G1161)</f>
        <v/>
      </c>
      <c r="H1161" s="10">
        <f>IF('Data Entry'!A1161="","",'Data Entry'!H1161)</f>
        <v/>
      </c>
      <c r="I1161" s="10">
        <f>IF('Data Entry'!A1161="","",'Data Entry'!I1161)</f>
        <v/>
      </c>
      <c r="J1161" s="12">
        <f>IF('Data Entry'!A1161="","",IF('Data Entry'!D1161&lt;&gt;"",'Data Entry'!D1161,'Data Entry'!E1161))</f>
        <v/>
      </c>
      <c r="K1161" s="10">
        <f>IF('Data Entry'!A1161="","",IFERROR(SUMIFS($H$5:$H$2001,$J$5:$J$2001,$J1161,$B$5:$B$2001,$B1161,$A$5:$A$2001,(MAXIFS($A$5:$A$2001,$J$5:$J$2001,$J1161,$B$5:$B$2001,$B1161,$A$5:$A$2001,"&lt;"&amp;$A1161))),""))</f>
        <v/>
      </c>
      <c r="L1161" s="14">
        <f>IF(OR('Data Entry'!A1161="",$K1161=""),"",$H1161-$K1161)</f>
        <v/>
      </c>
      <c r="M1161" s="15">
        <f>IF(OR('Data Entry'!A1161="",$K1161="",$K1161=0),"",$L1161/$K1161)</f>
        <v/>
      </c>
      <c r="N1161" s="12">
        <f>IF('Data Entry'!A1161="","",IF($L1161="","New item",IF($L1161&gt;0,"UP",IF($L1161&lt;0,"down","same"))))</f>
        <v/>
      </c>
    </row>
    <row r="1162">
      <c r="A1162" s="11">
        <f>IF('Data Entry'!A1162="","",'Data Entry'!A1162)</f>
        <v/>
      </c>
      <c r="B1162" s="12">
        <f>IF('Data Entry'!A1162="","",'Data Entry'!B1162)</f>
        <v/>
      </c>
      <c r="C1162" s="12">
        <f>IF('Data Entry'!A1162="","",'Data Entry'!C1162)</f>
        <v/>
      </c>
      <c r="D1162" s="12">
        <f>IF('Data Entry'!A1162="","",'Data Entry'!D1162)</f>
        <v/>
      </c>
      <c r="E1162" s="12">
        <f>IF('Data Entry'!A1162="","",'Data Entry'!E1162)</f>
        <v/>
      </c>
      <c r="F1162" s="12">
        <f>IF('Data Entry'!A1162="","",'Data Entry'!F1162)</f>
        <v/>
      </c>
      <c r="G1162" s="13">
        <f>IF('Data Entry'!A1162="","",'Data Entry'!G1162)</f>
        <v/>
      </c>
      <c r="H1162" s="10">
        <f>IF('Data Entry'!A1162="","",'Data Entry'!H1162)</f>
        <v/>
      </c>
      <c r="I1162" s="10">
        <f>IF('Data Entry'!A1162="","",'Data Entry'!I1162)</f>
        <v/>
      </c>
      <c r="J1162" s="12">
        <f>IF('Data Entry'!A1162="","",IF('Data Entry'!D1162&lt;&gt;"",'Data Entry'!D1162,'Data Entry'!E1162))</f>
        <v/>
      </c>
      <c r="K1162" s="10">
        <f>IF('Data Entry'!A1162="","",IFERROR(SUMIFS($H$5:$H$2001,$J$5:$J$2001,$J1162,$B$5:$B$2001,$B1162,$A$5:$A$2001,(MAXIFS($A$5:$A$2001,$J$5:$J$2001,$J1162,$B$5:$B$2001,$B1162,$A$5:$A$2001,"&lt;"&amp;$A1162))),""))</f>
        <v/>
      </c>
      <c r="L1162" s="14">
        <f>IF(OR('Data Entry'!A1162="",$K1162=""),"",$H1162-$K1162)</f>
        <v/>
      </c>
      <c r="M1162" s="15">
        <f>IF(OR('Data Entry'!A1162="",$K1162="",$K1162=0),"",$L1162/$K1162)</f>
        <v/>
      </c>
      <c r="N1162" s="12">
        <f>IF('Data Entry'!A1162="","",IF($L1162="","New item",IF($L1162&gt;0,"UP",IF($L1162&lt;0,"down","same"))))</f>
        <v/>
      </c>
    </row>
    <row r="1163">
      <c r="A1163" s="11">
        <f>IF('Data Entry'!A1163="","",'Data Entry'!A1163)</f>
        <v/>
      </c>
      <c r="B1163" s="12">
        <f>IF('Data Entry'!A1163="","",'Data Entry'!B1163)</f>
        <v/>
      </c>
      <c r="C1163" s="12">
        <f>IF('Data Entry'!A1163="","",'Data Entry'!C1163)</f>
        <v/>
      </c>
      <c r="D1163" s="12">
        <f>IF('Data Entry'!A1163="","",'Data Entry'!D1163)</f>
        <v/>
      </c>
      <c r="E1163" s="12">
        <f>IF('Data Entry'!A1163="","",'Data Entry'!E1163)</f>
        <v/>
      </c>
      <c r="F1163" s="12">
        <f>IF('Data Entry'!A1163="","",'Data Entry'!F1163)</f>
        <v/>
      </c>
      <c r="G1163" s="13">
        <f>IF('Data Entry'!A1163="","",'Data Entry'!G1163)</f>
        <v/>
      </c>
      <c r="H1163" s="10">
        <f>IF('Data Entry'!A1163="","",'Data Entry'!H1163)</f>
        <v/>
      </c>
      <c r="I1163" s="10">
        <f>IF('Data Entry'!A1163="","",'Data Entry'!I1163)</f>
        <v/>
      </c>
      <c r="J1163" s="12">
        <f>IF('Data Entry'!A1163="","",IF('Data Entry'!D1163&lt;&gt;"",'Data Entry'!D1163,'Data Entry'!E1163))</f>
        <v/>
      </c>
      <c r="K1163" s="10">
        <f>IF('Data Entry'!A1163="","",IFERROR(SUMIFS($H$5:$H$2001,$J$5:$J$2001,$J1163,$B$5:$B$2001,$B1163,$A$5:$A$2001,(MAXIFS($A$5:$A$2001,$J$5:$J$2001,$J1163,$B$5:$B$2001,$B1163,$A$5:$A$2001,"&lt;"&amp;$A1163))),""))</f>
        <v/>
      </c>
      <c r="L1163" s="14">
        <f>IF(OR('Data Entry'!A1163="",$K1163=""),"",$H1163-$K1163)</f>
        <v/>
      </c>
      <c r="M1163" s="15">
        <f>IF(OR('Data Entry'!A1163="",$K1163="",$K1163=0),"",$L1163/$K1163)</f>
        <v/>
      </c>
      <c r="N1163" s="12">
        <f>IF('Data Entry'!A1163="","",IF($L1163="","New item",IF($L1163&gt;0,"UP",IF($L1163&lt;0,"down","same"))))</f>
        <v/>
      </c>
    </row>
    <row r="1164">
      <c r="A1164" s="11">
        <f>IF('Data Entry'!A1164="","",'Data Entry'!A1164)</f>
        <v/>
      </c>
      <c r="B1164" s="12">
        <f>IF('Data Entry'!A1164="","",'Data Entry'!B1164)</f>
        <v/>
      </c>
      <c r="C1164" s="12">
        <f>IF('Data Entry'!A1164="","",'Data Entry'!C1164)</f>
        <v/>
      </c>
      <c r="D1164" s="12">
        <f>IF('Data Entry'!A1164="","",'Data Entry'!D1164)</f>
        <v/>
      </c>
      <c r="E1164" s="12">
        <f>IF('Data Entry'!A1164="","",'Data Entry'!E1164)</f>
        <v/>
      </c>
      <c r="F1164" s="12">
        <f>IF('Data Entry'!A1164="","",'Data Entry'!F1164)</f>
        <v/>
      </c>
      <c r="G1164" s="13">
        <f>IF('Data Entry'!A1164="","",'Data Entry'!G1164)</f>
        <v/>
      </c>
      <c r="H1164" s="10">
        <f>IF('Data Entry'!A1164="","",'Data Entry'!H1164)</f>
        <v/>
      </c>
      <c r="I1164" s="10">
        <f>IF('Data Entry'!A1164="","",'Data Entry'!I1164)</f>
        <v/>
      </c>
      <c r="J1164" s="12">
        <f>IF('Data Entry'!A1164="","",IF('Data Entry'!D1164&lt;&gt;"",'Data Entry'!D1164,'Data Entry'!E1164))</f>
        <v/>
      </c>
      <c r="K1164" s="10">
        <f>IF('Data Entry'!A1164="","",IFERROR(SUMIFS($H$5:$H$2001,$J$5:$J$2001,$J1164,$B$5:$B$2001,$B1164,$A$5:$A$2001,(MAXIFS($A$5:$A$2001,$J$5:$J$2001,$J1164,$B$5:$B$2001,$B1164,$A$5:$A$2001,"&lt;"&amp;$A1164))),""))</f>
        <v/>
      </c>
      <c r="L1164" s="14">
        <f>IF(OR('Data Entry'!A1164="",$K1164=""),"",$H1164-$K1164)</f>
        <v/>
      </c>
      <c r="M1164" s="15">
        <f>IF(OR('Data Entry'!A1164="",$K1164="",$K1164=0),"",$L1164/$K1164)</f>
        <v/>
      </c>
      <c r="N1164" s="12">
        <f>IF('Data Entry'!A1164="","",IF($L1164="","New item",IF($L1164&gt;0,"UP",IF($L1164&lt;0,"down","same"))))</f>
        <v/>
      </c>
    </row>
    <row r="1165">
      <c r="A1165" s="11">
        <f>IF('Data Entry'!A1165="","",'Data Entry'!A1165)</f>
        <v/>
      </c>
      <c r="B1165" s="12">
        <f>IF('Data Entry'!A1165="","",'Data Entry'!B1165)</f>
        <v/>
      </c>
      <c r="C1165" s="12">
        <f>IF('Data Entry'!A1165="","",'Data Entry'!C1165)</f>
        <v/>
      </c>
      <c r="D1165" s="12">
        <f>IF('Data Entry'!A1165="","",'Data Entry'!D1165)</f>
        <v/>
      </c>
      <c r="E1165" s="12">
        <f>IF('Data Entry'!A1165="","",'Data Entry'!E1165)</f>
        <v/>
      </c>
      <c r="F1165" s="12">
        <f>IF('Data Entry'!A1165="","",'Data Entry'!F1165)</f>
        <v/>
      </c>
      <c r="G1165" s="13">
        <f>IF('Data Entry'!A1165="","",'Data Entry'!G1165)</f>
        <v/>
      </c>
      <c r="H1165" s="10">
        <f>IF('Data Entry'!A1165="","",'Data Entry'!H1165)</f>
        <v/>
      </c>
      <c r="I1165" s="10">
        <f>IF('Data Entry'!A1165="","",'Data Entry'!I1165)</f>
        <v/>
      </c>
      <c r="J1165" s="12">
        <f>IF('Data Entry'!A1165="","",IF('Data Entry'!D1165&lt;&gt;"",'Data Entry'!D1165,'Data Entry'!E1165))</f>
        <v/>
      </c>
      <c r="K1165" s="10">
        <f>IF('Data Entry'!A1165="","",IFERROR(SUMIFS($H$5:$H$2001,$J$5:$J$2001,$J1165,$B$5:$B$2001,$B1165,$A$5:$A$2001,(MAXIFS($A$5:$A$2001,$J$5:$J$2001,$J1165,$B$5:$B$2001,$B1165,$A$5:$A$2001,"&lt;"&amp;$A1165))),""))</f>
        <v/>
      </c>
      <c r="L1165" s="14">
        <f>IF(OR('Data Entry'!A1165="",$K1165=""),"",$H1165-$K1165)</f>
        <v/>
      </c>
      <c r="M1165" s="15">
        <f>IF(OR('Data Entry'!A1165="",$K1165="",$K1165=0),"",$L1165/$K1165)</f>
        <v/>
      </c>
      <c r="N1165" s="12">
        <f>IF('Data Entry'!A1165="","",IF($L1165="","New item",IF($L1165&gt;0,"UP",IF($L1165&lt;0,"down","same"))))</f>
        <v/>
      </c>
    </row>
    <row r="1166">
      <c r="A1166" s="11">
        <f>IF('Data Entry'!A1166="","",'Data Entry'!A1166)</f>
        <v/>
      </c>
      <c r="B1166" s="12">
        <f>IF('Data Entry'!A1166="","",'Data Entry'!B1166)</f>
        <v/>
      </c>
      <c r="C1166" s="12">
        <f>IF('Data Entry'!A1166="","",'Data Entry'!C1166)</f>
        <v/>
      </c>
      <c r="D1166" s="12">
        <f>IF('Data Entry'!A1166="","",'Data Entry'!D1166)</f>
        <v/>
      </c>
      <c r="E1166" s="12">
        <f>IF('Data Entry'!A1166="","",'Data Entry'!E1166)</f>
        <v/>
      </c>
      <c r="F1166" s="12">
        <f>IF('Data Entry'!A1166="","",'Data Entry'!F1166)</f>
        <v/>
      </c>
      <c r="G1166" s="13">
        <f>IF('Data Entry'!A1166="","",'Data Entry'!G1166)</f>
        <v/>
      </c>
      <c r="H1166" s="10">
        <f>IF('Data Entry'!A1166="","",'Data Entry'!H1166)</f>
        <v/>
      </c>
      <c r="I1166" s="10">
        <f>IF('Data Entry'!A1166="","",'Data Entry'!I1166)</f>
        <v/>
      </c>
      <c r="J1166" s="12">
        <f>IF('Data Entry'!A1166="","",IF('Data Entry'!D1166&lt;&gt;"",'Data Entry'!D1166,'Data Entry'!E1166))</f>
        <v/>
      </c>
      <c r="K1166" s="10">
        <f>IF('Data Entry'!A1166="","",IFERROR(SUMIFS($H$5:$H$2001,$J$5:$J$2001,$J1166,$B$5:$B$2001,$B1166,$A$5:$A$2001,(MAXIFS($A$5:$A$2001,$J$5:$J$2001,$J1166,$B$5:$B$2001,$B1166,$A$5:$A$2001,"&lt;"&amp;$A1166))),""))</f>
        <v/>
      </c>
      <c r="L1166" s="14">
        <f>IF(OR('Data Entry'!A1166="",$K1166=""),"",$H1166-$K1166)</f>
        <v/>
      </c>
      <c r="M1166" s="15">
        <f>IF(OR('Data Entry'!A1166="",$K1166="",$K1166=0),"",$L1166/$K1166)</f>
        <v/>
      </c>
      <c r="N1166" s="12">
        <f>IF('Data Entry'!A1166="","",IF($L1166="","New item",IF($L1166&gt;0,"UP",IF($L1166&lt;0,"down","same"))))</f>
        <v/>
      </c>
    </row>
    <row r="1167">
      <c r="A1167" s="11">
        <f>IF('Data Entry'!A1167="","",'Data Entry'!A1167)</f>
        <v/>
      </c>
      <c r="B1167" s="12">
        <f>IF('Data Entry'!A1167="","",'Data Entry'!B1167)</f>
        <v/>
      </c>
      <c r="C1167" s="12">
        <f>IF('Data Entry'!A1167="","",'Data Entry'!C1167)</f>
        <v/>
      </c>
      <c r="D1167" s="12">
        <f>IF('Data Entry'!A1167="","",'Data Entry'!D1167)</f>
        <v/>
      </c>
      <c r="E1167" s="12">
        <f>IF('Data Entry'!A1167="","",'Data Entry'!E1167)</f>
        <v/>
      </c>
      <c r="F1167" s="12">
        <f>IF('Data Entry'!A1167="","",'Data Entry'!F1167)</f>
        <v/>
      </c>
      <c r="G1167" s="13">
        <f>IF('Data Entry'!A1167="","",'Data Entry'!G1167)</f>
        <v/>
      </c>
      <c r="H1167" s="10">
        <f>IF('Data Entry'!A1167="","",'Data Entry'!H1167)</f>
        <v/>
      </c>
      <c r="I1167" s="10">
        <f>IF('Data Entry'!A1167="","",'Data Entry'!I1167)</f>
        <v/>
      </c>
      <c r="J1167" s="12">
        <f>IF('Data Entry'!A1167="","",IF('Data Entry'!D1167&lt;&gt;"",'Data Entry'!D1167,'Data Entry'!E1167))</f>
        <v/>
      </c>
      <c r="K1167" s="10">
        <f>IF('Data Entry'!A1167="","",IFERROR(SUMIFS($H$5:$H$2001,$J$5:$J$2001,$J1167,$B$5:$B$2001,$B1167,$A$5:$A$2001,(MAXIFS($A$5:$A$2001,$J$5:$J$2001,$J1167,$B$5:$B$2001,$B1167,$A$5:$A$2001,"&lt;"&amp;$A1167))),""))</f>
        <v/>
      </c>
      <c r="L1167" s="14">
        <f>IF(OR('Data Entry'!A1167="",$K1167=""),"",$H1167-$K1167)</f>
        <v/>
      </c>
      <c r="M1167" s="15">
        <f>IF(OR('Data Entry'!A1167="",$K1167="",$K1167=0),"",$L1167/$K1167)</f>
        <v/>
      </c>
      <c r="N1167" s="12">
        <f>IF('Data Entry'!A1167="","",IF($L1167="","New item",IF($L1167&gt;0,"UP",IF($L1167&lt;0,"down","same"))))</f>
        <v/>
      </c>
    </row>
    <row r="1168">
      <c r="A1168" s="11">
        <f>IF('Data Entry'!A1168="","",'Data Entry'!A1168)</f>
        <v/>
      </c>
      <c r="B1168" s="12">
        <f>IF('Data Entry'!A1168="","",'Data Entry'!B1168)</f>
        <v/>
      </c>
      <c r="C1168" s="12">
        <f>IF('Data Entry'!A1168="","",'Data Entry'!C1168)</f>
        <v/>
      </c>
      <c r="D1168" s="12">
        <f>IF('Data Entry'!A1168="","",'Data Entry'!D1168)</f>
        <v/>
      </c>
      <c r="E1168" s="12">
        <f>IF('Data Entry'!A1168="","",'Data Entry'!E1168)</f>
        <v/>
      </c>
      <c r="F1168" s="12">
        <f>IF('Data Entry'!A1168="","",'Data Entry'!F1168)</f>
        <v/>
      </c>
      <c r="G1168" s="13">
        <f>IF('Data Entry'!A1168="","",'Data Entry'!G1168)</f>
        <v/>
      </c>
      <c r="H1168" s="10">
        <f>IF('Data Entry'!A1168="","",'Data Entry'!H1168)</f>
        <v/>
      </c>
      <c r="I1168" s="10">
        <f>IF('Data Entry'!A1168="","",'Data Entry'!I1168)</f>
        <v/>
      </c>
      <c r="J1168" s="12">
        <f>IF('Data Entry'!A1168="","",IF('Data Entry'!D1168&lt;&gt;"",'Data Entry'!D1168,'Data Entry'!E1168))</f>
        <v/>
      </c>
      <c r="K1168" s="10">
        <f>IF('Data Entry'!A1168="","",IFERROR(SUMIFS($H$5:$H$2001,$J$5:$J$2001,$J1168,$B$5:$B$2001,$B1168,$A$5:$A$2001,(MAXIFS($A$5:$A$2001,$J$5:$J$2001,$J1168,$B$5:$B$2001,$B1168,$A$5:$A$2001,"&lt;"&amp;$A1168))),""))</f>
        <v/>
      </c>
      <c r="L1168" s="14">
        <f>IF(OR('Data Entry'!A1168="",$K1168=""),"",$H1168-$K1168)</f>
        <v/>
      </c>
      <c r="M1168" s="15">
        <f>IF(OR('Data Entry'!A1168="",$K1168="",$K1168=0),"",$L1168/$K1168)</f>
        <v/>
      </c>
      <c r="N1168" s="12">
        <f>IF('Data Entry'!A1168="","",IF($L1168="","New item",IF($L1168&gt;0,"UP",IF($L1168&lt;0,"down","same"))))</f>
        <v/>
      </c>
    </row>
    <row r="1169">
      <c r="A1169" s="11">
        <f>IF('Data Entry'!A1169="","",'Data Entry'!A1169)</f>
        <v/>
      </c>
      <c r="B1169" s="12">
        <f>IF('Data Entry'!A1169="","",'Data Entry'!B1169)</f>
        <v/>
      </c>
      <c r="C1169" s="12">
        <f>IF('Data Entry'!A1169="","",'Data Entry'!C1169)</f>
        <v/>
      </c>
      <c r="D1169" s="12">
        <f>IF('Data Entry'!A1169="","",'Data Entry'!D1169)</f>
        <v/>
      </c>
      <c r="E1169" s="12">
        <f>IF('Data Entry'!A1169="","",'Data Entry'!E1169)</f>
        <v/>
      </c>
      <c r="F1169" s="12">
        <f>IF('Data Entry'!A1169="","",'Data Entry'!F1169)</f>
        <v/>
      </c>
      <c r="G1169" s="13">
        <f>IF('Data Entry'!A1169="","",'Data Entry'!G1169)</f>
        <v/>
      </c>
      <c r="H1169" s="10">
        <f>IF('Data Entry'!A1169="","",'Data Entry'!H1169)</f>
        <v/>
      </c>
      <c r="I1169" s="10">
        <f>IF('Data Entry'!A1169="","",'Data Entry'!I1169)</f>
        <v/>
      </c>
      <c r="J1169" s="12">
        <f>IF('Data Entry'!A1169="","",IF('Data Entry'!D1169&lt;&gt;"",'Data Entry'!D1169,'Data Entry'!E1169))</f>
        <v/>
      </c>
      <c r="K1169" s="10">
        <f>IF('Data Entry'!A1169="","",IFERROR(SUMIFS($H$5:$H$2001,$J$5:$J$2001,$J1169,$B$5:$B$2001,$B1169,$A$5:$A$2001,(MAXIFS($A$5:$A$2001,$J$5:$J$2001,$J1169,$B$5:$B$2001,$B1169,$A$5:$A$2001,"&lt;"&amp;$A1169))),""))</f>
        <v/>
      </c>
      <c r="L1169" s="14">
        <f>IF(OR('Data Entry'!A1169="",$K1169=""),"",$H1169-$K1169)</f>
        <v/>
      </c>
      <c r="M1169" s="15">
        <f>IF(OR('Data Entry'!A1169="",$K1169="",$K1169=0),"",$L1169/$K1169)</f>
        <v/>
      </c>
      <c r="N1169" s="12">
        <f>IF('Data Entry'!A1169="","",IF($L1169="","New item",IF($L1169&gt;0,"UP",IF($L1169&lt;0,"down","same"))))</f>
        <v/>
      </c>
    </row>
    <row r="1170">
      <c r="A1170" s="11">
        <f>IF('Data Entry'!A1170="","",'Data Entry'!A1170)</f>
        <v/>
      </c>
      <c r="B1170" s="12">
        <f>IF('Data Entry'!A1170="","",'Data Entry'!B1170)</f>
        <v/>
      </c>
      <c r="C1170" s="12">
        <f>IF('Data Entry'!A1170="","",'Data Entry'!C1170)</f>
        <v/>
      </c>
      <c r="D1170" s="12">
        <f>IF('Data Entry'!A1170="","",'Data Entry'!D1170)</f>
        <v/>
      </c>
      <c r="E1170" s="12">
        <f>IF('Data Entry'!A1170="","",'Data Entry'!E1170)</f>
        <v/>
      </c>
      <c r="F1170" s="12">
        <f>IF('Data Entry'!A1170="","",'Data Entry'!F1170)</f>
        <v/>
      </c>
      <c r="G1170" s="13">
        <f>IF('Data Entry'!A1170="","",'Data Entry'!G1170)</f>
        <v/>
      </c>
      <c r="H1170" s="10">
        <f>IF('Data Entry'!A1170="","",'Data Entry'!H1170)</f>
        <v/>
      </c>
      <c r="I1170" s="10">
        <f>IF('Data Entry'!A1170="","",'Data Entry'!I1170)</f>
        <v/>
      </c>
      <c r="J1170" s="12">
        <f>IF('Data Entry'!A1170="","",IF('Data Entry'!D1170&lt;&gt;"",'Data Entry'!D1170,'Data Entry'!E1170))</f>
        <v/>
      </c>
      <c r="K1170" s="10">
        <f>IF('Data Entry'!A1170="","",IFERROR(SUMIFS($H$5:$H$2001,$J$5:$J$2001,$J1170,$B$5:$B$2001,$B1170,$A$5:$A$2001,(MAXIFS($A$5:$A$2001,$J$5:$J$2001,$J1170,$B$5:$B$2001,$B1170,$A$5:$A$2001,"&lt;"&amp;$A1170))),""))</f>
        <v/>
      </c>
      <c r="L1170" s="14">
        <f>IF(OR('Data Entry'!A1170="",$K1170=""),"",$H1170-$K1170)</f>
        <v/>
      </c>
      <c r="M1170" s="15">
        <f>IF(OR('Data Entry'!A1170="",$K1170="",$K1170=0),"",$L1170/$K1170)</f>
        <v/>
      </c>
      <c r="N1170" s="12">
        <f>IF('Data Entry'!A1170="","",IF($L1170="","New item",IF($L1170&gt;0,"UP",IF($L1170&lt;0,"down","same"))))</f>
        <v/>
      </c>
    </row>
    <row r="1171">
      <c r="A1171" s="11">
        <f>IF('Data Entry'!A1171="","",'Data Entry'!A1171)</f>
        <v/>
      </c>
      <c r="B1171" s="12">
        <f>IF('Data Entry'!A1171="","",'Data Entry'!B1171)</f>
        <v/>
      </c>
      <c r="C1171" s="12">
        <f>IF('Data Entry'!A1171="","",'Data Entry'!C1171)</f>
        <v/>
      </c>
      <c r="D1171" s="12">
        <f>IF('Data Entry'!A1171="","",'Data Entry'!D1171)</f>
        <v/>
      </c>
      <c r="E1171" s="12">
        <f>IF('Data Entry'!A1171="","",'Data Entry'!E1171)</f>
        <v/>
      </c>
      <c r="F1171" s="12">
        <f>IF('Data Entry'!A1171="","",'Data Entry'!F1171)</f>
        <v/>
      </c>
      <c r="G1171" s="13">
        <f>IF('Data Entry'!A1171="","",'Data Entry'!G1171)</f>
        <v/>
      </c>
      <c r="H1171" s="10">
        <f>IF('Data Entry'!A1171="","",'Data Entry'!H1171)</f>
        <v/>
      </c>
      <c r="I1171" s="10">
        <f>IF('Data Entry'!A1171="","",'Data Entry'!I1171)</f>
        <v/>
      </c>
      <c r="J1171" s="12">
        <f>IF('Data Entry'!A1171="","",IF('Data Entry'!D1171&lt;&gt;"",'Data Entry'!D1171,'Data Entry'!E1171))</f>
        <v/>
      </c>
      <c r="K1171" s="10">
        <f>IF('Data Entry'!A1171="","",IFERROR(SUMIFS($H$5:$H$2001,$J$5:$J$2001,$J1171,$B$5:$B$2001,$B1171,$A$5:$A$2001,(MAXIFS($A$5:$A$2001,$J$5:$J$2001,$J1171,$B$5:$B$2001,$B1171,$A$5:$A$2001,"&lt;"&amp;$A1171))),""))</f>
        <v/>
      </c>
      <c r="L1171" s="14">
        <f>IF(OR('Data Entry'!A1171="",$K1171=""),"",$H1171-$K1171)</f>
        <v/>
      </c>
      <c r="M1171" s="15">
        <f>IF(OR('Data Entry'!A1171="",$K1171="",$K1171=0),"",$L1171/$K1171)</f>
        <v/>
      </c>
      <c r="N1171" s="12">
        <f>IF('Data Entry'!A1171="","",IF($L1171="","New item",IF($L1171&gt;0,"UP",IF($L1171&lt;0,"down","same"))))</f>
        <v/>
      </c>
    </row>
    <row r="1172">
      <c r="A1172" s="11">
        <f>IF('Data Entry'!A1172="","",'Data Entry'!A1172)</f>
        <v/>
      </c>
      <c r="B1172" s="12">
        <f>IF('Data Entry'!A1172="","",'Data Entry'!B1172)</f>
        <v/>
      </c>
      <c r="C1172" s="12">
        <f>IF('Data Entry'!A1172="","",'Data Entry'!C1172)</f>
        <v/>
      </c>
      <c r="D1172" s="12">
        <f>IF('Data Entry'!A1172="","",'Data Entry'!D1172)</f>
        <v/>
      </c>
      <c r="E1172" s="12">
        <f>IF('Data Entry'!A1172="","",'Data Entry'!E1172)</f>
        <v/>
      </c>
      <c r="F1172" s="12">
        <f>IF('Data Entry'!A1172="","",'Data Entry'!F1172)</f>
        <v/>
      </c>
      <c r="G1172" s="13">
        <f>IF('Data Entry'!A1172="","",'Data Entry'!G1172)</f>
        <v/>
      </c>
      <c r="H1172" s="10">
        <f>IF('Data Entry'!A1172="","",'Data Entry'!H1172)</f>
        <v/>
      </c>
      <c r="I1172" s="10">
        <f>IF('Data Entry'!A1172="","",'Data Entry'!I1172)</f>
        <v/>
      </c>
      <c r="J1172" s="12">
        <f>IF('Data Entry'!A1172="","",IF('Data Entry'!D1172&lt;&gt;"",'Data Entry'!D1172,'Data Entry'!E1172))</f>
        <v/>
      </c>
      <c r="K1172" s="10">
        <f>IF('Data Entry'!A1172="","",IFERROR(SUMIFS($H$5:$H$2001,$J$5:$J$2001,$J1172,$B$5:$B$2001,$B1172,$A$5:$A$2001,(MAXIFS($A$5:$A$2001,$J$5:$J$2001,$J1172,$B$5:$B$2001,$B1172,$A$5:$A$2001,"&lt;"&amp;$A1172))),""))</f>
        <v/>
      </c>
      <c r="L1172" s="14">
        <f>IF(OR('Data Entry'!A1172="",$K1172=""),"",$H1172-$K1172)</f>
        <v/>
      </c>
      <c r="M1172" s="15">
        <f>IF(OR('Data Entry'!A1172="",$K1172="",$K1172=0),"",$L1172/$K1172)</f>
        <v/>
      </c>
      <c r="N1172" s="12">
        <f>IF('Data Entry'!A1172="","",IF($L1172="","New item",IF($L1172&gt;0,"UP",IF($L1172&lt;0,"down","same"))))</f>
        <v/>
      </c>
    </row>
    <row r="1173">
      <c r="A1173" s="11">
        <f>IF('Data Entry'!A1173="","",'Data Entry'!A1173)</f>
        <v/>
      </c>
      <c r="B1173" s="12">
        <f>IF('Data Entry'!A1173="","",'Data Entry'!B1173)</f>
        <v/>
      </c>
      <c r="C1173" s="12">
        <f>IF('Data Entry'!A1173="","",'Data Entry'!C1173)</f>
        <v/>
      </c>
      <c r="D1173" s="12">
        <f>IF('Data Entry'!A1173="","",'Data Entry'!D1173)</f>
        <v/>
      </c>
      <c r="E1173" s="12">
        <f>IF('Data Entry'!A1173="","",'Data Entry'!E1173)</f>
        <v/>
      </c>
      <c r="F1173" s="12">
        <f>IF('Data Entry'!A1173="","",'Data Entry'!F1173)</f>
        <v/>
      </c>
      <c r="G1173" s="13">
        <f>IF('Data Entry'!A1173="","",'Data Entry'!G1173)</f>
        <v/>
      </c>
      <c r="H1173" s="10">
        <f>IF('Data Entry'!A1173="","",'Data Entry'!H1173)</f>
        <v/>
      </c>
      <c r="I1173" s="10">
        <f>IF('Data Entry'!A1173="","",'Data Entry'!I1173)</f>
        <v/>
      </c>
      <c r="J1173" s="12">
        <f>IF('Data Entry'!A1173="","",IF('Data Entry'!D1173&lt;&gt;"",'Data Entry'!D1173,'Data Entry'!E1173))</f>
        <v/>
      </c>
      <c r="K1173" s="10">
        <f>IF('Data Entry'!A1173="","",IFERROR(SUMIFS($H$5:$H$2001,$J$5:$J$2001,$J1173,$B$5:$B$2001,$B1173,$A$5:$A$2001,(MAXIFS($A$5:$A$2001,$J$5:$J$2001,$J1173,$B$5:$B$2001,$B1173,$A$5:$A$2001,"&lt;"&amp;$A1173))),""))</f>
        <v/>
      </c>
      <c r="L1173" s="14">
        <f>IF(OR('Data Entry'!A1173="",$K1173=""),"",$H1173-$K1173)</f>
        <v/>
      </c>
      <c r="M1173" s="15">
        <f>IF(OR('Data Entry'!A1173="",$K1173="",$K1173=0),"",$L1173/$K1173)</f>
        <v/>
      </c>
      <c r="N1173" s="12">
        <f>IF('Data Entry'!A1173="","",IF($L1173="","New item",IF($L1173&gt;0,"UP",IF($L1173&lt;0,"down","same"))))</f>
        <v/>
      </c>
    </row>
    <row r="1174">
      <c r="A1174" s="11">
        <f>IF('Data Entry'!A1174="","",'Data Entry'!A1174)</f>
        <v/>
      </c>
      <c r="B1174" s="12">
        <f>IF('Data Entry'!A1174="","",'Data Entry'!B1174)</f>
        <v/>
      </c>
      <c r="C1174" s="12">
        <f>IF('Data Entry'!A1174="","",'Data Entry'!C1174)</f>
        <v/>
      </c>
      <c r="D1174" s="12">
        <f>IF('Data Entry'!A1174="","",'Data Entry'!D1174)</f>
        <v/>
      </c>
      <c r="E1174" s="12">
        <f>IF('Data Entry'!A1174="","",'Data Entry'!E1174)</f>
        <v/>
      </c>
      <c r="F1174" s="12">
        <f>IF('Data Entry'!A1174="","",'Data Entry'!F1174)</f>
        <v/>
      </c>
      <c r="G1174" s="13">
        <f>IF('Data Entry'!A1174="","",'Data Entry'!G1174)</f>
        <v/>
      </c>
      <c r="H1174" s="10">
        <f>IF('Data Entry'!A1174="","",'Data Entry'!H1174)</f>
        <v/>
      </c>
      <c r="I1174" s="10">
        <f>IF('Data Entry'!A1174="","",'Data Entry'!I1174)</f>
        <v/>
      </c>
      <c r="J1174" s="12">
        <f>IF('Data Entry'!A1174="","",IF('Data Entry'!D1174&lt;&gt;"",'Data Entry'!D1174,'Data Entry'!E1174))</f>
        <v/>
      </c>
      <c r="K1174" s="10">
        <f>IF('Data Entry'!A1174="","",IFERROR(SUMIFS($H$5:$H$2001,$J$5:$J$2001,$J1174,$B$5:$B$2001,$B1174,$A$5:$A$2001,(MAXIFS($A$5:$A$2001,$J$5:$J$2001,$J1174,$B$5:$B$2001,$B1174,$A$5:$A$2001,"&lt;"&amp;$A1174))),""))</f>
        <v/>
      </c>
      <c r="L1174" s="14">
        <f>IF(OR('Data Entry'!A1174="",$K1174=""),"",$H1174-$K1174)</f>
        <v/>
      </c>
      <c r="M1174" s="15">
        <f>IF(OR('Data Entry'!A1174="",$K1174="",$K1174=0),"",$L1174/$K1174)</f>
        <v/>
      </c>
      <c r="N1174" s="12">
        <f>IF('Data Entry'!A1174="","",IF($L1174="","New item",IF($L1174&gt;0,"UP",IF($L1174&lt;0,"down","same"))))</f>
        <v/>
      </c>
    </row>
    <row r="1175">
      <c r="A1175" s="11">
        <f>IF('Data Entry'!A1175="","",'Data Entry'!A1175)</f>
        <v/>
      </c>
      <c r="B1175" s="12">
        <f>IF('Data Entry'!A1175="","",'Data Entry'!B1175)</f>
        <v/>
      </c>
      <c r="C1175" s="12">
        <f>IF('Data Entry'!A1175="","",'Data Entry'!C1175)</f>
        <v/>
      </c>
      <c r="D1175" s="12">
        <f>IF('Data Entry'!A1175="","",'Data Entry'!D1175)</f>
        <v/>
      </c>
      <c r="E1175" s="12">
        <f>IF('Data Entry'!A1175="","",'Data Entry'!E1175)</f>
        <v/>
      </c>
      <c r="F1175" s="12">
        <f>IF('Data Entry'!A1175="","",'Data Entry'!F1175)</f>
        <v/>
      </c>
      <c r="G1175" s="13">
        <f>IF('Data Entry'!A1175="","",'Data Entry'!G1175)</f>
        <v/>
      </c>
      <c r="H1175" s="10">
        <f>IF('Data Entry'!A1175="","",'Data Entry'!H1175)</f>
        <v/>
      </c>
      <c r="I1175" s="10">
        <f>IF('Data Entry'!A1175="","",'Data Entry'!I1175)</f>
        <v/>
      </c>
      <c r="J1175" s="12">
        <f>IF('Data Entry'!A1175="","",IF('Data Entry'!D1175&lt;&gt;"",'Data Entry'!D1175,'Data Entry'!E1175))</f>
        <v/>
      </c>
      <c r="K1175" s="10">
        <f>IF('Data Entry'!A1175="","",IFERROR(SUMIFS($H$5:$H$2001,$J$5:$J$2001,$J1175,$B$5:$B$2001,$B1175,$A$5:$A$2001,(MAXIFS($A$5:$A$2001,$J$5:$J$2001,$J1175,$B$5:$B$2001,$B1175,$A$5:$A$2001,"&lt;"&amp;$A1175))),""))</f>
        <v/>
      </c>
      <c r="L1175" s="14">
        <f>IF(OR('Data Entry'!A1175="",$K1175=""),"",$H1175-$K1175)</f>
        <v/>
      </c>
      <c r="M1175" s="15">
        <f>IF(OR('Data Entry'!A1175="",$K1175="",$K1175=0),"",$L1175/$K1175)</f>
        <v/>
      </c>
      <c r="N1175" s="12">
        <f>IF('Data Entry'!A1175="","",IF($L1175="","New item",IF($L1175&gt;0,"UP",IF($L1175&lt;0,"down","same"))))</f>
        <v/>
      </c>
    </row>
    <row r="1176">
      <c r="A1176" s="11">
        <f>IF('Data Entry'!A1176="","",'Data Entry'!A1176)</f>
        <v/>
      </c>
      <c r="B1176" s="12">
        <f>IF('Data Entry'!A1176="","",'Data Entry'!B1176)</f>
        <v/>
      </c>
      <c r="C1176" s="12">
        <f>IF('Data Entry'!A1176="","",'Data Entry'!C1176)</f>
        <v/>
      </c>
      <c r="D1176" s="12">
        <f>IF('Data Entry'!A1176="","",'Data Entry'!D1176)</f>
        <v/>
      </c>
      <c r="E1176" s="12">
        <f>IF('Data Entry'!A1176="","",'Data Entry'!E1176)</f>
        <v/>
      </c>
      <c r="F1176" s="12">
        <f>IF('Data Entry'!A1176="","",'Data Entry'!F1176)</f>
        <v/>
      </c>
      <c r="G1176" s="13">
        <f>IF('Data Entry'!A1176="","",'Data Entry'!G1176)</f>
        <v/>
      </c>
      <c r="H1176" s="10">
        <f>IF('Data Entry'!A1176="","",'Data Entry'!H1176)</f>
        <v/>
      </c>
      <c r="I1176" s="10">
        <f>IF('Data Entry'!A1176="","",'Data Entry'!I1176)</f>
        <v/>
      </c>
      <c r="J1176" s="12">
        <f>IF('Data Entry'!A1176="","",IF('Data Entry'!D1176&lt;&gt;"",'Data Entry'!D1176,'Data Entry'!E1176))</f>
        <v/>
      </c>
      <c r="K1176" s="10">
        <f>IF('Data Entry'!A1176="","",IFERROR(SUMIFS($H$5:$H$2001,$J$5:$J$2001,$J1176,$B$5:$B$2001,$B1176,$A$5:$A$2001,(MAXIFS($A$5:$A$2001,$J$5:$J$2001,$J1176,$B$5:$B$2001,$B1176,$A$5:$A$2001,"&lt;"&amp;$A1176))),""))</f>
        <v/>
      </c>
      <c r="L1176" s="14">
        <f>IF(OR('Data Entry'!A1176="",$K1176=""),"",$H1176-$K1176)</f>
        <v/>
      </c>
      <c r="M1176" s="15">
        <f>IF(OR('Data Entry'!A1176="",$K1176="",$K1176=0),"",$L1176/$K1176)</f>
        <v/>
      </c>
      <c r="N1176" s="12">
        <f>IF('Data Entry'!A1176="","",IF($L1176="","New item",IF($L1176&gt;0,"UP",IF($L1176&lt;0,"down","same"))))</f>
        <v/>
      </c>
    </row>
    <row r="1177">
      <c r="A1177" s="11">
        <f>IF('Data Entry'!A1177="","",'Data Entry'!A1177)</f>
        <v/>
      </c>
      <c r="B1177" s="12">
        <f>IF('Data Entry'!A1177="","",'Data Entry'!B1177)</f>
        <v/>
      </c>
      <c r="C1177" s="12">
        <f>IF('Data Entry'!A1177="","",'Data Entry'!C1177)</f>
        <v/>
      </c>
      <c r="D1177" s="12">
        <f>IF('Data Entry'!A1177="","",'Data Entry'!D1177)</f>
        <v/>
      </c>
      <c r="E1177" s="12">
        <f>IF('Data Entry'!A1177="","",'Data Entry'!E1177)</f>
        <v/>
      </c>
      <c r="F1177" s="12">
        <f>IF('Data Entry'!A1177="","",'Data Entry'!F1177)</f>
        <v/>
      </c>
      <c r="G1177" s="13">
        <f>IF('Data Entry'!A1177="","",'Data Entry'!G1177)</f>
        <v/>
      </c>
      <c r="H1177" s="10">
        <f>IF('Data Entry'!A1177="","",'Data Entry'!H1177)</f>
        <v/>
      </c>
      <c r="I1177" s="10">
        <f>IF('Data Entry'!A1177="","",'Data Entry'!I1177)</f>
        <v/>
      </c>
      <c r="J1177" s="12">
        <f>IF('Data Entry'!A1177="","",IF('Data Entry'!D1177&lt;&gt;"",'Data Entry'!D1177,'Data Entry'!E1177))</f>
        <v/>
      </c>
      <c r="K1177" s="10">
        <f>IF('Data Entry'!A1177="","",IFERROR(SUMIFS($H$5:$H$2001,$J$5:$J$2001,$J1177,$B$5:$B$2001,$B1177,$A$5:$A$2001,(MAXIFS($A$5:$A$2001,$J$5:$J$2001,$J1177,$B$5:$B$2001,$B1177,$A$5:$A$2001,"&lt;"&amp;$A1177))),""))</f>
        <v/>
      </c>
      <c r="L1177" s="14">
        <f>IF(OR('Data Entry'!A1177="",$K1177=""),"",$H1177-$K1177)</f>
        <v/>
      </c>
      <c r="M1177" s="15">
        <f>IF(OR('Data Entry'!A1177="",$K1177="",$K1177=0),"",$L1177/$K1177)</f>
        <v/>
      </c>
      <c r="N1177" s="12">
        <f>IF('Data Entry'!A1177="","",IF($L1177="","New item",IF($L1177&gt;0,"UP",IF($L1177&lt;0,"down","same"))))</f>
        <v/>
      </c>
    </row>
    <row r="1178">
      <c r="A1178" s="11">
        <f>IF('Data Entry'!A1178="","",'Data Entry'!A1178)</f>
        <v/>
      </c>
      <c r="B1178" s="12">
        <f>IF('Data Entry'!A1178="","",'Data Entry'!B1178)</f>
        <v/>
      </c>
      <c r="C1178" s="12">
        <f>IF('Data Entry'!A1178="","",'Data Entry'!C1178)</f>
        <v/>
      </c>
      <c r="D1178" s="12">
        <f>IF('Data Entry'!A1178="","",'Data Entry'!D1178)</f>
        <v/>
      </c>
      <c r="E1178" s="12">
        <f>IF('Data Entry'!A1178="","",'Data Entry'!E1178)</f>
        <v/>
      </c>
      <c r="F1178" s="12">
        <f>IF('Data Entry'!A1178="","",'Data Entry'!F1178)</f>
        <v/>
      </c>
      <c r="G1178" s="13">
        <f>IF('Data Entry'!A1178="","",'Data Entry'!G1178)</f>
        <v/>
      </c>
      <c r="H1178" s="10">
        <f>IF('Data Entry'!A1178="","",'Data Entry'!H1178)</f>
        <v/>
      </c>
      <c r="I1178" s="10">
        <f>IF('Data Entry'!A1178="","",'Data Entry'!I1178)</f>
        <v/>
      </c>
      <c r="J1178" s="12">
        <f>IF('Data Entry'!A1178="","",IF('Data Entry'!D1178&lt;&gt;"",'Data Entry'!D1178,'Data Entry'!E1178))</f>
        <v/>
      </c>
      <c r="K1178" s="10">
        <f>IF('Data Entry'!A1178="","",IFERROR(SUMIFS($H$5:$H$2001,$J$5:$J$2001,$J1178,$B$5:$B$2001,$B1178,$A$5:$A$2001,(MAXIFS($A$5:$A$2001,$J$5:$J$2001,$J1178,$B$5:$B$2001,$B1178,$A$5:$A$2001,"&lt;"&amp;$A1178))),""))</f>
        <v/>
      </c>
      <c r="L1178" s="14">
        <f>IF(OR('Data Entry'!A1178="",$K1178=""),"",$H1178-$K1178)</f>
        <v/>
      </c>
      <c r="M1178" s="15">
        <f>IF(OR('Data Entry'!A1178="",$K1178="",$K1178=0),"",$L1178/$K1178)</f>
        <v/>
      </c>
      <c r="N1178" s="12">
        <f>IF('Data Entry'!A1178="","",IF($L1178="","New item",IF($L1178&gt;0,"UP",IF($L1178&lt;0,"down","same"))))</f>
        <v/>
      </c>
    </row>
    <row r="1179">
      <c r="A1179" s="11">
        <f>IF('Data Entry'!A1179="","",'Data Entry'!A1179)</f>
        <v/>
      </c>
      <c r="B1179" s="12">
        <f>IF('Data Entry'!A1179="","",'Data Entry'!B1179)</f>
        <v/>
      </c>
      <c r="C1179" s="12">
        <f>IF('Data Entry'!A1179="","",'Data Entry'!C1179)</f>
        <v/>
      </c>
      <c r="D1179" s="12">
        <f>IF('Data Entry'!A1179="","",'Data Entry'!D1179)</f>
        <v/>
      </c>
      <c r="E1179" s="12">
        <f>IF('Data Entry'!A1179="","",'Data Entry'!E1179)</f>
        <v/>
      </c>
      <c r="F1179" s="12">
        <f>IF('Data Entry'!A1179="","",'Data Entry'!F1179)</f>
        <v/>
      </c>
      <c r="G1179" s="13">
        <f>IF('Data Entry'!A1179="","",'Data Entry'!G1179)</f>
        <v/>
      </c>
      <c r="H1179" s="10">
        <f>IF('Data Entry'!A1179="","",'Data Entry'!H1179)</f>
        <v/>
      </c>
      <c r="I1179" s="10">
        <f>IF('Data Entry'!A1179="","",'Data Entry'!I1179)</f>
        <v/>
      </c>
      <c r="J1179" s="12">
        <f>IF('Data Entry'!A1179="","",IF('Data Entry'!D1179&lt;&gt;"",'Data Entry'!D1179,'Data Entry'!E1179))</f>
        <v/>
      </c>
      <c r="K1179" s="10">
        <f>IF('Data Entry'!A1179="","",IFERROR(SUMIFS($H$5:$H$2001,$J$5:$J$2001,$J1179,$B$5:$B$2001,$B1179,$A$5:$A$2001,(MAXIFS($A$5:$A$2001,$J$5:$J$2001,$J1179,$B$5:$B$2001,$B1179,$A$5:$A$2001,"&lt;"&amp;$A1179))),""))</f>
        <v/>
      </c>
      <c r="L1179" s="14">
        <f>IF(OR('Data Entry'!A1179="",$K1179=""),"",$H1179-$K1179)</f>
        <v/>
      </c>
      <c r="M1179" s="15">
        <f>IF(OR('Data Entry'!A1179="",$K1179="",$K1179=0),"",$L1179/$K1179)</f>
        <v/>
      </c>
      <c r="N1179" s="12">
        <f>IF('Data Entry'!A1179="","",IF($L1179="","New item",IF($L1179&gt;0,"UP",IF($L1179&lt;0,"down","same"))))</f>
        <v/>
      </c>
    </row>
    <row r="1180">
      <c r="A1180" s="11">
        <f>IF('Data Entry'!A1180="","",'Data Entry'!A1180)</f>
        <v/>
      </c>
      <c r="B1180" s="12">
        <f>IF('Data Entry'!A1180="","",'Data Entry'!B1180)</f>
        <v/>
      </c>
      <c r="C1180" s="12">
        <f>IF('Data Entry'!A1180="","",'Data Entry'!C1180)</f>
        <v/>
      </c>
      <c r="D1180" s="12">
        <f>IF('Data Entry'!A1180="","",'Data Entry'!D1180)</f>
        <v/>
      </c>
      <c r="E1180" s="12">
        <f>IF('Data Entry'!A1180="","",'Data Entry'!E1180)</f>
        <v/>
      </c>
      <c r="F1180" s="12">
        <f>IF('Data Entry'!A1180="","",'Data Entry'!F1180)</f>
        <v/>
      </c>
      <c r="G1180" s="13">
        <f>IF('Data Entry'!A1180="","",'Data Entry'!G1180)</f>
        <v/>
      </c>
      <c r="H1180" s="10">
        <f>IF('Data Entry'!A1180="","",'Data Entry'!H1180)</f>
        <v/>
      </c>
      <c r="I1180" s="10">
        <f>IF('Data Entry'!A1180="","",'Data Entry'!I1180)</f>
        <v/>
      </c>
      <c r="J1180" s="12">
        <f>IF('Data Entry'!A1180="","",IF('Data Entry'!D1180&lt;&gt;"",'Data Entry'!D1180,'Data Entry'!E1180))</f>
        <v/>
      </c>
      <c r="K1180" s="10">
        <f>IF('Data Entry'!A1180="","",IFERROR(SUMIFS($H$5:$H$2001,$J$5:$J$2001,$J1180,$B$5:$B$2001,$B1180,$A$5:$A$2001,(MAXIFS($A$5:$A$2001,$J$5:$J$2001,$J1180,$B$5:$B$2001,$B1180,$A$5:$A$2001,"&lt;"&amp;$A1180))),""))</f>
        <v/>
      </c>
      <c r="L1180" s="14">
        <f>IF(OR('Data Entry'!A1180="",$K1180=""),"",$H1180-$K1180)</f>
        <v/>
      </c>
      <c r="M1180" s="15">
        <f>IF(OR('Data Entry'!A1180="",$K1180="",$K1180=0),"",$L1180/$K1180)</f>
        <v/>
      </c>
      <c r="N1180" s="12">
        <f>IF('Data Entry'!A1180="","",IF($L1180="","New item",IF($L1180&gt;0,"UP",IF($L1180&lt;0,"down","same"))))</f>
        <v/>
      </c>
    </row>
    <row r="1181">
      <c r="A1181" s="11">
        <f>IF('Data Entry'!A1181="","",'Data Entry'!A1181)</f>
        <v/>
      </c>
      <c r="B1181" s="12">
        <f>IF('Data Entry'!A1181="","",'Data Entry'!B1181)</f>
        <v/>
      </c>
      <c r="C1181" s="12">
        <f>IF('Data Entry'!A1181="","",'Data Entry'!C1181)</f>
        <v/>
      </c>
      <c r="D1181" s="12">
        <f>IF('Data Entry'!A1181="","",'Data Entry'!D1181)</f>
        <v/>
      </c>
      <c r="E1181" s="12">
        <f>IF('Data Entry'!A1181="","",'Data Entry'!E1181)</f>
        <v/>
      </c>
      <c r="F1181" s="12">
        <f>IF('Data Entry'!A1181="","",'Data Entry'!F1181)</f>
        <v/>
      </c>
      <c r="G1181" s="13">
        <f>IF('Data Entry'!A1181="","",'Data Entry'!G1181)</f>
        <v/>
      </c>
      <c r="H1181" s="10">
        <f>IF('Data Entry'!A1181="","",'Data Entry'!H1181)</f>
        <v/>
      </c>
      <c r="I1181" s="10">
        <f>IF('Data Entry'!A1181="","",'Data Entry'!I1181)</f>
        <v/>
      </c>
      <c r="J1181" s="12">
        <f>IF('Data Entry'!A1181="","",IF('Data Entry'!D1181&lt;&gt;"",'Data Entry'!D1181,'Data Entry'!E1181))</f>
        <v/>
      </c>
      <c r="K1181" s="10">
        <f>IF('Data Entry'!A1181="","",IFERROR(SUMIFS($H$5:$H$2001,$J$5:$J$2001,$J1181,$B$5:$B$2001,$B1181,$A$5:$A$2001,(MAXIFS($A$5:$A$2001,$J$5:$J$2001,$J1181,$B$5:$B$2001,$B1181,$A$5:$A$2001,"&lt;"&amp;$A1181))),""))</f>
        <v/>
      </c>
      <c r="L1181" s="14">
        <f>IF(OR('Data Entry'!A1181="",$K1181=""),"",$H1181-$K1181)</f>
        <v/>
      </c>
      <c r="M1181" s="15">
        <f>IF(OR('Data Entry'!A1181="",$K1181="",$K1181=0),"",$L1181/$K1181)</f>
        <v/>
      </c>
      <c r="N1181" s="12">
        <f>IF('Data Entry'!A1181="","",IF($L1181="","New item",IF($L1181&gt;0,"UP",IF($L1181&lt;0,"down","same"))))</f>
        <v/>
      </c>
    </row>
    <row r="1182">
      <c r="A1182" s="11">
        <f>IF('Data Entry'!A1182="","",'Data Entry'!A1182)</f>
        <v/>
      </c>
      <c r="B1182" s="12">
        <f>IF('Data Entry'!A1182="","",'Data Entry'!B1182)</f>
        <v/>
      </c>
      <c r="C1182" s="12">
        <f>IF('Data Entry'!A1182="","",'Data Entry'!C1182)</f>
        <v/>
      </c>
      <c r="D1182" s="12">
        <f>IF('Data Entry'!A1182="","",'Data Entry'!D1182)</f>
        <v/>
      </c>
      <c r="E1182" s="12">
        <f>IF('Data Entry'!A1182="","",'Data Entry'!E1182)</f>
        <v/>
      </c>
      <c r="F1182" s="12">
        <f>IF('Data Entry'!A1182="","",'Data Entry'!F1182)</f>
        <v/>
      </c>
      <c r="G1182" s="13">
        <f>IF('Data Entry'!A1182="","",'Data Entry'!G1182)</f>
        <v/>
      </c>
      <c r="H1182" s="10">
        <f>IF('Data Entry'!A1182="","",'Data Entry'!H1182)</f>
        <v/>
      </c>
      <c r="I1182" s="10">
        <f>IF('Data Entry'!A1182="","",'Data Entry'!I1182)</f>
        <v/>
      </c>
      <c r="J1182" s="12">
        <f>IF('Data Entry'!A1182="","",IF('Data Entry'!D1182&lt;&gt;"",'Data Entry'!D1182,'Data Entry'!E1182))</f>
        <v/>
      </c>
      <c r="K1182" s="10">
        <f>IF('Data Entry'!A1182="","",IFERROR(SUMIFS($H$5:$H$2001,$J$5:$J$2001,$J1182,$B$5:$B$2001,$B1182,$A$5:$A$2001,(MAXIFS($A$5:$A$2001,$J$5:$J$2001,$J1182,$B$5:$B$2001,$B1182,$A$5:$A$2001,"&lt;"&amp;$A1182))),""))</f>
        <v/>
      </c>
      <c r="L1182" s="14">
        <f>IF(OR('Data Entry'!A1182="",$K1182=""),"",$H1182-$K1182)</f>
        <v/>
      </c>
      <c r="M1182" s="15">
        <f>IF(OR('Data Entry'!A1182="",$K1182="",$K1182=0),"",$L1182/$K1182)</f>
        <v/>
      </c>
      <c r="N1182" s="12">
        <f>IF('Data Entry'!A1182="","",IF($L1182="","New item",IF($L1182&gt;0,"UP",IF($L1182&lt;0,"down","same"))))</f>
        <v/>
      </c>
    </row>
    <row r="1183">
      <c r="A1183" s="11">
        <f>IF('Data Entry'!A1183="","",'Data Entry'!A1183)</f>
        <v/>
      </c>
      <c r="B1183" s="12">
        <f>IF('Data Entry'!A1183="","",'Data Entry'!B1183)</f>
        <v/>
      </c>
      <c r="C1183" s="12">
        <f>IF('Data Entry'!A1183="","",'Data Entry'!C1183)</f>
        <v/>
      </c>
      <c r="D1183" s="12">
        <f>IF('Data Entry'!A1183="","",'Data Entry'!D1183)</f>
        <v/>
      </c>
      <c r="E1183" s="12">
        <f>IF('Data Entry'!A1183="","",'Data Entry'!E1183)</f>
        <v/>
      </c>
      <c r="F1183" s="12">
        <f>IF('Data Entry'!A1183="","",'Data Entry'!F1183)</f>
        <v/>
      </c>
      <c r="G1183" s="13">
        <f>IF('Data Entry'!A1183="","",'Data Entry'!G1183)</f>
        <v/>
      </c>
      <c r="H1183" s="10">
        <f>IF('Data Entry'!A1183="","",'Data Entry'!H1183)</f>
        <v/>
      </c>
      <c r="I1183" s="10">
        <f>IF('Data Entry'!A1183="","",'Data Entry'!I1183)</f>
        <v/>
      </c>
      <c r="J1183" s="12">
        <f>IF('Data Entry'!A1183="","",IF('Data Entry'!D1183&lt;&gt;"",'Data Entry'!D1183,'Data Entry'!E1183))</f>
        <v/>
      </c>
      <c r="K1183" s="10">
        <f>IF('Data Entry'!A1183="","",IFERROR(SUMIFS($H$5:$H$2001,$J$5:$J$2001,$J1183,$B$5:$B$2001,$B1183,$A$5:$A$2001,(MAXIFS($A$5:$A$2001,$J$5:$J$2001,$J1183,$B$5:$B$2001,$B1183,$A$5:$A$2001,"&lt;"&amp;$A1183))),""))</f>
        <v/>
      </c>
      <c r="L1183" s="14">
        <f>IF(OR('Data Entry'!A1183="",$K1183=""),"",$H1183-$K1183)</f>
        <v/>
      </c>
      <c r="M1183" s="15">
        <f>IF(OR('Data Entry'!A1183="",$K1183="",$K1183=0),"",$L1183/$K1183)</f>
        <v/>
      </c>
      <c r="N1183" s="12">
        <f>IF('Data Entry'!A1183="","",IF($L1183="","New item",IF($L1183&gt;0,"UP",IF($L1183&lt;0,"down","same"))))</f>
        <v/>
      </c>
    </row>
    <row r="1184">
      <c r="A1184" s="11">
        <f>IF('Data Entry'!A1184="","",'Data Entry'!A1184)</f>
        <v/>
      </c>
      <c r="B1184" s="12">
        <f>IF('Data Entry'!A1184="","",'Data Entry'!B1184)</f>
        <v/>
      </c>
      <c r="C1184" s="12">
        <f>IF('Data Entry'!A1184="","",'Data Entry'!C1184)</f>
        <v/>
      </c>
      <c r="D1184" s="12">
        <f>IF('Data Entry'!A1184="","",'Data Entry'!D1184)</f>
        <v/>
      </c>
      <c r="E1184" s="12">
        <f>IF('Data Entry'!A1184="","",'Data Entry'!E1184)</f>
        <v/>
      </c>
      <c r="F1184" s="12">
        <f>IF('Data Entry'!A1184="","",'Data Entry'!F1184)</f>
        <v/>
      </c>
      <c r="G1184" s="13">
        <f>IF('Data Entry'!A1184="","",'Data Entry'!G1184)</f>
        <v/>
      </c>
      <c r="H1184" s="10">
        <f>IF('Data Entry'!A1184="","",'Data Entry'!H1184)</f>
        <v/>
      </c>
      <c r="I1184" s="10">
        <f>IF('Data Entry'!A1184="","",'Data Entry'!I1184)</f>
        <v/>
      </c>
      <c r="J1184" s="12">
        <f>IF('Data Entry'!A1184="","",IF('Data Entry'!D1184&lt;&gt;"",'Data Entry'!D1184,'Data Entry'!E1184))</f>
        <v/>
      </c>
      <c r="K1184" s="10">
        <f>IF('Data Entry'!A1184="","",IFERROR(SUMIFS($H$5:$H$2001,$J$5:$J$2001,$J1184,$B$5:$B$2001,$B1184,$A$5:$A$2001,(MAXIFS($A$5:$A$2001,$J$5:$J$2001,$J1184,$B$5:$B$2001,$B1184,$A$5:$A$2001,"&lt;"&amp;$A1184))),""))</f>
        <v/>
      </c>
      <c r="L1184" s="14">
        <f>IF(OR('Data Entry'!A1184="",$K1184=""),"",$H1184-$K1184)</f>
        <v/>
      </c>
      <c r="M1184" s="15">
        <f>IF(OR('Data Entry'!A1184="",$K1184="",$K1184=0),"",$L1184/$K1184)</f>
        <v/>
      </c>
      <c r="N1184" s="12">
        <f>IF('Data Entry'!A1184="","",IF($L1184="","New item",IF($L1184&gt;0,"UP",IF($L1184&lt;0,"down","same"))))</f>
        <v/>
      </c>
    </row>
    <row r="1185">
      <c r="A1185" s="11">
        <f>IF('Data Entry'!A1185="","",'Data Entry'!A1185)</f>
        <v/>
      </c>
      <c r="B1185" s="12">
        <f>IF('Data Entry'!A1185="","",'Data Entry'!B1185)</f>
        <v/>
      </c>
      <c r="C1185" s="12">
        <f>IF('Data Entry'!A1185="","",'Data Entry'!C1185)</f>
        <v/>
      </c>
      <c r="D1185" s="12">
        <f>IF('Data Entry'!A1185="","",'Data Entry'!D1185)</f>
        <v/>
      </c>
      <c r="E1185" s="12">
        <f>IF('Data Entry'!A1185="","",'Data Entry'!E1185)</f>
        <v/>
      </c>
      <c r="F1185" s="12">
        <f>IF('Data Entry'!A1185="","",'Data Entry'!F1185)</f>
        <v/>
      </c>
      <c r="G1185" s="13">
        <f>IF('Data Entry'!A1185="","",'Data Entry'!G1185)</f>
        <v/>
      </c>
      <c r="H1185" s="10">
        <f>IF('Data Entry'!A1185="","",'Data Entry'!H1185)</f>
        <v/>
      </c>
      <c r="I1185" s="10">
        <f>IF('Data Entry'!A1185="","",'Data Entry'!I1185)</f>
        <v/>
      </c>
      <c r="J1185" s="12">
        <f>IF('Data Entry'!A1185="","",IF('Data Entry'!D1185&lt;&gt;"",'Data Entry'!D1185,'Data Entry'!E1185))</f>
        <v/>
      </c>
      <c r="K1185" s="10">
        <f>IF('Data Entry'!A1185="","",IFERROR(SUMIFS($H$5:$H$2001,$J$5:$J$2001,$J1185,$B$5:$B$2001,$B1185,$A$5:$A$2001,(MAXIFS($A$5:$A$2001,$J$5:$J$2001,$J1185,$B$5:$B$2001,$B1185,$A$5:$A$2001,"&lt;"&amp;$A1185))),""))</f>
        <v/>
      </c>
      <c r="L1185" s="14">
        <f>IF(OR('Data Entry'!A1185="",$K1185=""),"",$H1185-$K1185)</f>
        <v/>
      </c>
      <c r="M1185" s="15">
        <f>IF(OR('Data Entry'!A1185="",$K1185="",$K1185=0),"",$L1185/$K1185)</f>
        <v/>
      </c>
      <c r="N1185" s="12">
        <f>IF('Data Entry'!A1185="","",IF($L1185="","New item",IF($L1185&gt;0,"UP",IF($L1185&lt;0,"down","same"))))</f>
        <v/>
      </c>
    </row>
    <row r="1186">
      <c r="A1186" s="11">
        <f>IF('Data Entry'!A1186="","",'Data Entry'!A1186)</f>
        <v/>
      </c>
      <c r="B1186" s="12">
        <f>IF('Data Entry'!A1186="","",'Data Entry'!B1186)</f>
        <v/>
      </c>
      <c r="C1186" s="12">
        <f>IF('Data Entry'!A1186="","",'Data Entry'!C1186)</f>
        <v/>
      </c>
      <c r="D1186" s="12">
        <f>IF('Data Entry'!A1186="","",'Data Entry'!D1186)</f>
        <v/>
      </c>
      <c r="E1186" s="12">
        <f>IF('Data Entry'!A1186="","",'Data Entry'!E1186)</f>
        <v/>
      </c>
      <c r="F1186" s="12">
        <f>IF('Data Entry'!A1186="","",'Data Entry'!F1186)</f>
        <v/>
      </c>
      <c r="G1186" s="13">
        <f>IF('Data Entry'!A1186="","",'Data Entry'!G1186)</f>
        <v/>
      </c>
      <c r="H1186" s="10">
        <f>IF('Data Entry'!A1186="","",'Data Entry'!H1186)</f>
        <v/>
      </c>
      <c r="I1186" s="10">
        <f>IF('Data Entry'!A1186="","",'Data Entry'!I1186)</f>
        <v/>
      </c>
      <c r="J1186" s="12">
        <f>IF('Data Entry'!A1186="","",IF('Data Entry'!D1186&lt;&gt;"",'Data Entry'!D1186,'Data Entry'!E1186))</f>
        <v/>
      </c>
      <c r="K1186" s="10">
        <f>IF('Data Entry'!A1186="","",IFERROR(SUMIFS($H$5:$H$2001,$J$5:$J$2001,$J1186,$B$5:$B$2001,$B1186,$A$5:$A$2001,(MAXIFS($A$5:$A$2001,$J$5:$J$2001,$J1186,$B$5:$B$2001,$B1186,$A$5:$A$2001,"&lt;"&amp;$A1186))),""))</f>
        <v/>
      </c>
      <c r="L1186" s="14">
        <f>IF(OR('Data Entry'!A1186="",$K1186=""),"",$H1186-$K1186)</f>
        <v/>
      </c>
      <c r="M1186" s="15">
        <f>IF(OR('Data Entry'!A1186="",$K1186="",$K1186=0),"",$L1186/$K1186)</f>
        <v/>
      </c>
      <c r="N1186" s="12">
        <f>IF('Data Entry'!A1186="","",IF($L1186="","New item",IF($L1186&gt;0,"UP",IF($L1186&lt;0,"down","same"))))</f>
        <v/>
      </c>
    </row>
    <row r="1187">
      <c r="A1187" s="11">
        <f>IF('Data Entry'!A1187="","",'Data Entry'!A1187)</f>
        <v/>
      </c>
      <c r="B1187" s="12">
        <f>IF('Data Entry'!A1187="","",'Data Entry'!B1187)</f>
        <v/>
      </c>
      <c r="C1187" s="12">
        <f>IF('Data Entry'!A1187="","",'Data Entry'!C1187)</f>
        <v/>
      </c>
      <c r="D1187" s="12">
        <f>IF('Data Entry'!A1187="","",'Data Entry'!D1187)</f>
        <v/>
      </c>
      <c r="E1187" s="12">
        <f>IF('Data Entry'!A1187="","",'Data Entry'!E1187)</f>
        <v/>
      </c>
      <c r="F1187" s="12">
        <f>IF('Data Entry'!A1187="","",'Data Entry'!F1187)</f>
        <v/>
      </c>
      <c r="G1187" s="13">
        <f>IF('Data Entry'!A1187="","",'Data Entry'!G1187)</f>
        <v/>
      </c>
      <c r="H1187" s="10">
        <f>IF('Data Entry'!A1187="","",'Data Entry'!H1187)</f>
        <v/>
      </c>
      <c r="I1187" s="10">
        <f>IF('Data Entry'!A1187="","",'Data Entry'!I1187)</f>
        <v/>
      </c>
      <c r="J1187" s="12">
        <f>IF('Data Entry'!A1187="","",IF('Data Entry'!D1187&lt;&gt;"",'Data Entry'!D1187,'Data Entry'!E1187))</f>
        <v/>
      </c>
      <c r="K1187" s="10">
        <f>IF('Data Entry'!A1187="","",IFERROR(SUMIFS($H$5:$H$2001,$J$5:$J$2001,$J1187,$B$5:$B$2001,$B1187,$A$5:$A$2001,(MAXIFS($A$5:$A$2001,$J$5:$J$2001,$J1187,$B$5:$B$2001,$B1187,$A$5:$A$2001,"&lt;"&amp;$A1187))),""))</f>
        <v/>
      </c>
      <c r="L1187" s="14">
        <f>IF(OR('Data Entry'!A1187="",$K1187=""),"",$H1187-$K1187)</f>
        <v/>
      </c>
      <c r="M1187" s="15">
        <f>IF(OR('Data Entry'!A1187="",$K1187="",$K1187=0),"",$L1187/$K1187)</f>
        <v/>
      </c>
      <c r="N1187" s="12">
        <f>IF('Data Entry'!A1187="","",IF($L1187="","New item",IF($L1187&gt;0,"UP",IF($L1187&lt;0,"down","same"))))</f>
        <v/>
      </c>
    </row>
    <row r="1188">
      <c r="A1188" s="11">
        <f>IF('Data Entry'!A1188="","",'Data Entry'!A1188)</f>
        <v/>
      </c>
      <c r="B1188" s="12">
        <f>IF('Data Entry'!A1188="","",'Data Entry'!B1188)</f>
        <v/>
      </c>
      <c r="C1188" s="12">
        <f>IF('Data Entry'!A1188="","",'Data Entry'!C1188)</f>
        <v/>
      </c>
      <c r="D1188" s="12">
        <f>IF('Data Entry'!A1188="","",'Data Entry'!D1188)</f>
        <v/>
      </c>
      <c r="E1188" s="12">
        <f>IF('Data Entry'!A1188="","",'Data Entry'!E1188)</f>
        <v/>
      </c>
      <c r="F1188" s="12">
        <f>IF('Data Entry'!A1188="","",'Data Entry'!F1188)</f>
        <v/>
      </c>
      <c r="G1188" s="13">
        <f>IF('Data Entry'!A1188="","",'Data Entry'!G1188)</f>
        <v/>
      </c>
      <c r="H1188" s="10">
        <f>IF('Data Entry'!A1188="","",'Data Entry'!H1188)</f>
        <v/>
      </c>
      <c r="I1188" s="10">
        <f>IF('Data Entry'!A1188="","",'Data Entry'!I1188)</f>
        <v/>
      </c>
      <c r="J1188" s="12">
        <f>IF('Data Entry'!A1188="","",IF('Data Entry'!D1188&lt;&gt;"",'Data Entry'!D1188,'Data Entry'!E1188))</f>
        <v/>
      </c>
      <c r="K1188" s="10">
        <f>IF('Data Entry'!A1188="","",IFERROR(SUMIFS($H$5:$H$2001,$J$5:$J$2001,$J1188,$B$5:$B$2001,$B1188,$A$5:$A$2001,(MAXIFS($A$5:$A$2001,$J$5:$J$2001,$J1188,$B$5:$B$2001,$B1188,$A$5:$A$2001,"&lt;"&amp;$A1188))),""))</f>
        <v/>
      </c>
      <c r="L1188" s="14">
        <f>IF(OR('Data Entry'!A1188="",$K1188=""),"",$H1188-$K1188)</f>
        <v/>
      </c>
      <c r="M1188" s="15">
        <f>IF(OR('Data Entry'!A1188="",$K1188="",$K1188=0),"",$L1188/$K1188)</f>
        <v/>
      </c>
      <c r="N1188" s="12">
        <f>IF('Data Entry'!A1188="","",IF($L1188="","New item",IF($L1188&gt;0,"UP",IF($L1188&lt;0,"down","same"))))</f>
        <v/>
      </c>
    </row>
    <row r="1189">
      <c r="A1189" s="11">
        <f>IF('Data Entry'!A1189="","",'Data Entry'!A1189)</f>
        <v/>
      </c>
      <c r="B1189" s="12">
        <f>IF('Data Entry'!A1189="","",'Data Entry'!B1189)</f>
        <v/>
      </c>
      <c r="C1189" s="12">
        <f>IF('Data Entry'!A1189="","",'Data Entry'!C1189)</f>
        <v/>
      </c>
      <c r="D1189" s="12">
        <f>IF('Data Entry'!A1189="","",'Data Entry'!D1189)</f>
        <v/>
      </c>
      <c r="E1189" s="12">
        <f>IF('Data Entry'!A1189="","",'Data Entry'!E1189)</f>
        <v/>
      </c>
      <c r="F1189" s="12">
        <f>IF('Data Entry'!A1189="","",'Data Entry'!F1189)</f>
        <v/>
      </c>
      <c r="G1189" s="13">
        <f>IF('Data Entry'!A1189="","",'Data Entry'!G1189)</f>
        <v/>
      </c>
      <c r="H1189" s="10">
        <f>IF('Data Entry'!A1189="","",'Data Entry'!H1189)</f>
        <v/>
      </c>
      <c r="I1189" s="10">
        <f>IF('Data Entry'!A1189="","",'Data Entry'!I1189)</f>
        <v/>
      </c>
      <c r="J1189" s="12">
        <f>IF('Data Entry'!A1189="","",IF('Data Entry'!D1189&lt;&gt;"",'Data Entry'!D1189,'Data Entry'!E1189))</f>
        <v/>
      </c>
      <c r="K1189" s="10">
        <f>IF('Data Entry'!A1189="","",IFERROR(SUMIFS($H$5:$H$2001,$J$5:$J$2001,$J1189,$B$5:$B$2001,$B1189,$A$5:$A$2001,(MAXIFS($A$5:$A$2001,$J$5:$J$2001,$J1189,$B$5:$B$2001,$B1189,$A$5:$A$2001,"&lt;"&amp;$A1189))),""))</f>
        <v/>
      </c>
      <c r="L1189" s="14">
        <f>IF(OR('Data Entry'!A1189="",$K1189=""),"",$H1189-$K1189)</f>
        <v/>
      </c>
      <c r="M1189" s="15">
        <f>IF(OR('Data Entry'!A1189="",$K1189="",$K1189=0),"",$L1189/$K1189)</f>
        <v/>
      </c>
      <c r="N1189" s="12">
        <f>IF('Data Entry'!A1189="","",IF($L1189="","New item",IF($L1189&gt;0,"UP",IF($L1189&lt;0,"down","same"))))</f>
        <v/>
      </c>
    </row>
    <row r="1190">
      <c r="A1190" s="11">
        <f>IF('Data Entry'!A1190="","",'Data Entry'!A1190)</f>
        <v/>
      </c>
      <c r="B1190" s="12">
        <f>IF('Data Entry'!A1190="","",'Data Entry'!B1190)</f>
        <v/>
      </c>
      <c r="C1190" s="12">
        <f>IF('Data Entry'!A1190="","",'Data Entry'!C1190)</f>
        <v/>
      </c>
      <c r="D1190" s="12">
        <f>IF('Data Entry'!A1190="","",'Data Entry'!D1190)</f>
        <v/>
      </c>
      <c r="E1190" s="12">
        <f>IF('Data Entry'!A1190="","",'Data Entry'!E1190)</f>
        <v/>
      </c>
      <c r="F1190" s="12">
        <f>IF('Data Entry'!A1190="","",'Data Entry'!F1190)</f>
        <v/>
      </c>
      <c r="G1190" s="13">
        <f>IF('Data Entry'!A1190="","",'Data Entry'!G1190)</f>
        <v/>
      </c>
      <c r="H1190" s="10">
        <f>IF('Data Entry'!A1190="","",'Data Entry'!H1190)</f>
        <v/>
      </c>
      <c r="I1190" s="10">
        <f>IF('Data Entry'!A1190="","",'Data Entry'!I1190)</f>
        <v/>
      </c>
      <c r="J1190" s="12">
        <f>IF('Data Entry'!A1190="","",IF('Data Entry'!D1190&lt;&gt;"",'Data Entry'!D1190,'Data Entry'!E1190))</f>
        <v/>
      </c>
      <c r="K1190" s="10">
        <f>IF('Data Entry'!A1190="","",IFERROR(SUMIFS($H$5:$H$2001,$J$5:$J$2001,$J1190,$B$5:$B$2001,$B1190,$A$5:$A$2001,(MAXIFS($A$5:$A$2001,$J$5:$J$2001,$J1190,$B$5:$B$2001,$B1190,$A$5:$A$2001,"&lt;"&amp;$A1190))),""))</f>
        <v/>
      </c>
      <c r="L1190" s="14">
        <f>IF(OR('Data Entry'!A1190="",$K1190=""),"",$H1190-$K1190)</f>
        <v/>
      </c>
      <c r="M1190" s="15">
        <f>IF(OR('Data Entry'!A1190="",$K1190="",$K1190=0),"",$L1190/$K1190)</f>
        <v/>
      </c>
      <c r="N1190" s="12">
        <f>IF('Data Entry'!A1190="","",IF($L1190="","New item",IF($L1190&gt;0,"UP",IF($L1190&lt;0,"down","same"))))</f>
        <v/>
      </c>
    </row>
    <row r="1191">
      <c r="A1191" s="11">
        <f>IF('Data Entry'!A1191="","",'Data Entry'!A1191)</f>
        <v/>
      </c>
      <c r="B1191" s="12">
        <f>IF('Data Entry'!A1191="","",'Data Entry'!B1191)</f>
        <v/>
      </c>
      <c r="C1191" s="12">
        <f>IF('Data Entry'!A1191="","",'Data Entry'!C1191)</f>
        <v/>
      </c>
      <c r="D1191" s="12">
        <f>IF('Data Entry'!A1191="","",'Data Entry'!D1191)</f>
        <v/>
      </c>
      <c r="E1191" s="12">
        <f>IF('Data Entry'!A1191="","",'Data Entry'!E1191)</f>
        <v/>
      </c>
      <c r="F1191" s="12">
        <f>IF('Data Entry'!A1191="","",'Data Entry'!F1191)</f>
        <v/>
      </c>
      <c r="G1191" s="13">
        <f>IF('Data Entry'!A1191="","",'Data Entry'!G1191)</f>
        <v/>
      </c>
      <c r="H1191" s="10">
        <f>IF('Data Entry'!A1191="","",'Data Entry'!H1191)</f>
        <v/>
      </c>
      <c r="I1191" s="10">
        <f>IF('Data Entry'!A1191="","",'Data Entry'!I1191)</f>
        <v/>
      </c>
      <c r="J1191" s="12">
        <f>IF('Data Entry'!A1191="","",IF('Data Entry'!D1191&lt;&gt;"",'Data Entry'!D1191,'Data Entry'!E1191))</f>
        <v/>
      </c>
      <c r="K1191" s="10">
        <f>IF('Data Entry'!A1191="","",IFERROR(SUMIFS($H$5:$H$2001,$J$5:$J$2001,$J1191,$B$5:$B$2001,$B1191,$A$5:$A$2001,(MAXIFS($A$5:$A$2001,$J$5:$J$2001,$J1191,$B$5:$B$2001,$B1191,$A$5:$A$2001,"&lt;"&amp;$A1191))),""))</f>
        <v/>
      </c>
      <c r="L1191" s="14">
        <f>IF(OR('Data Entry'!A1191="",$K1191=""),"",$H1191-$K1191)</f>
        <v/>
      </c>
      <c r="M1191" s="15">
        <f>IF(OR('Data Entry'!A1191="",$K1191="",$K1191=0),"",$L1191/$K1191)</f>
        <v/>
      </c>
      <c r="N1191" s="12">
        <f>IF('Data Entry'!A1191="","",IF($L1191="","New item",IF($L1191&gt;0,"UP",IF($L1191&lt;0,"down","same"))))</f>
        <v/>
      </c>
    </row>
    <row r="1192">
      <c r="A1192" s="11">
        <f>IF('Data Entry'!A1192="","",'Data Entry'!A1192)</f>
        <v/>
      </c>
      <c r="B1192" s="12">
        <f>IF('Data Entry'!A1192="","",'Data Entry'!B1192)</f>
        <v/>
      </c>
      <c r="C1192" s="12">
        <f>IF('Data Entry'!A1192="","",'Data Entry'!C1192)</f>
        <v/>
      </c>
      <c r="D1192" s="12">
        <f>IF('Data Entry'!A1192="","",'Data Entry'!D1192)</f>
        <v/>
      </c>
      <c r="E1192" s="12">
        <f>IF('Data Entry'!A1192="","",'Data Entry'!E1192)</f>
        <v/>
      </c>
      <c r="F1192" s="12">
        <f>IF('Data Entry'!A1192="","",'Data Entry'!F1192)</f>
        <v/>
      </c>
      <c r="G1192" s="13">
        <f>IF('Data Entry'!A1192="","",'Data Entry'!G1192)</f>
        <v/>
      </c>
      <c r="H1192" s="10">
        <f>IF('Data Entry'!A1192="","",'Data Entry'!H1192)</f>
        <v/>
      </c>
      <c r="I1192" s="10">
        <f>IF('Data Entry'!A1192="","",'Data Entry'!I1192)</f>
        <v/>
      </c>
      <c r="J1192" s="12">
        <f>IF('Data Entry'!A1192="","",IF('Data Entry'!D1192&lt;&gt;"",'Data Entry'!D1192,'Data Entry'!E1192))</f>
        <v/>
      </c>
      <c r="K1192" s="10">
        <f>IF('Data Entry'!A1192="","",IFERROR(SUMIFS($H$5:$H$2001,$J$5:$J$2001,$J1192,$B$5:$B$2001,$B1192,$A$5:$A$2001,(MAXIFS($A$5:$A$2001,$J$5:$J$2001,$J1192,$B$5:$B$2001,$B1192,$A$5:$A$2001,"&lt;"&amp;$A1192))),""))</f>
        <v/>
      </c>
      <c r="L1192" s="14">
        <f>IF(OR('Data Entry'!A1192="",$K1192=""),"",$H1192-$K1192)</f>
        <v/>
      </c>
      <c r="M1192" s="15">
        <f>IF(OR('Data Entry'!A1192="",$K1192="",$K1192=0),"",$L1192/$K1192)</f>
        <v/>
      </c>
      <c r="N1192" s="12">
        <f>IF('Data Entry'!A1192="","",IF($L1192="","New item",IF($L1192&gt;0,"UP",IF($L1192&lt;0,"down","same"))))</f>
        <v/>
      </c>
    </row>
    <row r="1193">
      <c r="A1193" s="11">
        <f>IF('Data Entry'!A1193="","",'Data Entry'!A1193)</f>
        <v/>
      </c>
      <c r="B1193" s="12">
        <f>IF('Data Entry'!A1193="","",'Data Entry'!B1193)</f>
        <v/>
      </c>
      <c r="C1193" s="12">
        <f>IF('Data Entry'!A1193="","",'Data Entry'!C1193)</f>
        <v/>
      </c>
      <c r="D1193" s="12">
        <f>IF('Data Entry'!A1193="","",'Data Entry'!D1193)</f>
        <v/>
      </c>
      <c r="E1193" s="12">
        <f>IF('Data Entry'!A1193="","",'Data Entry'!E1193)</f>
        <v/>
      </c>
      <c r="F1193" s="12">
        <f>IF('Data Entry'!A1193="","",'Data Entry'!F1193)</f>
        <v/>
      </c>
      <c r="G1193" s="13">
        <f>IF('Data Entry'!A1193="","",'Data Entry'!G1193)</f>
        <v/>
      </c>
      <c r="H1193" s="10">
        <f>IF('Data Entry'!A1193="","",'Data Entry'!H1193)</f>
        <v/>
      </c>
      <c r="I1193" s="10">
        <f>IF('Data Entry'!A1193="","",'Data Entry'!I1193)</f>
        <v/>
      </c>
      <c r="J1193" s="12">
        <f>IF('Data Entry'!A1193="","",IF('Data Entry'!D1193&lt;&gt;"",'Data Entry'!D1193,'Data Entry'!E1193))</f>
        <v/>
      </c>
      <c r="K1193" s="10">
        <f>IF('Data Entry'!A1193="","",IFERROR(SUMIFS($H$5:$H$2001,$J$5:$J$2001,$J1193,$B$5:$B$2001,$B1193,$A$5:$A$2001,(MAXIFS($A$5:$A$2001,$J$5:$J$2001,$J1193,$B$5:$B$2001,$B1193,$A$5:$A$2001,"&lt;"&amp;$A1193))),""))</f>
        <v/>
      </c>
      <c r="L1193" s="14">
        <f>IF(OR('Data Entry'!A1193="",$K1193=""),"",$H1193-$K1193)</f>
        <v/>
      </c>
      <c r="M1193" s="15">
        <f>IF(OR('Data Entry'!A1193="",$K1193="",$K1193=0),"",$L1193/$K1193)</f>
        <v/>
      </c>
      <c r="N1193" s="12">
        <f>IF('Data Entry'!A1193="","",IF($L1193="","New item",IF($L1193&gt;0,"UP",IF($L1193&lt;0,"down","same"))))</f>
        <v/>
      </c>
    </row>
    <row r="1194">
      <c r="A1194" s="11">
        <f>IF('Data Entry'!A1194="","",'Data Entry'!A1194)</f>
        <v/>
      </c>
      <c r="B1194" s="12">
        <f>IF('Data Entry'!A1194="","",'Data Entry'!B1194)</f>
        <v/>
      </c>
      <c r="C1194" s="12">
        <f>IF('Data Entry'!A1194="","",'Data Entry'!C1194)</f>
        <v/>
      </c>
      <c r="D1194" s="12">
        <f>IF('Data Entry'!A1194="","",'Data Entry'!D1194)</f>
        <v/>
      </c>
      <c r="E1194" s="12">
        <f>IF('Data Entry'!A1194="","",'Data Entry'!E1194)</f>
        <v/>
      </c>
      <c r="F1194" s="12">
        <f>IF('Data Entry'!A1194="","",'Data Entry'!F1194)</f>
        <v/>
      </c>
      <c r="G1194" s="13">
        <f>IF('Data Entry'!A1194="","",'Data Entry'!G1194)</f>
        <v/>
      </c>
      <c r="H1194" s="10">
        <f>IF('Data Entry'!A1194="","",'Data Entry'!H1194)</f>
        <v/>
      </c>
      <c r="I1194" s="10">
        <f>IF('Data Entry'!A1194="","",'Data Entry'!I1194)</f>
        <v/>
      </c>
      <c r="J1194" s="12">
        <f>IF('Data Entry'!A1194="","",IF('Data Entry'!D1194&lt;&gt;"",'Data Entry'!D1194,'Data Entry'!E1194))</f>
        <v/>
      </c>
      <c r="K1194" s="10">
        <f>IF('Data Entry'!A1194="","",IFERROR(SUMIFS($H$5:$H$2001,$J$5:$J$2001,$J1194,$B$5:$B$2001,$B1194,$A$5:$A$2001,(MAXIFS($A$5:$A$2001,$J$5:$J$2001,$J1194,$B$5:$B$2001,$B1194,$A$5:$A$2001,"&lt;"&amp;$A1194))),""))</f>
        <v/>
      </c>
      <c r="L1194" s="14">
        <f>IF(OR('Data Entry'!A1194="",$K1194=""),"",$H1194-$K1194)</f>
        <v/>
      </c>
      <c r="M1194" s="15">
        <f>IF(OR('Data Entry'!A1194="",$K1194="",$K1194=0),"",$L1194/$K1194)</f>
        <v/>
      </c>
      <c r="N1194" s="12">
        <f>IF('Data Entry'!A1194="","",IF($L1194="","New item",IF($L1194&gt;0,"UP",IF($L1194&lt;0,"down","same"))))</f>
        <v/>
      </c>
    </row>
    <row r="1195">
      <c r="A1195" s="11">
        <f>IF('Data Entry'!A1195="","",'Data Entry'!A1195)</f>
        <v/>
      </c>
      <c r="B1195" s="12">
        <f>IF('Data Entry'!A1195="","",'Data Entry'!B1195)</f>
        <v/>
      </c>
      <c r="C1195" s="12">
        <f>IF('Data Entry'!A1195="","",'Data Entry'!C1195)</f>
        <v/>
      </c>
      <c r="D1195" s="12">
        <f>IF('Data Entry'!A1195="","",'Data Entry'!D1195)</f>
        <v/>
      </c>
      <c r="E1195" s="12">
        <f>IF('Data Entry'!A1195="","",'Data Entry'!E1195)</f>
        <v/>
      </c>
      <c r="F1195" s="12">
        <f>IF('Data Entry'!A1195="","",'Data Entry'!F1195)</f>
        <v/>
      </c>
      <c r="G1195" s="13">
        <f>IF('Data Entry'!A1195="","",'Data Entry'!G1195)</f>
        <v/>
      </c>
      <c r="H1195" s="10">
        <f>IF('Data Entry'!A1195="","",'Data Entry'!H1195)</f>
        <v/>
      </c>
      <c r="I1195" s="10">
        <f>IF('Data Entry'!A1195="","",'Data Entry'!I1195)</f>
        <v/>
      </c>
      <c r="J1195" s="12">
        <f>IF('Data Entry'!A1195="","",IF('Data Entry'!D1195&lt;&gt;"",'Data Entry'!D1195,'Data Entry'!E1195))</f>
        <v/>
      </c>
      <c r="K1195" s="10">
        <f>IF('Data Entry'!A1195="","",IFERROR(SUMIFS($H$5:$H$2001,$J$5:$J$2001,$J1195,$B$5:$B$2001,$B1195,$A$5:$A$2001,(MAXIFS($A$5:$A$2001,$J$5:$J$2001,$J1195,$B$5:$B$2001,$B1195,$A$5:$A$2001,"&lt;"&amp;$A1195))),""))</f>
        <v/>
      </c>
      <c r="L1195" s="14">
        <f>IF(OR('Data Entry'!A1195="",$K1195=""),"",$H1195-$K1195)</f>
        <v/>
      </c>
      <c r="M1195" s="15">
        <f>IF(OR('Data Entry'!A1195="",$K1195="",$K1195=0),"",$L1195/$K1195)</f>
        <v/>
      </c>
      <c r="N1195" s="12">
        <f>IF('Data Entry'!A1195="","",IF($L1195="","New item",IF($L1195&gt;0,"UP",IF($L1195&lt;0,"down","same"))))</f>
        <v/>
      </c>
    </row>
    <row r="1196">
      <c r="A1196" s="11">
        <f>IF('Data Entry'!A1196="","",'Data Entry'!A1196)</f>
        <v/>
      </c>
      <c r="B1196" s="12">
        <f>IF('Data Entry'!A1196="","",'Data Entry'!B1196)</f>
        <v/>
      </c>
      <c r="C1196" s="12">
        <f>IF('Data Entry'!A1196="","",'Data Entry'!C1196)</f>
        <v/>
      </c>
      <c r="D1196" s="12">
        <f>IF('Data Entry'!A1196="","",'Data Entry'!D1196)</f>
        <v/>
      </c>
      <c r="E1196" s="12">
        <f>IF('Data Entry'!A1196="","",'Data Entry'!E1196)</f>
        <v/>
      </c>
      <c r="F1196" s="12">
        <f>IF('Data Entry'!A1196="","",'Data Entry'!F1196)</f>
        <v/>
      </c>
      <c r="G1196" s="13">
        <f>IF('Data Entry'!A1196="","",'Data Entry'!G1196)</f>
        <v/>
      </c>
      <c r="H1196" s="10">
        <f>IF('Data Entry'!A1196="","",'Data Entry'!H1196)</f>
        <v/>
      </c>
      <c r="I1196" s="10">
        <f>IF('Data Entry'!A1196="","",'Data Entry'!I1196)</f>
        <v/>
      </c>
      <c r="J1196" s="12">
        <f>IF('Data Entry'!A1196="","",IF('Data Entry'!D1196&lt;&gt;"",'Data Entry'!D1196,'Data Entry'!E1196))</f>
        <v/>
      </c>
      <c r="K1196" s="10">
        <f>IF('Data Entry'!A1196="","",IFERROR(SUMIFS($H$5:$H$2001,$J$5:$J$2001,$J1196,$B$5:$B$2001,$B1196,$A$5:$A$2001,(MAXIFS($A$5:$A$2001,$J$5:$J$2001,$J1196,$B$5:$B$2001,$B1196,$A$5:$A$2001,"&lt;"&amp;$A1196))),""))</f>
        <v/>
      </c>
      <c r="L1196" s="14">
        <f>IF(OR('Data Entry'!A1196="",$K1196=""),"",$H1196-$K1196)</f>
        <v/>
      </c>
      <c r="M1196" s="15">
        <f>IF(OR('Data Entry'!A1196="",$K1196="",$K1196=0),"",$L1196/$K1196)</f>
        <v/>
      </c>
      <c r="N1196" s="12">
        <f>IF('Data Entry'!A1196="","",IF($L1196="","New item",IF($L1196&gt;0,"UP",IF($L1196&lt;0,"down","same"))))</f>
        <v/>
      </c>
    </row>
    <row r="1197">
      <c r="A1197" s="11">
        <f>IF('Data Entry'!A1197="","",'Data Entry'!A1197)</f>
        <v/>
      </c>
      <c r="B1197" s="12">
        <f>IF('Data Entry'!A1197="","",'Data Entry'!B1197)</f>
        <v/>
      </c>
      <c r="C1197" s="12">
        <f>IF('Data Entry'!A1197="","",'Data Entry'!C1197)</f>
        <v/>
      </c>
      <c r="D1197" s="12">
        <f>IF('Data Entry'!A1197="","",'Data Entry'!D1197)</f>
        <v/>
      </c>
      <c r="E1197" s="12">
        <f>IF('Data Entry'!A1197="","",'Data Entry'!E1197)</f>
        <v/>
      </c>
      <c r="F1197" s="12">
        <f>IF('Data Entry'!A1197="","",'Data Entry'!F1197)</f>
        <v/>
      </c>
      <c r="G1197" s="13">
        <f>IF('Data Entry'!A1197="","",'Data Entry'!G1197)</f>
        <v/>
      </c>
      <c r="H1197" s="10">
        <f>IF('Data Entry'!A1197="","",'Data Entry'!H1197)</f>
        <v/>
      </c>
      <c r="I1197" s="10">
        <f>IF('Data Entry'!A1197="","",'Data Entry'!I1197)</f>
        <v/>
      </c>
      <c r="J1197" s="12">
        <f>IF('Data Entry'!A1197="","",IF('Data Entry'!D1197&lt;&gt;"",'Data Entry'!D1197,'Data Entry'!E1197))</f>
        <v/>
      </c>
      <c r="K1197" s="10">
        <f>IF('Data Entry'!A1197="","",IFERROR(SUMIFS($H$5:$H$2001,$J$5:$J$2001,$J1197,$B$5:$B$2001,$B1197,$A$5:$A$2001,(MAXIFS($A$5:$A$2001,$J$5:$J$2001,$J1197,$B$5:$B$2001,$B1197,$A$5:$A$2001,"&lt;"&amp;$A1197))),""))</f>
        <v/>
      </c>
      <c r="L1197" s="14">
        <f>IF(OR('Data Entry'!A1197="",$K1197=""),"",$H1197-$K1197)</f>
        <v/>
      </c>
      <c r="M1197" s="15">
        <f>IF(OR('Data Entry'!A1197="",$K1197="",$K1197=0),"",$L1197/$K1197)</f>
        <v/>
      </c>
      <c r="N1197" s="12">
        <f>IF('Data Entry'!A1197="","",IF($L1197="","New item",IF($L1197&gt;0,"UP",IF($L1197&lt;0,"down","same"))))</f>
        <v/>
      </c>
    </row>
    <row r="1198">
      <c r="A1198" s="11">
        <f>IF('Data Entry'!A1198="","",'Data Entry'!A1198)</f>
        <v/>
      </c>
      <c r="B1198" s="12">
        <f>IF('Data Entry'!A1198="","",'Data Entry'!B1198)</f>
        <v/>
      </c>
      <c r="C1198" s="12">
        <f>IF('Data Entry'!A1198="","",'Data Entry'!C1198)</f>
        <v/>
      </c>
      <c r="D1198" s="12">
        <f>IF('Data Entry'!A1198="","",'Data Entry'!D1198)</f>
        <v/>
      </c>
      <c r="E1198" s="12">
        <f>IF('Data Entry'!A1198="","",'Data Entry'!E1198)</f>
        <v/>
      </c>
      <c r="F1198" s="12">
        <f>IF('Data Entry'!A1198="","",'Data Entry'!F1198)</f>
        <v/>
      </c>
      <c r="G1198" s="13">
        <f>IF('Data Entry'!A1198="","",'Data Entry'!G1198)</f>
        <v/>
      </c>
      <c r="H1198" s="10">
        <f>IF('Data Entry'!A1198="","",'Data Entry'!H1198)</f>
        <v/>
      </c>
      <c r="I1198" s="10">
        <f>IF('Data Entry'!A1198="","",'Data Entry'!I1198)</f>
        <v/>
      </c>
      <c r="J1198" s="12">
        <f>IF('Data Entry'!A1198="","",IF('Data Entry'!D1198&lt;&gt;"",'Data Entry'!D1198,'Data Entry'!E1198))</f>
        <v/>
      </c>
      <c r="K1198" s="10">
        <f>IF('Data Entry'!A1198="","",IFERROR(SUMIFS($H$5:$H$2001,$J$5:$J$2001,$J1198,$B$5:$B$2001,$B1198,$A$5:$A$2001,(MAXIFS($A$5:$A$2001,$J$5:$J$2001,$J1198,$B$5:$B$2001,$B1198,$A$5:$A$2001,"&lt;"&amp;$A1198))),""))</f>
        <v/>
      </c>
      <c r="L1198" s="14">
        <f>IF(OR('Data Entry'!A1198="",$K1198=""),"",$H1198-$K1198)</f>
        <v/>
      </c>
      <c r="M1198" s="15">
        <f>IF(OR('Data Entry'!A1198="",$K1198="",$K1198=0),"",$L1198/$K1198)</f>
        <v/>
      </c>
      <c r="N1198" s="12">
        <f>IF('Data Entry'!A1198="","",IF($L1198="","New item",IF($L1198&gt;0,"UP",IF($L1198&lt;0,"down","same"))))</f>
        <v/>
      </c>
    </row>
    <row r="1199">
      <c r="A1199" s="11">
        <f>IF('Data Entry'!A1199="","",'Data Entry'!A1199)</f>
        <v/>
      </c>
      <c r="B1199" s="12">
        <f>IF('Data Entry'!A1199="","",'Data Entry'!B1199)</f>
        <v/>
      </c>
      <c r="C1199" s="12">
        <f>IF('Data Entry'!A1199="","",'Data Entry'!C1199)</f>
        <v/>
      </c>
      <c r="D1199" s="12">
        <f>IF('Data Entry'!A1199="","",'Data Entry'!D1199)</f>
        <v/>
      </c>
      <c r="E1199" s="12">
        <f>IF('Data Entry'!A1199="","",'Data Entry'!E1199)</f>
        <v/>
      </c>
      <c r="F1199" s="12">
        <f>IF('Data Entry'!A1199="","",'Data Entry'!F1199)</f>
        <v/>
      </c>
      <c r="G1199" s="13">
        <f>IF('Data Entry'!A1199="","",'Data Entry'!G1199)</f>
        <v/>
      </c>
      <c r="H1199" s="10">
        <f>IF('Data Entry'!A1199="","",'Data Entry'!H1199)</f>
        <v/>
      </c>
      <c r="I1199" s="10">
        <f>IF('Data Entry'!A1199="","",'Data Entry'!I1199)</f>
        <v/>
      </c>
      <c r="J1199" s="12">
        <f>IF('Data Entry'!A1199="","",IF('Data Entry'!D1199&lt;&gt;"",'Data Entry'!D1199,'Data Entry'!E1199))</f>
        <v/>
      </c>
      <c r="K1199" s="10">
        <f>IF('Data Entry'!A1199="","",IFERROR(SUMIFS($H$5:$H$2001,$J$5:$J$2001,$J1199,$B$5:$B$2001,$B1199,$A$5:$A$2001,(MAXIFS($A$5:$A$2001,$J$5:$J$2001,$J1199,$B$5:$B$2001,$B1199,$A$5:$A$2001,"&lt;"&amp;$A1199))),""))</f>
        <v/>
      </c>
      <c r="L1199" s="14">
        <f>IF(OR('Data Entry'!A1199="",$K1199=""),"",$H1199-$K1199)</f>
        <v/>
      </c>
      <c r="M1199" s="15">
        <f>IF(OR('Data Entry'!A1199="",$K1199="",$K1199=0),"",$L1199/$K1199)</f>
        <v/>
      </c>
      <c r="N1199" s="12">
        <f>IF('Data Entry'!A1199="","",IF($L1199="","New item",IF($L1199&gt;0,"UP",IF($L1199&lt;0,"down","same"))))</f>
        <v/>
      </c>
    </row>
    <row r="1200">
      <c r="A1200" s="11">
        <f>IF('Data Entry'!A1200="","",'Data Entry'!A1200)</f>
        <v/>
      </c>
      <c r="B1200" s="12">
        <f>IF('Data Entry'!A1200="","",'Data Entry'!B1200)</f>
        <v/>
      </c>
      <c r="C1200" s="12">
        <f>IF('Data Entry'!A1200="","",'Data Entry'!C1200)</f>
        <v/>
      </c>
      <c r="D1200" s="12">
        <f>IF('Data Entry'!A1200="","",'Data Entry'!D1200)</f>
        <v/>
      </c>
      <c r="E1200" s="12">
        <f>IF('Data Entry'!A1200="","",'Data Entry'!E1200)</f>
        <v/>
      </c>
      <c r="F1200" s="12">
        <f>IF('Data Entry'!A1200="","",'Data Entry'!F1200)</f>
        <v/>
      </c>
      <c r="G1200" s="13">
        <f>IF('Data Entry'!A1200="","",'Data Entry'!G1200)</f>
        <v/>
      </c>
      <c r="H1200" s="10">
        <f>IF('Data Entry'!A1200="","",'Data Entry'!H1200)</f>
        <v/>
      </c>
      <c r="I1200" s="10">
        <f>IF('Data Entry'!A1200="","",'Data Entry'!I1200)</f>
        <v/>
      </c>
      <c r="J1200" s="12">
        <f>IF('Data Entry'!A1200="","",IF('Data Entry'!D1200&lt;&gt;"",'Data Entry'!D1200,'Data Entry'!E1200))</f>
        <v/>
      </c>
      <c r="K1200" s="10">
        <f>IF('Data Entry'!A1200="","",IFERROR(SUMIFS($H$5:$H$2001,$J$5:$J$2001,$J1200,$B$5:$B$2001,$B1200,$A$5:$A$2001,(MAXIFS($A$5:$A$2001,$J$5:$J$2001,$J1200,$B$5:$B$2001,$B1200,$A$5:$A$2001,"&lt;"&amp;$A1200))),""))</f>
        <v/>
      </c>
      <c r="L1200" s="14">
        <f>IF(OR('Data Entry'!A1200="",$K1200=""),"",$H1200-$K1200)</f>
        <v/>
      </c>
      <c r="M1200" s="15">
        <f>IF(OR('Data Entry'!A1200="",$K1200="",$K1200=0),"",$L1200/$K1200)</f>
        <v/>
      </c>
      <c r="N1200" s="12">
        <f>IF('Data Entry'!A1200="","",IF($L1200="","New item",IF($L1200&gt;0,"UP",IF($L1200&lt;0,"down","same"))))</f>
        <v/>
      </c>
    </row>
    <row r="1201">
      <c r="A1201" s="11">
        <f>IF('Data Entry'!A1201="","",'Data Entry'!A1201)</f>
        <v/>
      </c>
      <c r="B1201" s="12">
        <f>IF('Data Entry'!A1201="","",'Data Entry'!B1201)</f>
        <v/>
      </c>
      <c r="C1201" s="12">
        <f>IF('Data Entry'!A1201="","",'Data Entry'!C1201)</f>
        <v/>
      </c>
      <c r="D1201" s="12">
        <f>IF('Data Entry'!A1201="","",'Data Entry'!D1201)</f>
        <v/>
      </c>
      <c r="E1201" s="12">
        <f>IF('Data Entry'!A1201="","",'Data Entry'!E1201)</f>
        <v/>
      </c>
      <c r="F1201" s="12">
        <f>IF('Data Entry'!A1201="","",'Data Entry'!F1201)</f>
        <v/>
      </c>
      <c r="G1201" s="13">
        <f>IF('Data Entry'!A1201="","",'Data Entry'!G1201)</f>
        <v/>
      </c>
      <c r="H1201" s="10">
        <f>IF('Data Entry'!A1201="","",'Data Entry'!H1201)</f>
        <v/>
      </c>
      <c r="I1201" s="10">
        <f>IF('Data Entry'!A1201="","",'Data Entry'!I1201)</f>
        <v/>
      </c>
      <c r="J1201" s="12">
        <f>IF('Data Entry'!A1201="","",IF('Data Entry'!D1201&lt;&gt;"",'Data Entry'!D1201,'Data Entry'!E1201))</f>
        <v/>
      </c>
      <c r="K1201" s="10">
        <f>IF('Data Entry'!A1201="","",IFERROR(SUMIFS($H$5:$H$2001,$J$5:$J$2001,$J1201,$B$5:$B$2001,$B1201,$A$5:$A$2001,(MAXIFS($A$5:$A$2001,$J$5:$J$2001,$J1201,$B$5:$B$2001,$B1201,$A$5:$A$2001,"&lt;"&amp;$A1201))),""))</f>
        <v/>
      </c>
      <c r="L1201" s="14">
        <f>IF(OR('Data Entry'!A1201="",$K1201=""),"",$H1201-$K1201)</f>
        <v/>
      </c>
      <c r="M1201" s="15">
        <f>IF(OR('Data Entry'!A1201="",$K1201="",$K1201=0),"",$L1201/$K1201)</f>
        <v/>
      </c>
      <c r="N1201" s="12">
        <f>IF('Data Entry'!A1201="","",IF($L1201="","New item",IF($L1201&gt;0,"UP",IF($L1201&lt;0,"down","same"))))</f>
        <v/>
      </c>
    </row>
    <row r="1202">
      <c r="A1202" s="11">
        <f>IF('Data Entry'!A1202="","",'Data Entry'!A1202)</f>
        <v/>
      </c>
      <c r="B1202" s="12">
        <f>IF('Data Entry'!A1202="","",'Data Entry'!B1202)</f>
        <v/>
      </c>
      <c r="C1202" s="12">
        <f>IF('Data Entry'!A1202="","",'Data Entry'!C1202)</f>
        <v/>
      </c>
      <c r="D1202" s="12">
        <f>IF('Data Entry'!A1202="","",'Data Entry'!D1202)</f>
        <v/>
      </c>
      <c r="E1202" s="12">
        <f>IF('Data Entry'!A1202="","",'Data Entry'!E1202)</f>
        <v/>
      </c>
      <c r="F1202" s="12">
        <f>IF('Data Entry'!A1202="","",'Data Entry'!F1202)</f>
        <v/>
      </c>
      <c r="G1202" s="13">
        <f>IF('Data Entry'!A1202="","",'Data Entry'!G1202)</f>
        <v/>
      </c>
      <c r="H1202" s="10">
        <f>IF('Data Entry'!A1202="","",'Data Entry'!H1202)</f>
        <v/>
      </c>
      <c r="I1202" s="10">
        <f>IF('Data Entry'!A1202="","",'Data Entry'!I1202)</f>
        <v/>
      </c>
      <c r="J1202" s="12">
        <f>IF('Data Entry'!A1202="","",IF('Data Entry'!D1202&lt;&gt;"",'Data Entry'!D1202,'Data Entry'!E1202))</f>
        <v/>
      </c>
      <c r="K1202" s="10">
        <f>IF('Data Entry'!A1202="","",IFERROR(SUMIFS($H$5:$H$2001,$J$5:$J$2001,$J1202,$B$5:$B$2001,$B1202,$A$5:$A$2001,(MAXIFS($A$5:$A$2001,$J$5:$J$2001,$J1202,$B$5:$B$2001,$B1202,$A$5:$A$2001,"&lt;"&amp;$A1202))),""))</f>
        <v/>
      </c>
      <c r="L1202" s="14">
        <f>IF(OR('Data Entry'!A1202="",$K1202=""),"",$H1202-$K1202)</f>
        <v/>
      </c>
      <c r="M1202" s="15">
        <f>IF(OR('Data Entry'!A1202="",$K1202="",$K1202=0),"",$L1202/$K1202)</f>
        <v/>
      </c>
      <c r="N1202" s="12">
        <f>IF('Data Entry'!A1202="","",IF($L1202="","New item",IF($L1202&gt;0,"UP",IF($L1202&lt;0,"down","same"))))</f>
        <v/>
      </c>
    </row>
    <row r="1203">
      <c r="A1203" s="11">
        <f>IF('Data Entry'!A1203="","",'Data Entry'!A1203)</f>
        <v/>
      </c>
      <c r="B1203" s="12">
        <f>IF('Data Entry'!A1203="","",'Data Entry'!B1203)</f>
        <v/>
      </c>
      <c r="C1203" s="12">
        <f>IF('Data Entry'!A1203="","",'Data Entry'!C1203)</f>
        <v/>
      </c>
      <c r="D1203" s="12">
        <f>IF('Data Entry'!A1203="","",'Data Entry'!D1203)</f>
        <v/>
      </c>
      <c r="E1203" s="12">
        <f>IF('Data Entry'!A1203="","",'Data Entry'!E1203)</f>
        <v/>
      </c>
      <c r="F1203" s="12">
        <f>IF('Data Entry'!A1203="","",'Data Entry'!F1203)</f>
        <v/>
      </c>
      <c r="G1203" s="13">
        <f>IF('Data Entry'!A1203="","",'Data Entry'!G1203)</f>
        <v/>
      </c>
      <c r="H1203" s="10">
        <f>IF('Data Entry'!A1203="","",'Data Entry'!H1203)</f>
        <v/>
      </c>
      <c r="I1203" s="10">
        <f>IF('Data Entry'!A1203="","",'Data Entry'!I1203)</f>
        <v/>
      </c>
      <c r="J1203" s="12">
        <f>IF('Data Entry'!A1203="","",IF('Data Entry'!D1203&lt;&gt;"",'Data Entry'!D1203,'Data Entry'!E1203))</f>
        <v/>
      </c>
      <c r="K1203" s="10">
        <f>IF('Data Entry'!A1203="","",IFERROR(SUMIFS($H$5:$H$2001,$J$5:$J$2001,$J1203,$B$5:$B$2001,$B1203,$A$5:$A$2001,(MAXIFS($A$5:$A$2001,$J$5:$J$2001,$J1203,$B$5:$B$2001,$B1203,$A$5:$A$2001,"&lt;"&amp;$A1203))),""))</f>
        <v/>
      </c>
      <c r="L1203" s="14">
        <f>IF(OR('Data Entry'!A1203="",$K1203=""),"",$H1203-$K1203)</f>
        <v/>
      </c>
      <c r="M1203" s="15">
        <f>IF(OR('Data Entry'!A1203="",$K1203="",$K1203=0),"",$L1203/$K1203)</f>
        <v/>
      </c>
      <c r="N1203" s="12">
        <f>IF('Data Entry'!A1203="","",IF($L1203="","New item",IF($L1203&gt;0,"UP",IF($L1203&lt;0,"down","same"))))</f>
        <v/>
      </c>
    </row>
    <row r="1204">
      <c r="A1204" s="11">
        <f>IF('Data Entry'!A1204="","",'Data Entry'!A1204)</f>
        <v/>
      </c>
      <c r="B1204" s="12">
        <f>IF('Data Entry'!A1204="","",'Data Entry'!B1204)</f>
        <v/>
      </c>
      <c r="C1204" s="12">
        <f>IF('Data Entry'!A1204="","",'Data Entry'!C1204)</f>
        <v/>
      </c>
      <c r="D1204" s="12">
        <f>IF('Data Entry'!A1204="","",'Data Entry'!D1204)</f>
        <v/>
      </c>
      <c r="E1204" s="12">
        <f>IF('Data Entry'!A1204="","",'Data Entry'!E1204)</f>
        <v/>
      </c>
      <c r="F1204" s="12">
        <f>IF('Data Entry'!A1204="","",'Data Entry'!F1204)</f>
        <v/>
      </c>
      <c r="G1204" s="13">
        <f>IF('Data Entry'!A1204="","",'Data Entry'!G1204)</f>
        <v/>
      </c>
      <c r="H1204" s="10">
        <f>IF('Data Entry'!A1204="","",'Data Entry'!H1204)</f>
        <v/>
      </c>
      <c r="I1204" s="10">
        <f>IF('Data Entry'!A1204="","",'Data Entry'!I1204)</f>
        <v/>
      </c>
      <c r="J1204" s="12">
        <f>IF('Data Entry'!A1204="","",IF('Data Entry'!D1204&lt;&gt;"",'Data Entry'!D1204,'Data Entry'!E1204))</f>
        <v/>
      </c>
      <c r="K1204" s="10">
        <f>IF('Data Entry'!A1204="","",IFERROR(SUMIFS($H$5:$H$2001,$J$5:$J$2001,$J1204,$B$5:$B$2001,$B1204,$A$5:$A$2001,(MAXIFS($A$5:$A$2001,$J$5:$J$2001,$J1204,$B$5:$B$2001,$B1204,$A$5:$A$2001,"&lt;"&amp;$A1204))),""))</f>
        <v/>
      </c>
      <c r="L1204" s="14">
        <f>IF(OR('Data Entry'!A1204="",$K1204=""),"",$H1204-$K1204)</f>
        <v/>
      </c>
      <c r="M1204" s="15">
        <f>IF(OR('Data Entry'!A1204="",$K1204="",$K1204=0),"",$L1204/$K1204)</f>
        <v/>
      </c>
      <c r="N1204" s="12">
        <f>IF('Data Entry'!A1204="","",IF($L1204="","New item",IF($L1204&gt;0,"UP",IF($L1204&lt;0,"down","same"))))</f>
        <v/>
      </c>
    </row>
    <row r="1205">
      <c r="A1205" s="11">
        <f>IF('Data Entry'!A1205="","",'Data Entry'!A1205)</f>
        <v/>
      </c>
      <c r="B1205" s="12">
        <f>IF('Data Entry'!A1205="","",'Data Entry'!B1205)</f>
        <v/>
      </c>
      <c r="C1205" s="12">
        <f>IF('Data Entry'!A1205="","",'Data Entry'!C1205)</f>
        <v/>
      </c>
      <c r="D1205" s="12">
        <f>IF('Data Entry'!A1205="","",'Data Entry'!D1205)</f>
        <v/>
      </c>
      <c r="E1205" s="12">
        <f>IF('Data Entry'!A1205="","",'Data Entry'!E1205)</f>
        <v/>
      </c>
      <c r="F1205" s="12">
        <f>IF('Data Entry'!A1205="","",'Data Entry'!F1205)</f>
        <v/>
      </c>
      <c r="G1205" s="13">
        <f>IF('Data Entry'!A1205="","",'Data Entry'!G1205)</f>
        <v/>
      </c>
      <c r="H1205" s="10">
        <f>IF('Data Entry'!A1205="","",'Data Entry'!H1205)</f>
        <v/>
      </c>
      <c r="I1205" s="10">
        <f>IF('Data Entry'!A1205="","",'Data Entry'!I1205)</f>
        <v/>
      </c>
      <c r="J1205" s="12">
        <f>IF('Data Entry'!A1205="","",IF('Data Entry'!D1205&lt;&gt;"",'Data Entry'!D1205,'Data Entry'!E1205))</f>
        <v/>
      </c>
      <c r="K1205" s="10">
        <f>IF('Data Entry'!A1205="","",IFERROR(SUMIFS($H$5:$H$2001,$J$5:$J$2001,$J1205,$B$5:$B$2001,$B1205,$A$5:$A$2001,(MAXIFS($A$5:$A$2001,$J$5:$J$2001,$J1205,$B$5:$B$2001,$B1205,$A$5:$A$2001,"&lt;"&amp;$A1205))),""))</f>
        <v/>
      </c>
      <c r="L1205" s="14">
        <f>IF(OR('Data Entry'!A1205="",$K1205=""),"",$H1205-$K1205)</f>
        <v/>
      </c>
      <c r="M1205" s="15">
        <f>IF(OR('Data Entry'!A1205="",$K1205="",$K1205=0),"",$L1205/$K1205)</f>
        <v/>
      </c>
      <c r="N1205" s="12">
        <f>IF('Data Entry'!A1205="","",IF($L1205="","New item",IF($L1205&gt;0,"UP",IF($L1205&lt;0,"down","same"))))</f>
        <v/>
      </c>
    </row>
    <row r="1206">
      <c r="A1206" s="11">
        <f>IF('Data Entry'!A1206="","",'Data Entry'!A1206)</f>
        <v/>
      </c>
      <c r="B1206" s="12">
        <f>IF('Data Entry'!A1206="","",'Data Entry'!B1206)</f>
        <v/>
      </c>
      <c r="C1206" s="12">
        <f>IF('Data Entry'!A1206="","",'Data Entry'!C1206)</f>
        <v/>
      </c>
      <c r="D1206" s="12">
        <f>IF('Data Entry'!A1206="","",'Data Entry'!D1206)</f>
        <v/>
      </c>
      <c r="E1206" s="12">
        <f>IF('Data Entry'!A1206="","",'Data Entry'!E1206)</f>
        <v/>
      </c>
      <c r="F1206" s="12">
        <f>IF('Data Entry'!A1206="","",'Data Entry'!F1206)</f>
        <v/>
      </c>
      <c r="G1206" s="13">
        <f>IF('Data Entry'!A1206="","",'Data Entry'!G1206)</f>
        <v/>
      </c>
      <c r="H1206" s="10">
        <f>IF('Data Entry'!A1206="","",'Data Entry'!H1206)</f>
        <v/>
      </c>
      <c r="I1206" s="10">
        <f>IF('Data Entry'!A1206="","",'Data Entry'!I1206)</f>
        <v/>
      </c>
      <c r="J1206" s="12">
        <f>IF('Data Entry'!A1206="","",IF('Data Entry'!D1206&lt;&gt;"",'Data Entry'!D1206,'Data Entry'!E1206))</f>
        <v/>
      </c>
      <c r="K1206" s="10">
        <f>IF('Data Entry'!A1206="","",IFERROR(SUMIFS($H$5:$H$2001,$J$5:$J$2001,$J1206,$B$5:$B$2001,$B1206,$A$5:$A$2001,(MAXIFS($A$5:$A$2001,$J$5:$J$2001,$J1206,$B$5:$B$2001,$B1206,$A$5:$A$2001,"&lt;"&amp;$A1206))),""))</f>
        <v/>
      </c>
      <c r="L1206" s="14">
        <f>IF(OR('Data Entry'!A1206="",$K1206=""),"",$H1206-$K1206)</f>
        <v/>
      </c>
      <c r="M1206" s="15">
        <f>IF(OR('Data Entry'!A1206="",$K1206="",$K1206=0),"",$L1206/$K1206)</f>
        <v/>
      </c>
      <c r="N1206" s="12">
        <f>IF('Data Entry'!A1206="","",IF($L1206="","New item",IF($L1206&gt;0,"UP",IF($L1206&lt;0,"down","same"))))</f>
        <v/>
      </c>
    </row>
    <row r="1207">
      <c r="A1207" s="11">
        <f>IF('Data Entry'!A1207="","",'Data Entry'!A1207)</f>
        <v/>
      </c>
      <c r="B1207" s="12">
        <f>IF('Data Entry'!A1207="","",'Data Entry'!B1207)</f>
        <v/>
      </c>
      <c r="C1207" s="12">
        <f>IF('Data Entry'!A1207="","",'Data Entry'!C1207)</f>
        <v/>
      </c>
      <c r="D1207" s="12">
        <f>IF('Data Entry'!A1207="","",'Data Entry'!D1207)</f>
        <v/>
      </c>
      <c r="E1207" s="12">
        <f>IF('Data Entry'!A1207="","",'Data Entry'!E1207)</f>
        <v/>
      </c>
      <c r="F1207" s="12">
        <f>IF('Data Entry'!A1207="","",'Data Entry'!F1207)</f>
        <v/>
      </c>
      <c r="G1207" s="13">
        <f>IF('Data Entry'!A1207="","",'Data Entry'!G1207)</f>
        <v/>
      </c>
      <c r="H1207" s="10">
        <f>IF('Data Entry'!A1207="","",'Data Entry'!H1207)</f>
        <v/>
      </c>
      <c r="I1207" s="10">
        <f>IF('Data Entry'!A1207="","",'Data Entry'!I1207)</f>
        <v/>
      </c>
      <c r="J1207" s="12">
        <f>IF('Data Entry'!A1207="","",IF('Data Entry'!D1207&lt;&gt;"",'Data Entry'!D1207,'Data Entry'!E1207))</f>
        <v/>
      </c>
      <c r="K1207" s="10">
        <f>IF('Data Entry'!A1207="","",IFERROR(SUMIFS($H$5:$H$2001,$J$5:$J$2001,$J1207,$B$5:$B$2001,$B1207,$A$5:$A$2001,(MAXIFS($A$5:$A$2001,$J$5:$J$2001,$J1207,$B$5:$B$2001,$B1207,$A$5:$A$2001,"&lt;"&amp;$A1207))),""))</f>
        <v/>
      </c>
      <c r="L1207" s="14">
        <f>IF(OR('Data Entry'!A1207="",$K1207=""),"",$H1207-$K1207)</f>
        <v/>
      </c>
      <c r="M1207" s="15">
        <f>IF(OR('Data Entry'!A1207="",$K1207="",$K1207=0),"",$L1207/$K1207)</f>
        <v/>
      </c>
      <c r="N1207" s="12">
        <f>IF('Data Entry'!A1207="","",IF($L1207="","New item",IF($L1207&gt;0,"UP",IF($L1207&lt;0,"down","same"))))</f>
        <v/>
      </c>
    </row>
    <row r="1208">
      <c r="A1208" s="11">
        <f>IF('Data Entry'!A1208="","",'Data Entry'!A1208)</f>
        <v/>
      </c>
      <c r="B1208" s="12">
        <f>IF('Data Entry'!A1208="","",'Data Entry'!B1208)</f>
        <v/>
      </c>
      <c r="C1208" s="12">
        <f>IF('Data Entry'!A1208="","",'Data Entry'!C1208)</f>
        <v/>
      </c>
      <c r="D1208" s="12">
        <f>IF('Data Entry'!A1208="","",'Data Entry'!D1208)</f>
        <v/>
      </c>
      <c r="E1208" s="12">
        <f>IF('Data Entry'!A1208="","",'Data Entry'!E1208)</f>
        <v/>
      </c>
      <c r="F1208" s="12">
        <f>IF('Data Entry'!A1208="","",'Data Entry'!F1208)</f>
        <v/>
      </c>
      <c r="G1208" s="13">
        <f>IF('Data Entry'!A1208="","",'Data Entry'!G1208)</f>
        <v/>
      </c>
      <c r="H1208" s="10">
        <f>IF('Data Entry'!A1208="","",'Data Entry'!H1208)</f>
        <v/>
      </c>
      <c r="I1208" s="10">
        <f>IF('Data Entry'!A1208="","",'Data Entry'!I1208)</f>
        <v/>
      </c>
      <c r="J1208" s="12">
        <f>IF('Data Entry'!A1208="","",IF('Data Entry'!D1208&lt;&gt;"",'Data Entry'!D1208,'Data Entry'!E1208))</f>
        <v/>
      </c>
      <c r="K1208" s="10">
        <f>IF('Data Entry'!A1208="","",IFERROR(SUMIFS($H$5:$H$2001,$J$5:$J$2001,$J1208,$B$5:$B$2001,$B1208,$A$5:$A$2001,(MAXIFS($A$5:$A$2001,$J$5:$J$2001,$J1208,$B$5:$B$2001,$B1208,$A$5:$A$2001,"&lt;"&amp;$A1208))),""))</f>
        <v/>
      </c>
      <c r="L1208" s="14">
        <f>IF(OR('Data Entry'!A1208="",$K1208=""),"",$H1208-$K1208)</f>
        <v/>
      </c>
      <c r="M1208" s="15">
        <f>IF(OR('Data Entry'!A1208="",$K1208="",$K1208=0),"",$L1208/$K1208)</f>
        <v/>
      </c>
      <c r="N1208" s="12">
        <f>IF('Data Entry'!A1208="","",IF($L1208="","New item",IF($L1208&gt;0,"UP",IF($L1208&lt;0,"down","same"))))</f>
        <v/>
      </c>
    </row>
    <row r="1209">
      <c r="A1209" s="11">
        <f>IF('Data Entry'!A1209="","",'Data Entry'!A1209)</f>
        <v/>
      </c>
      <c r="B1209" s="12">
        <f>IF('Data Entry'!A1209="","",'Data Entry'!B1209)</f>
        <v/>
      </c>
      <c r="C1209" s="12">
        <f>IF('Data Entry'!A1209="","",'Data Entry'!C1209)</f>
        <v/>
      </c>
      <c r="D1209" s="12">
        <f>IF('Data Entry'!A1209="","",'Data Entry'!D1209)</f>
        <v/>
      </c>
      <c r="E1209" s="12">
        <f>IF('Data Entry'!A1209="","",'Data Entry'!E1209)</f>
        <v/>
      </c>
      <c r="F1209" s="12">
        <f>IF('Data Entry'!A1209="","",'Data Entry'!F1209)</f>
        <v/>
      </c>
      <c r="G1209" s="13">
        <f>IF('Data Entry'!A1209="","",'Data Entry'!G1209)</f>
        <v/>
      </c>
      <c r="H1209" s="10">
        <f>IF('Data Entry'!A1209="","",'Data Entry'!H1209)</f>
        <v/>
      </c>
      <c r="I1209" s="10">
        <f>IF('Data Entry'!A1209="","",'Data Entry'!I1209)</f>
        <v/>
      </c>
      <c r="J1209" s="12">
        <f>IF('Data Entry'!A1209="","",IF('Data Entry'!D1209&lt;&gt;"",'Data Entry'!D1209,'Data Entry'!E1209))</f>
        <v/>
      </c>
      <c r="K1209" s="10">
        <f>IF('Data Entry'!A1209="","",IFERROR(SUMIFS($H$5:$H$2001,$J$5:$J$2001,$J1209,$B$5:$B$2001,$B1209,$A$5:$A$2001,(MAXIFS($A$5:$A$2001,$J$5:$J$2001,$J1209,$B$5:$B$2001,$B1209,$A$5:$A$2001,"&lt;"&amp;$A1209))),""))</f>
        <v/>
      </c>
      <c r="L1209" s="14">
        <f>IF(OR('Data Entry'!A1209="",$K1209=""),"",$H1209-$K1209)</f>
        <v/>
      </c>
      <c r="M1209" s="15">
        <f>IF(OR('Data Entry'!A1209="",$K1209="",$K1209=0),"",$L1209/$K1209)</f>
        <v/>
      </c>
      <c r="N1209" s="12">
        <f>IF('Data Entry'!A1209="","",IF($L1209="","New item",IF($L1209&gt;0,"UP",IF($L1209&lt;0,"down","same"))))</f>
        <v/>
      </c>
    </row>
    <row r="1210">
      <c r="A1210" s="11">
        <f>IF('Data Entry'!A1210="","",'Data Entry'!A1210)</f>
        <v/>
      </c>
      <c r="B1210" s="12">
        <f>IF('Data Entry'!A1210="","",'Data Entry'!B1210)</f>
        <v/>
      </c>
      <c r="C1210" s="12">
        <f>IF('Data Entry'!A1210="","",'Data Entry'!C1210)</f>
        <v/>
      </c>
      <c r="D1210" s="12">
        <f>IF('Data Entry'!A1210="","",'Data Entry'!D1210)</f>
        <v/>
      </c>
      <c r="E1210" s="12">
        <f>IF('Data Entry'!A1210="","",'Data Entry'!E1210)</f>
        <v/>
      </c>
      <c r="F1210" s="12">
        <f>IF('Data Entry'!A1210="","",'Data Entry'!F1210)</f>
        <v/>
      </c>
      <c r="G1210" s="13">
        <f>IF('Data Entry'!A1210="","",'Data Entry'!G1210)</f>
        <v/>
      </c>
      <c r="H1210" s="10">
        <f>IF('Data Entry'!A1210="","",'Data Entry'!H1210)</f>
        <v/>
      </c>
      <c r="I1210" s="10">
        <f>IF('Data Entry'!A1210="","",'Data Entry'!I1210)</f>
        <v/>
      </c>
      <c r="J1210" s="12">
        <f>IF('Data Entry'!A1210="","",IF('Data Entry'!D1210&lt;&gt;"",'Data Entry'!D1210,'Data Entry'!E1210))</f>
        <v/>
      </c>
      <c r="K1210" s="10">
        <f>IF('Data Entry'!A1210="","",IFERROR(SUMIFS($H$5:$H$2001,$J$5:$J$2001,$J1210,$B$5:$B$2001,$B1210,$A$5:$A$2001,(MAXIFS($A$5:$A$2001,$J$5:$J$2001,$J1210,$B$5:$B$2001,$B1210,$A$5:$A$2001,"&lt;"&amp;$A1210))),""))</f>
        <v/>
      </c>
      <c r="L1210" s="14">
        <f>IF(OR('Data Entry'!A1210="",$K1210=""),"",$H1210-$K1210)</f>
        <v/>
      </c>
      <c r="M1210" s="15">
        <f>IF(OR('Data Entry'!A1210="",$K1210="",$K1210=0),"",$L1210/$K1210)</f>
        <v/>
      </c>
      <c r="N1210" s="12">
        <f>IF('Data Entry'!A1210="","",IF($L1210="","New item",IF($L1210&gt;0,"UP",IF($L1210&lt;0,"down","same"))))</f>
        <v/>
      </c>
    </row>
    <row r="1211">
      <c r="A1211" s="11">
        <f>IF('Data Entry'!A1211="","",'Data Entry'!A1211)</f>
        <v/>
      </c>
      <c r="B1211" s="12">
        <f>IF('Data Entry'!A1211="","",'Data Entry'!B1211)</f>
        <v/>
      </c>
      <c r="C1211" s="12">
        <f>IF('Data Entry'!A1211="","",'Data Entry'!C1211)</f>
        <v/>
      </c>
      <c r="D1211" s="12">
        <f>IF('Data Entry'!A1211="","",'Data Entry'!D1211)</f>
        <v/>
      </c>
      <c r="E1211" s="12">
        <f>IF('Data Entry'!A1211="","",'Data Entry'!E1211)</f>
        <v/>
      </c>
      <c r="F1211" s="12">
        <f>IF('Data Entry'!A1211="","",'Data Entry'!F1211)</f>
        <v/>
      </c>
      <c r="G1211" s="13">
        <f>IF('Data Entry'!A1211="","",'Data Entry'!G1211)</f>
        <v/>
      </c>
      <c r="H1211" s="10">
        <f>IF('Data Entry'!A1211="","",'Data Entry'!H1211)</f>
        <v/>
      </c>
      <c r="I1211" s="10">
        <f>IF('Data Entry'!A1211="","",'Data Entry'!I1211)</f>
        <v/>
      </c>
      <c r="J1211" s="12">
        <f>IF('Data Entry'!A1211="","",IF('Data Entry'!D1211&lt;&gt;"",'Data Entry'!D1211,'Data Entry'!E1211))</f>
        <v/>
      </c>
      <c r="K1211" s="10">
        <f>IF('Data Entry'!A1211="","",IFERROR(SUMIFS($H$5:$H$2001,$J$5:$J$2001,$J1211,$B$5:$B$2001,$B1211,$A$5:$A$2001,(MAXIFS($A$5:$A$2001,$J$5:$J$2001,$J1211,$B$5:$B$2001,$B1211,$A$5:$A$2001,"&lt;"&amp;$A1211))),""))</f>
        <v/>
      </c>
      <c r="L1211" s="14">
        <f>IF(OR('Data Entry'!A1211="",$K1211=""),"",$H1211-$K1211)</f>
        <v/>
      </c>
      <c r="M1211" s="15">
        <f>IF(OR('Data Entry'!A1211="",$K1211="",$K1211=0),"",$L1211/$K1211)</f>
        <v/>
      </c>
      <c r="N1211" s="12">
        <f>IF('Data Entry'!A1211="","",IF($L1211="","New item",IF($L1211&gt;0,"UP",IF($L1211&lt;0,"down","same"))))</f>
        <v/>
      </c>
    </row>
    <row r="1212">
      <c r="A1212" s="11">
        <f>IF('Data Entry'!A1212="","",'Data Entry'!A1212)</f>
        <v/>
      </c>
      <c r="B1212" s="12">
        <f>IF('Data Entry'!A1212="","",'Data Entry'!B1212)</f>
        <v/>
      </c>
      <c r="C1212" s="12">
        <f>IF('Data Entry'!A1212="","",'Data Entry'!C1212)</f>
        <v/>
      </c>
      <c r="D1212" s="12">
        <f>IF('Data Entry'!A1212="","",'Data Entry'!D1212)</f>
        <v/>
      </c>
      <c r="E1212" s="12">
        <f>IF('Data Entry'!A1212="","",'Data Entry'!E1212)</f>
        <v/>
      </c>
      <c r="F1212" s="12">
        <f>IF('Data Entry'!A1212="","",'Data Entry'!F1212)</f>
        <v/>
      </c>
      <c r="G1212" s="13">
        <f>IF('Data Entry'!A1212="","",'Data Entry'!G1212)</f>
        <v/>
      </c>
      <c r="H1212" s="10">
        <f>IF('Data Entry'!A1212="","",'Data Entry'!H1212)</f>
        <v/>
      </c>
      <c r="I1212" s="10">
        <f>IF('Data Entry'!A1212="","",'Data Entry'!I1212)</f>
        <v/>
      </c>
      <c r="J1212" s="12">
        <f>IF('Data Entry'!A1212="","",IF('Data Entry'!D1212&lt;&gt;"",'Data Entry'!D1212,'Data Entry'!E1212))</f>
        <v/>
      </c>
      <c r="K1212" s="10">
        <f>IF('Data Entry'!A1212="","",IFERROR(SUMIFS($H$5:$H$2001,$J$5:$J$2001,$J1212,$B$5:$B$2001,$B1212,$A$5:$A$2001,(MAXIFS($A$5:$A$2001,$J$5:$J$2001,$J1212,$B$5:$B$2001,$B1212,$A$5:$A$2001,"&lt;"&amp;$A1212))),""))</f>
        <v/>
      </c>
      <c r="L1212" s="14">
        <f>IF(OR('Data Entry'!A1212="",$K1212=""),"",$H1212-$K1212)</f>
        <v/>
      </c>
      <c r="M1212" s="15">
        <f>IF(OR('Data Entry'!A1212="",$K1212="",$K1212=0),"",$L1212/$K1212)</f>
        <v/>
      </c>
      <c r="N1212" s="12">
        <f>IF('Data Entry'!A1212="","",IF($L1212="","New item",IF($L1212&gt;0,"UP",IF($L1212&lt;0,"down","same"))))</f>
        <v/>
      </c>
    </row>
    <row r="1213">
      <c r="A1213" s="11">
        <f>IF('Data Entry'!A1213="","",'Data Entry'!A1213)</f>
        <v/>
      </c>
      <c r="B1213" s="12">
        <f>IF('Data Entry'!A1213="","",'Data Entry'!B1213)</f>
        <v/>
      </c>
      <c r="C1213" s="12">
        <f>IF('Data Entry'!A1213="","",'Data Entry'!C1213)</f>
        <v/>
      </c>
      <c r="D1213" s="12">
        <f>IF('Data Entry'!A1213="","",'Data Entry'!D1213)</f>
        <v/>
      </c>
      <c r="E1213" s="12">
        <f>IF('Data Entry'!A1213="","",'Data Entry'!E1213)</f>
        <v/>
      </c>
      <c r="F1213" s="12">
        <f>IF('Data Entry'!A1213="","",'Data Entry'!F1213)</f>
        <v/>
      </c>
      <c r="G1213" s="13">
        <f>IF('Data Entry'!A1213="","",'Data Entry'!G1213)</f>
        <v/>
      </c>
      <c r="H1213" s="10">
        <f>IF('Data Entry'!A1213="","",'Data Entry'!H1213)</f>
        <v/>
      </c>
      <c r="I1213" s="10">
        <f>IF('Data Entry'!A1213="","",'Data Entry'!I1213)</f>
        <v/>
      </c>
      <c r="J1213" s="12">
        <f>IF('Data Entry'!A1213="","",IF('Data Entry'!D1213&lt;&gt;"",'Data Entry'!D1213,'Data Entry'!E1213))</f>
        <v/>
      </c>
      <c r="K1213" s="10">
        <f>IF('Data Entry'!A1213="","",IFERROR(SUMIFS($H$5:$H$2001,$J$5:$J$2001,$J1213,$B$5:$B$2001,$B1213,$A$5:$A$2001,(MAXIFS($A$5:$A$2001,$J$5:$J$2001,$J1213,$B$5:$B$2001,$B1213,$A$5:$A$2001,"&lt;"&amp;$A1213))),""))</f>
        <v/>
      </c>
      <c r="L1213" s="14">
        <f>IF(OR('Data Entry'!A1213="",$K1213=""),"",$H1213-$K1213)</f>
        <v/>
      </c>
      <c r="M1213" s="15">
        <f>IF(OR('Data Entry'!A1213="",$K1213="",$K1213=0),"",$L1213/$K1213)</f>
        <v/>
      </c>
      <c r="N1213" s="12">
        <f>IF('Data Entry'!A1213="","",IF($L1213="","New item",IF($L1213&gt;0,"UP",IF($L1213&lt;0,"down","same"))))</f>
        <v/>
      </c>
    </row>
    <row r="1214">
      <c r="A1214" s="11">
        <f>IF('Data Entry'!A1214="","",'Data Entry'!A1214)</f>
        <v/>
      </c>
      <c r="B1214" s="12">
        <f>IF('Data Entry'!A1214="","",'Data Entry'!B1214)</f>
        <v/>
      </c>
      <c r="C1214" s="12">
        <f>IF('Data Entry'!A1214="","",'Data Entry'!C1214)</f>
        <v/>
      </c>
      <c r="D1214" s="12">
        <f>IF('Data Entry'!A1214="","",'Data Entry'!D1214)</f>
        <v/>
      </c>
      <c r="E1214" s="12">
        <f>IF('Data Entry'!A1214="","",'Data Entry'!E1214)</f>
        <v/>
      </c>
      <c r="F1214" s="12">
        <f>IF('Data Entry'!A1214="","",'Data Entry'!F1214)</f>
        <v/>
      </c>
      <c r="G1214" s="13">
        <f>IF('Data Entry'!A1214="","",'Data Entry'!G1214)</f>
        <v/>
      </c>
      <c r="H1214" s="10">
        <f>IF('Data Entry'!A1214="","",'Data Entry'!H1214)</f>
        <v/>
      </c>
      <c r="I1214" s="10">
        <f>IF('Data Entry'!A1214="","",'Data Entry'!I1214)</f>
        <v/>
      </c>
      <c r="J1214" s="12">
        <f>IF('Data Entry'!A1214="","",IF('Data Entry'!D1214&lt;&gt;"",'Data Entry'!D1214,'Data Entry'!E1214))</f>
        <v/>
      </c>
      <c r="K1214" s="10">
        <f>IF('Data Entry'!A1214="","",IFERROR(SUMIFS($H$5:$H$2001,$J$5:$J$2001,$J1214,$B$5:$B$2001,$B1214,$A$5:$A$2001,(MAXIFS($A$5:$A$2001,$J$5:$J$2001,$J1214,$B$5:$B$2001,$B1214,$A$5:$A$2001,"&lt;"&amp;$A1214))),""))</f>
        <v/>
      </c>
      <c r="L1214" s="14">
        <f>IF(OR('Data Entry'!A1214="",$K1214=""),"",$H1214-$K1214)</f>
        <v/>
      </c>
      <c r="M1214" s="15">
        <f>IF(OR('Data Entry'!A1214="",$K1214="",$K1214=0),"",$L1214/$K1214)</f>
        <v/>
      </c>
      <c r="N1214" s="12">
        <f>IF('Data Entry'!A1214="","",IF($L1214="","New item",IF($L1214&gt;0,"UP",IF($L1214&lt;0,"down","same"))))</f>
        <v/>
      </c>
    </row>
    <row r="1215">
      <c r="A1215" s="11">
        <f>IF('Data Entry'!A1215="","",'Data Entry'!A1215)</f>
        <v/>
      </c>
      <c r="B1215" s="12">
        <f>IF('Data Entry'!A1215="","",'Data Entry'!B1215)</f>
        <v/>
      </c>
      <c r="C1215" s="12">
        <f>IF('Data Entry'!A1215="","",'Data Entry'!C1215)</f>
        <v/>
      </c>
      <c r="D1215" s="12">
        <f>IF('Data Entry'!A1215="","",'Data Entry'!D1215)</f>
        <v/>
      </c>
      <c r="E1215" s="12">
        <f>IF('Data Entry'!A1215="","",'Data Entry'!E1215)</f>
        <v/>
      </c>
      <c r="F1215" s="12">
        <f>IF('Data Entry'!A1215="","",'Data Entry'!F1215)</f>
        <v/>
      </c>
      <c r="G1215" s="13">
        <f>IF('Data Entry'!A1215="","",'Data Entry'!G1215)</f>
        <v/>
      </c>
      <c r="H1215" s="10">
        <f>IF('Data Entry'!A1215="","",'Data Entry'!H1215)</f>
        <v/>
      </c>
      <c r="I1215" s="10">
        <f>IF('Data Entry'!A1215="","",'Data Entry'!I1215)</f>
        <v/>
      </c>
      <c r="J1215" s="12">
        <f>IF('Data Entry'!A1215="","",IF('Data Entry'!D1215&lt;&gt;"",'Data Entry'!D1215,'Data Entry'!E1215))</f>
        <v/>
      </c>
      <c r="K1215" s="10">
        <f>IF('Data Entry'!A1215="","",IFERROR(SUMIFS($H$5:$H$2001,$J$5:$J$2001,$J1215,$B$5:$B$2001,$B1215,$A$5:$A$2001,(MAXIFS($A$5:$A$2001,$J$5:$J$2001,$J1215,$B$5:$B$2001,$B1215,$A$5:$A$2001,"&lt;"&amp;$A1215))),""))</f>
        <v/>
      </c>
      <c r="L1215" s="14">
        <f>IF(OR('Data Entry'!A1215="",$K1215=""),"",$H1215-$K1215)</f>
        <v/>
      </c>
      <c r="M1215" s="15">
        <f>IF(OR('Data Entry'!A1215="",$K1215="",$K1215=0),"",$L1215/$K1215)</f>
        <v/>
      </c>
      <c r="N1215" s="12">
        <f>IF('Data Entry'!A1215="","",IF($L1215="","New item",IF($L1215&gt;0,"UP",IF($L1215&lt;0,"down","same"))))</f>
        <v/>
      </c>
    </row>
    <row r="1216">
      <c r="A1216" s="11">
        <f>IF('Data Entry'!A1216="","",'Data Entry'!A1216)</f>
        <v/>
      </c>
      <c r="B1216" s="12">
        <f>IF('Data Entry'!A1216="","",'Data Entry'!B1216)</f>
        <v/>
      </c>
      <c r="C1216" s="12">
        <f>IF('Data Entry'!A1216="","",'Data Entry'!C1216)</f>
        <v/>
      </c>
      <c r="D1216" s="12">
        <f>IF('Data Entry'!A1216="","",'Data Entry'!D1216)</f>
        <v/>
      </c>
      <c r="E1216" s="12">
        <f>IF('Data Entry'!A1216="","",'Data Entry'!E1216)</f>
        <v/>
      </c>
      <c r="F1216" s="12">
        <f>IF('Data Entry'!A1216="","",'Data Entry'!F1216)</f>
        <v/>
      </c>
      <c r="G1216" s="13">
        <f>IF('Data Entry'!A1216="","",'Data Entry'!G1216)</f>
        <v/>
      </c>
      <c r="H1216" s="10">
        <f>IF('Data Entry'!A1216="","",'Data Entry'!H1216)</f>
        <v/>
      </c>
      <c r="I1216" s="10">
        <f>IF('Data Entry'!A1216="","",'Data Entry'!I1216)</f>
        <v/>
      </c>
      <c r="J1216" s="12">
        <f>IF('Data Entry'!A1216="","",IF('Data Entry'!D1216&lt;&gt;"",'Data Entry'!D1216,'Data Entry'!E1216))</f>
        <v/>
      </c>
      <c r="K1216" s="10">
        <f>IF('Data Entry'!A1216="","",IFERROR(SUMIFS($H$5:$H$2001,$J$5:$J$2001,$J1216,$B$5:$B$2001,$B1216,$A$5:$A$2001,(MAXIFS($A$5:$A$2001,$J$5:$J$2001,$J1216,$B$5:$B$2001,$B1216,$A$5:$A$2001,"&lt;"&amp;$A1216))),""))</f>
        <v/>
      </c>
      <c r="L1216" s="14">
        <f>IF(OR('Data Entry'!A1216="",$K1216=""),"",$H1216-$K1216)</f>
        <v/>
      </c>
      <c r="M1216" s="15">
        <f>IF(OR('Data Entry'!A1216="",$K1216="",$K1216=0),"",$L1216/$K1216)</f>
        <v/>
      </c>
      <c r="N1216" s="12">
        <f>IF('Data Entry'!A1216="","",IF($L1216="","New item",IF($L1216&gt;0,"UP",IF($L1216&lt;0,"down","same"))))</f>
        <v/>
      </c>
    </row>
    <row r="1217">
      <c r="A1217" s="11">
        <f>IF('Data Entry'!A1217="","",'Data Entry'!A1217)</f>
        <v/>
      </c>
      <c r="B1217" s="12">
        <f>IF('Data Entry'!A1217="","",'Data Entry'!B1217)</f>
        <v/>
      </c>
      <c r="C1217" s="12">
        <f>IF('Data Entry'!A1217="","",'Data Entry'!C1217)</f>
        <v/>
      </c>
      <c r="D1217" s="12">
        <f>IF('Data Entry'!A1217="","",'Data Entry'!D1217)</f>
        <v/>
      </c>
      <c r="E1217" s="12">
        <f>IF('Data Entry'!A1217="","",'Data Entry'!E1217)</f>
        <v/>
      </c>
      <c r="F1217" s="12">
        <f>IF('Data Entry'!A1217="","",'Data Entry'!F1217)</f>
        <v/>
      </c>
      <c r="G1217" s="13">
        <f>IF('Data Entry'!A1217="","",'Data Entry'!G1217)</f>
        <v/>
      </c>
      <c r="H1217" s="10">
        <f>IF('Data Entry'!A1217="","",'Data Entry'!H1217)</f>
        <v/>
      </c>
      <c r="I1217" s="10">
        <f>IF('Data Entry'!A1217="","",'Data Entry'!I1217)</f>
        <v/>
      </c>
      <c r="J1217" s="12">
        <f>IF('Data Entry'!A1217="","",IF('Data Entry'!D1217&lt;&gt;"",'Data Entry'!D1217,'Data Entry'!E1217))</f>
        <v/>
      </c>
      <c r="K1217" s="10">
        <f>IF('Data Entry'!A1217="","",IFERROR(SUMIFS($H$5:$H$2001,$J$5:$J$2001,$J1217,$B$5:$B$2001,$B1217,$A$5:$A$2001,(MAXIFS($A$5:$A$2001,$J$5:$J$2001,$J1217,$B$5:$B$2001,$B1217,$A$5:$A$2001,"&lt;"&amp;$A1217))),""))</f>
        <v/>
      </c>
      <c r="L1217" s="14">
        <f>IF(OR('Data Entry'!A1217="",$K1217=""),"",$H1217-$K1217)</f>
        <v/>
      </c>
      <c r="M1217" s="15">
        <f>IF(OR('Data Entry'!A1217="",$K1217="",$K1217=0),"",$L1217/$K1217)</f>
        <v/>
      </c>
      <c r="N1217" s="12">
        <f>IF('Data Entry'!A1217="","",IF($L1217="","New item",IF($L1217&gt;0,"UP",IF($L1217&lt;0,"down","same"))))</f>
        <v/>
      </c>
    </row>
    <row r="1218">
      <c r="A1218" s="11">
        <f>IF('Data Entry'!A1218="","",'Data Entry'!A1218)</f>
        <v/>
      </c>
      <c r="B1218" s="12">
        <f>IF('Data Entry'!A1218="","",'Data Entry'!B1218)</f>
        <v/>
      </c>
      <c r="C1218" s="12">
        <f>IF('Data Entry'!A1218="","",'Data Entry'!C1218)</f>
        <v/>
      </c>
      <c r="D1218" s="12">
        <f>IF('Data Entry'!A1218="","",'Data Entry'!D1218)</f>
        <v/>
      </c>
      <c r="E1218" s="12">
        <f>IF('Data Entry'!A1218="","",'Data Entry'!E1218)</f>
        <v/>
      </c>
      <c r="F1218" s="12">
        <f>IF('Data Entry'!A1218="","",'Data Entry'!F1218)</f>
        <v/>
      </c>
      <c r="G1218" s="13">
        <f>IF('Data Entry'!A1218="","",'Data Entry'!G1218)</f>
        <v/>
      </c>
      <c r="H1218" s="10">
        <f>IF('Data Entry'!A1218="","",'Data Entry'!H1218)</f>
        <v/>
      </c>
      <c r="I1218" s="10">
        <f>IF('Data Entry'!A1218="","",'Data Entry'!I1218)</f>
        <v/>
      </c>
      <c r="J1218" s="12">
        <f>IF('Data Entry'!A1218="","",IF('Data Entry'!D1218&lt;&gt;"",'Data Entry'!D1218,'Data Entry'!E1218))</f>
        <v/>
      </c>
      <c r="K1218" s="10">
        <f>IF('Data Entry'!A1218="","",IFERROR(SUMIFS($H$5:$H$2001,$J$5:$J$2001,$J1218,$B$5:$B$2001,$B1218,$A$5:$A$2001,(MAXIFS($A$5:$A$2001,$J$5:$J$2001,$J1218,$B$5:$B$2001,$B1218,$A$5:$A$2001,"&lt;"&amp;$A1218))),""))</f>
        <v/>
      </c>
      <c r="L1218" s="14">
        <f>IF(OR('Data Entry'!A1218="",$K1218=""),"",$H1218-$K1218)</f>
        <v/>
      </c>
      <c r="M1218" s="15">
        <f>IF(OR('Data Entry'!A1218="",$K1218="",$K1218=0),"",$L1218/$K1218)</f>
        <v/>
      </c>
      <c r="N1218" s="12">
        <f>IF('Data Entry'!A1218="","",IF($L1218="","New item",IF($L1218&gt;0,"UP",IF($L1218&lt;0,"down","same"))))</f>
        <v/>
      </c>
    </row>
    <row r="1219">
      <c r="A1219" s="11">
        <f>IF('Data Entry'!A1219="","",'Data Entry'!A1219)</f>
        <v/>
      </c>
      <c r="B1219" s="12">
        <f>IF('Data Entry'!A1219="","",'Data Entry'!B1219)</f>
        <v/>
      </c>
      <c r="C1219" s="12">
        <f>IF('Data Entry'!A1219="","",'Data Entry'!C1219)</f>
        <v/>
      </c>
      <c r="D1219" s="12">
        <f>IF('Data Entry'!A1219="","",'Data Entry'!D1219)</f>
        <v/>
      </c>
      <c r="E1219" s="12">
        <f>IF('Data Entry'!A1219="","",'Data Entry'!E1219)</f>
        <v/>
      </c>
      <c r="F1219" s="12">
        <f>IF('Data Entry'!A1219="","",'Data Entry'!F1219)</f>
        <v/>
      </c>
      <c r="G1219" s="13">
        <f>IF('Data Entry'!A1219="","",'Data Entry'!G1219)</f>
        <v/>
      </c>
      <c r="H1219" s="10">
        <f>IF('Data Entry'!A1219="","",'Data Entry'!H1219)</f>
        <v/>
      </c>
      <c r="I1219" s="10">
        <f>IF('Data Entry'!A1219="","",'Data Entry'!I1219)</f>
        <v/>
      </c>
      <c r="J1219" s="12">
        <f>IF('Data Entry'!A1219="","",IF('Data Entry'!D1219&lt;&gt;"",'Data Entry'!D1219,'Data Entry'!E1219))</f>
        <v/>
      </c>
      <c r="K1219" s="10">
        <f>IF('Data Entry'!A1219="","",IFERROR(SUMIFS($H$5:$H$2001,$J$5:$J$2001,$J1219,$B$5:$B$2001,$B1219,$A$5:$A$2001,(MAXIFS($A$5:$A$2001,$J$5:$J$2001,$J1219,$B$5:$B$2001,$B1219,$A$5:$A$2001,"&lt;"&amp;$A1219))),""))</f>
        <v/>
      </c>
      <c r="L1219" s="14">
        <f>IF(OR('Data Entry'!A1219="",$K1219=""),"",$H1219-$K1219)</f>
        <v/>
      </c>
      <c r="M1219" s="15">
        <f>IF(OR('Data Entry'!A1219="",$K1219="",$K1219=0),"",$L1219/$K1219)</f>
        <v/>
      </c>
      <c r="N1219" s="12">
        <f>IF('Data Entry'!A1219="","",IF($L1219="","New item",IF($L1219&gt;0,"UP",IF($L1219&lt;0,"down","same"))))</f>
        <v/>
      </c>
    </row>
    <row r="1220">
      <c r="A1220" s="11">
        <f>IF('Data Entry'!A1220="","",'Data Entry'!A1220)</f>
        <v/>
      </c>
      <c r="B1220" s="12">
        <f>IF('Data Entry'!A1220="","",'Data Entry'!B1220)</f>
        <v/>
      </c>
      <c r="C1220" s="12">
        <f>IF('Data Entry'!A1220="","",'Data Entry'!C1220)</f>
        <v/>
      </c>
      <c r="D1220" s="12">
        <f>IF('Data Entry'!A1220="","",'Data Entry'!D1220)</f>
        <v/>
      </c>
      <c r="E1220" s="12">
        <f>IF('Data Entry'!A1220="","",'Data Entry'!E1220)</f>
        <v/>
      </c>
      <c r="F1220" s="12">
        <f>IF('Data Entry'!A1220="","",'Data Entry'!F1220)</f>
        <v/>
      </c>
      <c r="G1220" s="13">
        <f>IF('Data Entry'!A1220="","",'Data Entry'!G1220)</f>
        <v/>
      </c>
      <c r="H1220" s="10">
        <f>IF('Data Entry'!A1220="","",'Data Entry'!H1220)</f>
        <v/>
      </c>
      <c r="I1220" s="10">
        <f>IF('Data Entry'!A1220="","",'Data Entry'!I1220)</f>
        <v/>
      </c>
      <c r="J1220" s="12">
        <f>IF('Data Entry'!A1220="","",IF('Data Entry'!D1220&lt;&gt;"",'Data Entry'!D1220,'Data Entry'!E1220))</f>
        <v/>
      </c>
      <c r="K1220" s="10">
        <f>IF('Data Entry'!A1220="","",IFERROR(SUMIFS($H$5:$H$2001,$J$5:$J$2001,$J1220,$B$5:$B$2001,$B1220,$A$5:$A$2001,(MAXIFS($A$5:$A$2001,$J$5:$J$2001,$J1220,$B$5:$B$2001,$B1220,$A$5:$A$2001,"&lt;"&amp;$A1220))),""))</f>
        <v/>
      </c>
      <c r="L1220" s="14">
        <f>IF(OR('Data Entry'!A1220="",$K1220=""),"",$H1220-$K1220)</f>
        <v/>
      </c>
      <c r="M1220" s="15">
        <f>IF(OR('Data Entry'!A1220="",$K1220="",$K1220=0),"",$L1220/$K1220)</f>
        <v/>
      </c>
      <c r="N1220" s="12">
        <f>IF('Data Entry'!A1220="","",IF($L1220="","New item",IF($L1220&gt;0,"UP",IF($L1220&lt;0,"down","same"))))</f>
        <v/>
      </c>
    </row>
    <row r="1221">
      <c r="A1221" s="11">
        <f>IF('Data Entry'!A1221="","",'Data Entry'!A1221)</f>
        <v/>
      </c>
      <c r="B1221" s="12">
        <f>IF('Data Entry'!A1221="","",'Data Entry'!B1221)</f>
        <v/>
      </c>
      <c r="C1221" s="12">
        <f>IF('Data Entry'!A1221="","",'Data Entry'!C1221)</f>
        <v/>
      </c>
      <c r="D1221" s="12">
        <f>IF('Data Entry'!A1221="","",'Data Entry'!D1221)</f>
        <v/>
      </c>
      <c r="E1221" s="12">
        <f>IF('Data Entry'!A1221="","",'Data Entry'!E1221)</f>
        <v/>
      </c>
      <c r="F1221" s="12">
        <f>IF('Data Entry'!A1221="","",'Data Entry'!F1221)</f>
        <v/>
      </c>
      <c r="G1221" s="13">
        <f>IF('Data Entry'!A1221="","",'Data Entry'!G1221)</f>
        <v/>
      </c>
      <c r="H1221" s="10">
        <f>IF('Data Entry'!A1221="","",'Data Entry'!H1221)</f>
        <v/>
      </c>
      <c r="I1221" s="10">
        <f>IF('Data Entry'!A1221="","",'Data Entry'!I1221)</f>
        <v/>
      </c>
      <c r="J1221" s="12">
        <f>IF('Data Entry'!A1221="","",IF('Data Entry'!D1221&lt;&gt;"",'Data Entry'!D1221,'Data Entry'!E1221))</f>
        <v/>
      </c>
      <c r="K1221" s="10">
        <f>IF('Data Entry'!A1221="","",IFERROR(SUMIFS($H$5:$H$2001,$J$5:$J$2001,$J1221,$B$5:$B$2001,$B1221,$A$5:$A$2001,(MAXIFS($A$5:$A$2001,$J$5:$J$2001,$J1221,$B$5:$B$2001,$B1221,$A$5:$A$2001,"&lt;"&amp;$A1221))),""))</f>
        <v/>
      </c>
      <c r="L1221" s="14">
        <f>IF(OR('Data Entry'!A1221="",$K1221=""),"",$H1221-$K1221)</f>
        <v/>
      </c>
      <c r="M1221" s="15">
        <f>IF(OR('Data Entry'!A1221="",$K1221="",$K1221=0),"",$L1221/$K1221)</f>
        <v/>
      </c>
      <c r="N1221" s="12">
        <f>IF('Data Entry'!A1221="","",IF($L1221="","New item",IF($L1221&gt;0,"UP",IF($L1221&lt;0,"down","same"))))</f>
        <v/>
      </c>
    </row>
    <row r="1222">
      <c r="A1222" s="11">
        <f>IF('Data Entry'!A1222="","",'Data Entry'!A1222)</f>
        <v/>
      </c>
      <c r="B1222" s="12">
        <f>IF('Data Entry'!A1222="","",'Data Entry'!B1222)</f>
        <v/>
      </c>
      <c r="C1222" s="12">
        <f>IF('Data Entry'!A1222="","",'Data Entry'!C1222)</f>
        <v/>
      </c>
      <c r="D1222" s="12">
        <f>IF('Data Entry'!A1222="","",'Data Entry'!D1222)</f>
        <v/>
      </c>
      <c r="E1222" s="12">
        <f>IF('Data Entry'!A1222="","",'Data Entry'!E1222)</f>
        <v/>
      </c>
      <c r="F1222" s="12">
        <f>IF('Data Entry'!A1222="","",'Data Entry'!F1222)</f>
        <v/>
      </c>
      <c r="G1222" s="13">
        <f>IF('Data Entry'!A1222="","",'Data Entry'!G1222)</f>
        <v/>
      </c>
      <c r="H1222" s="10">
        <f>IF('Data Entry'!A1222="","",'Data Entry'!H1222)</f>
        <v/>
      </c>
      <c r="I1222" s="10">
        <f>IF('Data Entry'!A1222="","",'Data Entry'!I1222)</f>
        <v/>
      </c>
      <c r="J1222" s="12">
        <f>IF('Data Entry'!A1222="","",IF('Data Entry'!D1222&lt;&gt;"",'Data Entry'!D1222,'Data Entry'!E1222))</f>
        <v/>
      </c>
      <c r="K1222" s="10">
        <f>IF('Data Entry'!A1222="","",IFERROR(SUMIFS($H$5:$H$2001,$J$5:$J$2001,$J1222,$B$5:$B$2001,$B1222,$A$5:$A$2001,(MAXIFS($A$5:$A$2001,$J$5:$J$2001,$J1222,$B$5:$B$2001,$B1222,$A$5:$A$2001,"&lt;"&amp;$A1222))),""))</f>
        <v/>
      </c>
      <c r="L1222" s="14">
        <f>IF(OR('Data Entry'!A1222="",$K1222=""),"",$H1222-$K1222)</f>
        <v/>
      </c>
      <c r="M1222" s="15">
        <f>IF(OR('Data Entry'!A1222="",$K1222="",$K1222=0),"",$L1222/$K1222)</f>
        <v/>
      </c>
      <c r="N1222" s="12">
        <f>IF('Data Entry'!A1222="","",IF($L1222="","New item",IF($L1222&gt;0,"UP",IF($L1222&lt;0,"down","same"))))</f>
        <v/>
      </c>
    </row>
    <row r="1223">
      <c r="A1223" s="11">
        <f>IF('Data Entry'!A1223="","",'Data Entry'!A1223)</f>
        <v/>
      </c>
      <c r="B1223" s="12">
        <f>IF('Data Entry'!A1223="","",'Data Entry'!B1223)</f>
        <v/>
      </c>
      <c r="C1223" s="12">
        <f>IF('Data Entry'!A1223="","",'Data Entry'!C1223)</f>
        <v/>
      </c>
      <c r="D1223" s="12">
        <f>IF('Data Entry'!A1223="","",'Data Entry'!D1223)</f>
        <v/>
      </c>
      <c r="E1223" s="12">
        <f>IF('Data Entry'!A1223="","",'Data Entry'!E1223)</f>
        <v/>
      </c>
      <c r="F1223" s="12">
        <f>IF('Data Entry'!A1223="","",'Data Entry'!F1223)</f>
        <v/>
      </c>
      <c r="G1223" s="13">
        <f>IF('Data Entry'!A1223="","",'Data Entry'!G1223)</f>
        <v/>
      </c>
      <c r="H1223" s="10">
        <f>IF('Data Entry'!A1223="","",'Data Entry'!H1223)</f>
        <v/>
      </c>
      <c r="I1223" s="10">
        <f>IF('Data Entry'!A1223="","",'Data Entry'!I1223)</f>
        <v/>
      </c>
      <c r="J1223" s="12">
        <f>IF('Data Entry'!A1223="","",IF('Data Entry'!D1223&lt;&gt;"",'Data Entry'!D1223,'Data Entry'!E1223))</f>
        <v/>
      </c>
      <c r="K1223" s="10">
        <f>IF('Data Entry'!A1223="","",IFERROR(SUMIFS($H$5:$H$2001,$J$5:$J$2001,$J1223,$B$5:$B$2001,$B1223,$A$5:$A$2001,(MAXIFS($A$5:$A$2001,$J$5:$J$2001,$J1223,$B$5:$B$2001,$B1223,$A$5:$A$2001,"&lt;"&amp;$A1223))),""))</f>
        <v/>
      </c>
      <c r="L1223" s="14">
        <f>IF(OR('Data Entry'!A1223="",$K1223=""),"",$H1223-$K1223)</f>
        <v/>
      </c>
      <c r="M1223" s="15">
        <f>IF(OR('Data Entry'!A1223="",$K1223="",$K1223=0),"",$L1223/$K1223)</f>
        <v/>
      </c>
      <c r="N1223" s="12">
        <f>IF('Data Entry'!A1223="","",IF($L1223="","New item",IF($L1223&gt;0,"UP",IF($L1223&lt;0,"down","same"))))</f>
        <v/>
      </c>
    </row>
    <row r="1224">
      <c r="A1224" s="11">
        <f>IF('Data Entry'!A1224="","",'Data Entry'!A1224)</f>
        <v/>
      </c>
      <c r="B1224" s="12">
        <f>IF('Data Entry'!A1224="","",'Data Entry'!B1224)</f>
        <v/>
      </c>
      <c r="C1224" s="12">
        <f>IF('Data Entry'!A1224="","",'Data Entry'!C1224)</f>
        <v/>
      </c>
      <c r="D1224" s="12">
        <f>IF('Data Entry'!A1224="","",'Data Entry'!D1224)</f>
        <v/>
      </c>
      <c r="E1224" s="12">
        <f>IF('Data Entry'!A1224="","",'Data Entry'!E1224)</f>
        <v/>
      </c>
      <c r="F1224" s="12">
        <f>IF('Data Entry'!A1224="","",'Data Entry'!F1224)</f>
        <v/>
      </c>
      <c r="G1224" s="13">
        <f>IF('Data Entry'!A1224="","",'Data Entry'!G1224)</f>
        <v/>
      </c>
      <c r="H1224" s="10">
        <f>IF('Data Entry'!A1224="","",'Data Entry'!H1224)</f>
        <v/>
      </c>
      <c r="I1224" s="10">
        <f>IF('Data Entry'!A1224="","",'Data Entry'!I1224)</f>
        <v/>
      </c>
      <c r="J1224" s="12">
        <f>IF('Data Entry'!A1224="","",IF('Data Entry'!D1224&lt;&gt;"",'Data Entry'!D1224,'Data Entry'!E1224))</f>
        <v/>
      </c>
      <c r="K1224" s="10">
        <f>IF('Data Entry'!A1224="","",IFERROR(SUMIFS($H$5:$H$2001,$J$5:$J$2001,$J1224,$B$5:$B$2001,$B1224,$A$5:$A$2001,(MAXIFS($A$5:$A$2001,$J$5:$J$2001,$J1224,$B$5:$B$2001,$B1224,$A$5:$A$2001,"&lt;"&amp;$A1224))),""))</f>
        <v/>
      </c>
      <c r="L1224" s="14">
        <f>IF(OR('Data Entry'!A1224="",$K1224=""),"",$H1224-$K1224)</f>
        <v/>
      </c>
      <c r="M1224" s="15">
        <f>IF(OR('Data Entry'!A1224="",$K1224="",$K1224=0),"",$L1224/$K1224)</f>
        <v/>
      </c>
      <c r="N1224" s="12">
        <f>IF('Data Entry'!A1224="","",IF($L1224="","New item",IF($L1224&gt;0,"UP",IF($L1224&lt;0,"down","same"))))</f>
        <v/>
      </c>
    </row>
    <row r="1225">
      <c r="A1225" s="11">
        <f>IF('Data Entry'!A1225="","",'Data Entry'!A1225)</f>
        <v/>
      </c>
      <c r="B1225" s="12">
        <f>IF('Data Entry'!A1225="","",'Data Entry'!B1225)</f>
        <v/>
      </c>
      <c r="C1225" s="12">
        <f>IF('Data Entry'!A1225="","",'Data Entry'!C1225)</f>
        <v/>
      </c>
      <c r="D1225" s="12">
        <f>IF('Data Entry'!A1225="","",'Data Entry'!D1225)</f>
        <v/>
      </c>
      <c r="E1225" s="12">
        <f>IF('Data Entry'!A1225="","",'Data Entry'!E1225)</f>
        <v/>
      </c>
      <c r="F1225" s="12">
        <f>IF('Data Entry'!A1225="","",'Data Entry'!F1225)</f>
        <v/>
      </c>
      <c r="G1225" s="13">
        <f>IF('Data Entry'!A1225="","",'Data Entry'!G1225)</f>
        <v/>
      </c>
      <c r="H1225" s="10">
        <f>IF('Data Entry'!A1225="","",'Data Entry'!H1225)</f>
        <v/>
      </c>
      <c r="I1225" s="10">
        <f>IF('Data Entry'!A1225="","",'Data Entry'!I1225)</f>
        <v/>
      </c>
      <c r="J1225" s="12">
        <f>IF('Data Entry'!A1225="","",IF('Data Entry'!D1225&lt;&gt;"",'Data Entry'!D1225,'Data Entry'!E1225))</f>
        <v/>
      </c>
      <c r="K1225" s="10">
        <f>IF('Data Entry'!A1225="","",IFERROR(SUMIFS($H$5:$H$2001,$J$5:$J$2001,$J1225,$B$5:$B$2001,$B1225,$A$5:$A$2001,(MAXIFS($A$5:$A$2001,$J$5:$J$2001,$J1225,$B$5:$B$2001,$B1225,$A$5:$A$2001,"&lt;"&amp;$A1225))),""))</f>
        <v/>
      </c>
      <c r="L1225" s="14">
        <f>IF(OR('Data Entry'!A1225="",$K1225=""),"",$H1225-$K1225)</f>
        <v/>
      </c>
      <c r="M1225" s="15">
        <f>IF(OR('Data Entry'!A1225="",$K1225="",$K1225=0),"",$L1225/$K1225)</f>
        <v/>
      </c>
      <c r="N1225" s="12">
        <f>IF('Data Entry'!A1225="","",IF($L1225="","New item",IF($L1225&gt;0,"UP",IF($L1225&lt;0,"down","same"))))</f>
        <v/>
      </c>
    </row>
    <row r="1226">
      <c r="A1226" s="11">
        <f>IF('Data Entry'!A1226="","",'Data Entry'!A1226)</f>
        <v/>
      </c>
      <c r="B1226" s="12">
        <f>IF('Data Entry'!A1226="","",'Data Entry'!B1226)</f>
        <v/>
      </c>
      <c r="C1226" s="12">
        <f>IF('Data Entry'!A1226="","",'Data Entry'!C1226)</f>
        <v/>
      </c>
      <c r="D1226" s="12">
        <f>IF('Data Entry'!A1226="","",'Data Entry'!D1226)</f>
        <v/>
      </c>
      <c r="E1226" s="12">
        <f>IF('Data Entry'!A1226="","",'Data Entry'!E1226)</f>
        <v/>
      </c>
      <c r="F1226" s="12">
        <f>IF('Data Entry'!A1226="","",'Data Entry'!F1226)</f>
        <v/>
      </c>
      <c r="G1226" s="13">
        <f>IF('Data Entry'!A1226="","",'Data Entry'!G1226)</f>
        <v/>
      </c>
      <c r="H1226" s="10">
        <f>IF('Data Entry'!A1226="","",'Data Entry'!H1226)</f>
        <v/>
      </c>
      <c r="I1226" s="10">
        <f>IF('Data Entry'!A1226="","",'Data Entry'!I1226)</f>
        <v/>
      </c>
      <c r="J1226" s="12">
        <f>IF('Data Entry'!A1226="","",IF('Data Entry'!D1226&lt;&gt;"",'Data Entry'!D1226,'Data Entry'!E1226))</f>
        <v/>
      </c>
      <c r="K1226" s="10">
        <f>IF('Data Entry'!A1226="","",IFERROR(SUMIFS($H$5:$H$2001,$J$5:$J$2001,$J1226,$B$5:$B$2001,$B1226,$A$5:$A$2001,(MAXIFS($A$5:$A$2001,$J$5:$J$2001,$J1226,$B$5:$B$2001,$B1226,$A$5:$A$2001,"&lt;"&amp;$A1226))),""))</f>
        <v/>
      </c>
      <c r="L1226" s="14">
        <f>IF(OR('Data Entry'!A1226="",$K1226=""),"",$H1226-$K1226)</f>
        <v/>
      </c>
      <c r="M1226" s="15">
        <f>IF(OR('Data Entry'!A1226="",$K1226="",$K1226=0),"",$L1226/$K1226)</f>
        <v/>
      </c>
      <c r="N1226" s="12">
        <f>IF('Data Entry'!A1226="","",IF($L1226="","New item",IF($L1226&gt;0,"UP",IF($L1226&lt;0,"down","same"))))</f>
        <v/>
      </c>
    </row>
    <row r="1227">
      <c r="A1227" s="11">
        <f>IF('Data Entry'!A1227="","",'Data Entry'!A1227)</f>
        <v/>
      </c>
      <c r="B1227" s="12">
        <f>IF('Data Entry'!A1227="","",'Data Entry'!B1227)</f>
        <v/>
      </c>
      <c r="C1227" s="12">
        <f>IF('Data Entry'!A1227="","",'Data Entry'!C1227)</f>
        <v/>
      </c>
      <c r="D1227" s="12">
        <f>IF('Data Entry'!A1227="","",'Data Entry'!D1227)</f>
        <v/>
      </c>
      <c r="E1227" s="12">
        <f>IF('Data Entry'!A1227="","",'Data Entry'!E1227)</f>
        <v/>
      </c>
      <c r="F1227" s="12">
        <f>IF('Data Entry'!A1227="","",'Data Entry'!F1227)</f>
        <v/>
      </c>
      <c r="G1227" s="13">
        <f>IF('Data Entry'!A1227="","",'Data Entry'!G1227)</f>
        <v/>
      </c>
      <c r="H1227" s="10">
        <f>IF('Data Entry'!A1227="","",'Data Entry'!H1227)</f>
        <v/>
      </c>
      <c r="I1227" s="10">
        <f>IF('Data Entry'!A1227="","",'Data Entry'!I1227)</f>
        <v/>
      </c>
      <c r="J1227" s="12">
        <f>IF('Data Entry'!A1227="","",IF('Data Entry'!D1227&lt;&gt;"",'Data Entry'!D1227,'Data Entry'!E1227))</f>
        <v/>
      </c>
      <c r="K1227" s="10">
        <f>IF('Data Entry'!A1227="","",IFERROR(SUMIFS($H$5:$H$2001,$J$5:$J$2001,$J1227,$B$5:$B$2001,$B1227,$A$5:$A$2001,(MAXIFS($A$5:$A$2001,$J$5:$J$2001,$J1227,$B$5:$B$2001,$B1227,$A$5:$A$2001,"&lt;"&amp;$A1227))),""))</f>
        <v/>
      </c>
      <c r="L1227" s="14">
        <f>IF(OR('Data Entry'!A1227="",$K1227=""),"",$H1227-$K1227)</f>
        <v/>
      </c>
      <c r="M1227" s="15">
        <f>IF(OR('Data Entry'!A1227="",$K1227="",$K1227=0),"",$L1227/$K1227)</f>
        <v/>
      </c>
      <c r="N1227" s="12">
        <f>IF('Data Entry'!A1227="","",IF($L1227="","New item",IF($L1227&gt;0,"UP",IF($L1227&lt;0,"down","same"))))</f>
        <v/>
      </c>
    </row>
    <row r="1228">
      <c r="A1228" s="11">
        <f>IF('Data Entry'!A1228="","",'Data Entry'!A1228)</f>
        <v/>
      </c>
      <c r="B1228" s="12">
        <f>IF('Data Entry'!A1228="","",'Data Entry'!B1228)</f>
        <v/>
      </c>
      <c r="C1228" s="12">
        <f>IF('Data Entry'!A1228="","",'Data Entry'!C1228)</f>
        <v/>
      </c>
      <c r="D1228" s="12">
        <f>IF('Data Entry'!A1228="","",'Data Entry'!D1228)</f>
        <v/>
      </c>
      <c r="E1228" s="12">
        <f>IF('Data Entry'!A1228="","",'Data Entry'!E1228)</f>
        <v/>
      </c>
      <c r="F1228" s="12">
        <f>IF('Data Entry'!A1228="","",'Data Entry'!F1228)</f>
        <v/>
      </c>
      <c r="G1228" s="13">
        <f>IF('Data Entry'!A1228="","",'Data Entry'!G1228)</f>
        <v/>
      </c>
      <c r="H1228" s="10">
        <f>IF('Data Entry'!A1228="","",'Data Entry'!H1228)</f>
        <v/>
      </c>
      <c r="I1228" s="10">
        <f>IF('Data Entry'!A1228="","",'Data Entry'!I1228)</f>
        <v/>
      </c>
      <c r="J1228" s="12">
        <f>IF('Data Entry'!A1228="","",IF('Data Entry'!D1228&lt;&gt;"",'Data Entry'!D1228,'Data Entry'!E1228))</f>
        <v/>
      </c>
      <c r="K1228" s="10">
        <f>IF('Data Entry'!A1228="","",IFERROR(SUMIFS($H$5:$H$2001,$J$5:$J$2001,$J1228,$B$5:$B$2001,$B1228,$A$5:$A$2001,(MAXIFS($A$5:$A$2001,$J$5:$J$2001,$J1228,$B$5:$B$2001,$B1228,$A$5:$A$2001,"&lt;"&amp;$A1228))),""))</f>
        <v/>
      </c>
      <c r="L1228" s="14">
        <f>IF(OR('Data Entry'!A1228="",$K1228=""),"",$H1228-$K1228)</f>
        <v/>
      </c>
      <c r="M1228" s="15">
        <f>IF(OR('Data Entry'!A1228="",$K1228="",$K1228=0),"",$L1228/$K1228)</f>
        <v/>
      </c>
      <c r="N1228" s="12">
        <f>IF('Data Entry'!A1228="","",IF($L1228="","New item",IF($L1228&gt;0,"UP",IF($L1228&lt;0,"down","same"))))</f>
        <v/>
      </c>
    </row>
    <row r="1229">
      <c r="A1229" s="11">
        <f>IF('Data Entry'!A1229="","",'Data Entry'!A1229)</f>
        <v/>
      </c>
      <c r="B1229" s="12">
        <f>IF('Data Entry'!A1229="","",'Data Entry'!B1229)</f>
        <v/>
      </c>
      <c r="C1229" s="12">
        <f>IF('Data Entry'!A1229="","",'Data Entry'!C1229)</f>
        <v/>
      </c>
      <c r="D1229" s="12">
        <f>IF('Data Entry'!A1229="","",'Data Entry'!D1229)</f>
        <v/>
      </c>
      <c r="E1229" s="12">
        <f>IF('Data Entry'!A1229="","",'Data Entry'!E1229)</f>
        <v/>
      </c>
      <c r="F1229" s="12">
        <f>IF('Data Entry'!A1229="","",'Data Entry'!F1229)</f>
        <v/>
      </c>
      <c r="G1229" s="13">
        <f>IF('Data Entry'!A1229="","",'Data Entry'!G1229)</f>
        <v/>
      </c>
      <c r="H1229" s="10">
        <f>IF('Data Entry'!A1229="","",'Data Entry'!H1229)</f>
        <v/>
      </c>
      <c r="I1229" s="10">
        <f>IF('Data Entry'!A1229="","",'Data Entry'!I1229)</f>
        <v/>
      </c>
      <c r="J1229" s="12">
        <f>IF('Data Entry'!A1229="","",IF('Data Entry'!D1229&lt;&gt;"",'Data Entry'!D1229,'Data Entry'!E1229))</f>
        <v/>
      </c>
      <c r="K1229" s="10">
        <f>IF('Data Entry'!A1229="","",IFERROR(SUMIFS($H$5:$H$2001,$J$5:$J$2001,$J1229,$B$5:$B$2001,$B1229,$A$5:$A$2001,(MAXIFS($A$5:$A$2001,$J$5:$J$2001,$J1229,$B$5:$B$2001,$B1229,$A$5:$A$2001,"&lt;"&amp;$A1229))),""))</f>
        <v/>
      </c>
      <c r="L1229" s="14">
        <f>IF(OR('Data Entry'!A1229="",$K1229=""),"",$H1229-$K1229)</f>
        <v/>
      </c>
      <c r="M1229" s="15">
        <f>IF(OR('Data Entry'!A1229="",$K1229="",$K1229=0),"",$L1229/$K1229)</f>
        <v/>
      </c>
      <c r="N1229" s="12">
        <f>IF('Data Entry'!A1229="","",IF($L1229="","New item",IF($L1229&gt;0,"UP",IF($L1229&lt;0,"down","same"))))</f>
        <v/>
      </c>
    </row>
    <row r="1230">
      <c r="A1230" s="11">
        <f>IF('Data Entry'!A1230="","",'Data Entry'!A1230)</f>
        <v/>
      </c>
      <c r="B1230" s="12">
        <f>IF('Data Entry'!A1230="","",'Data Entry'!B1230)</f>
        <v/>
      </c>
      <c r="C1230" s="12">
        <f>IF('Data Entry'!A1230="","",'Data Entry'!C1230)</f>
        <v/>
      </c>
      <c r="D1230" s="12">
        <f>IF('Data Entry'!A1230="","",'Data Entry'!D1230)</f>
        <v/>
      </c>
      <c r="E1230" s="12">
        <f>IF('Data Entry'!A1230="","",'Data Entry'!E1230)</f>
        <v/>
      </c>
      <c r="F1230" s="12">
        <f>IF('Data Entry'!A1230="","",'Data Entry'!F1230)</f>
        <v/>
      </c>
      <c r="G1230" s="13">
        <f>IF('Data Entry'!A1230="","",'Data Entry'!G1230)</f>
        <v/>
      </c>
      <c r="H1230" s="10">
        <f>IF('Data Entry'!A1230="","",'Data Entry'!H1230)</f>
        <v/>
      </c>
      <c r="I1230" s="10">
        <f>IF('Data Entry'!A1230="","",'Data Entry'!I1230)</f>
        <v/>
      </c>
      <c r="J1230" s="12">
        <f>IF('Data Entry'!A1230="","",IF('Data Entry'!D1230&lt;&gt;"",'Data Entry'!D1230,'Data Entry'!E1230))</f>
        <v/>
      </c>
      <c r="K1230" s="10">
        <f>IF('Data Entry'!A1230="","",IFERROR(SUMIFS($H$5:$H$2001,$J$5:$J$2001,$J1230,$B$5:$B$2001,$B1230,$A$5:$A$2001,(MAXIFS($A$5:$A$2001,$J$5:$J$2001,$J1230,$B$5:$B$2001,$B1230,$A$5:$A$2001,"&lt;"&amp;$A1230))),""))</f>
        <v/>
      </c>
      <c r="L1230" s="14">
        <f>IF(OR('Data Entry'!A1230="",$K1230=""),"",$H1230-$K1230)</f>
        <v/>
      </c>
      <c r="M1230" s="15">
        <f>IF(OR('Data Entry'!A1230="",$K1230="",$K1230=0),"",$L1230/$K1230)</f>
        <v/>
      </c>
      <c r="N1230" s="12">
        <f>IF('Data Entry'!A1230="","",IF($L1230="","New item",IF($L1230&gt;0,"UP",IF($L1230&lt;0,"down","same"))))</f>
        <v/>
      </c>
    </row>
    <row r="1231">
      <c r="A1231" s="11">
        <f>IF('Data Entry'!A1231="","",'Data Entry'!A1231)</f>
        <v/>
      </c>
      <c r="B1231" s="12">
        <f>IF('Data Entry'!A1231="","",'Data Entry'!B1231)</f>
        <v/>
      </c>
      <c r="C1231" s="12">
        <f>IF('Data Entry'!A1231="","",'Data Entry'!C1231)</f>
        <v/>
      </c>
      <c r="D1231" s="12">
        <f>IF('Data Entry'!A1231="","",'Data Entry'!D1231)</f>
        <v/>
      </c>
      <c r="E1231" s="12">
        <f>IF('Data Entry'!A1231="","",'Data Entry'!E1231)</f>
        <v/>
      </c>
      <c r="F1231" s="12">
        <f>IF('Data Entry'!A1231="","",'Data Entry'!F1231)</f>
        <v/>
      </c>
      <c r="G1231" s="13">
        <f>IF('Data Entry'!A1231="","",'Data Entry'!G1231)</f>
        <v/>
      </c>
      <c r="H1231" s="10">
        <f>IF('Data Entry'!A1231="","",'Data Entry'!H1231)</f>
        <v/>
      </c>
      <c r="I1231" s="10">
        <f>IF('Data Entry'!A1231="","",'Data Entry'!I1231)</f>
        <v/>
      </c>
      <c r="J1231" s="12">
        <f>IF('Data Entry'!A1231="","",IF('Data Entry'!D1231&lt;&gt;"",'Data Entry'!D1231,'Data Entry'!E1231))</f>
        <v/>
      </c>
      <c r="K1231" s="10">
        <f>IF('Data Entry'!A1231="","",IFERROR(SUMIFS($H$5:$H$2001,$J$5:$J$2001,$J1231,$B$5:$B$2001,$B1231,$A$5:$A$2001,(MAXIFS($A$5:$A$2001,$J$5:$J$2001,$J1231,$B$5:$B$2001,$B1231,$A$5:$A$2001,"&lt;"&amp;$A1231))),""))</f>
        <v/>
      </c>
      <c r="L1231" s="14">
        <f>IF(OR('Data Entry'!A1231="",$K1231=""),"",$H1231-$K1231)</f>
        <v/>
      </c>
      <c r="M1231" s="15">
        <f>IF(OR('Data Entry'!A1231="",$K1231="",$K1231=0),"",$L1231/$K1231)</f>
        <v/>
      </c>
      <c r="N1231" s="12">
        <f>IF('Data Entry'!A1231="","",IF($L1231="","New item",IF($L1231&gt;0,"UP",IF($L1231&lt;0,"down","same"))))</f>
        <v/>
      </c>
    </row>
    <row r="1232">
      <c r="A1232" s="11">
        <f>IF('Data Entry'!A1232="","",'Data Entry'!A1232)</f>
        <v/>
      </c>
      <c r="B1232" s="12">
        <f>IF('Data Entry'!A1232="","",'Data Entry'!B1232)</f>
        <v/>
      </c>
      <c r="C1232" s="12">
        <f>IF('Data Entry'!A1232="","",'Data Entry'!C1232)</f>
        <v/>
      </c>
      <c r="D1232" s="12">
        <f>IF('Data Entry'!A1232="","",'Data Entry'!D1232)</f>
        <v/>
      </c>
      <c r="E1232" s="12">
        <f>IF('Data Entry'!A1232="","",'Data Entry'!E1232)</f>
        <v/>
      </c>
      <c r="F1232" s="12">
        <f>IF('Data Entry'!A1232="","",'Data Entry'!F1232)</f>
        <v/>
      </c>
      <c r="G1232" s="13">
        <f>IF('Data Entry'!A1232="","",'Data Entry'!G1232)</f>
        <v/>
      </c>
      <c r="H1232" s="10">
        <f>IF('Data Entry'!A1232="","",'Data Entry'!H1232)</f>
        <v/>
      </c>
      <c r="I1232" s="10">
        <f>IF('Data Entry'!A1232="","",'Data Entry'!I1232)</f>
        <v/>
      </c>
      <c r="J1232" s="12">
        <f>IF('Data Entry'!A1232="","",IF('Data Entry'!D1232&lt;&gt;"",'Data Entry'!D1232,'Data Entry'!E1232))</f>
        <v/>
      </c>
      <c r="K1232" s="10">
        <f>IF('Data Entry'!A1232="","",IFERROR(SUMIFS($H$5:$H$2001,$J$5:$J$2001,$J1232,$B$5:$B$2001,$B1232,$A$5:$A$2001,(MAXIFS($A$5:$A$2001,$J$5:$J$2001,$J1232,$B$5:$B$2001,$B1232,$A$5:$A$2001,"&lt;"&amp;$A1232))),""))</f>
        <v/>
      </c>
      <c r="L1232" s="14">
        <f>IF(OR('Data Entry'!A1232="",$K1232=""),"",$H1232-$K1232)</f>
        <v/>
      </c>
      <c r="M1232" s="15">
        <f>IF(OR('Data Entry'!A1232="",$K1232="",$K1232=0),"",$L1232/$K1232)</f>
        <v/>
      </c>
      <c r="N1232" s="12">
        <f>IF('Data Entry'!A1232="","",IF($L1232="","New item",IF($L1232&gt;0,"UP",IF($L1232&lt;0,"down","same"))))</f>
        <v/>
      </c>
    </row>
    <row r="1233">
      <c r="A1233" s="11">
        <f>IF('Data Entry'!A1233="","",'Data Entry'!A1233)</f>
        <v/>
      </c>
      <c r="B1233" s="12">
        <f>IF('Data Entry'!A1233="","",'Data Entry'!B1233)</f>
        <v/>
      </c>
      <c r="C1233" s="12">
        <f>IF('Data Entry'!A1233="","",'Data Entry'!C1233)</f>
        <v/>
      </c>
      <c r="D1233" s="12">
        <f>IF('Data Entry'!A1233="","",'Data Entry'!D1233)</f>
        <v/>
      </c>
      <c r="E1233" s="12">
        <f>IF('Data Entry'!A1233="","",'Data Entry'!E1233)</f>
        <v/>
      </c>
      <c r="F1233" s="12">
        <f>IF('Data Entry'!A1233="","",'Data Entry'!F1233)</f>
        <v/>
      </c>
      <c r="G1233" s="13">
        <f>IF('Data Entry'!A1233="","",'Data Entry'!G1233)</f>
        <v/>
      </c>
      <c r="H1233" s="10">
        <f>IF('Data Entry'!A1233="","",'Data Entry'!H1233)</f>
        <v/>
      </c>
      <c r="I1233" s="10">
        <f>IF('Data Entry'!A1233="","",'Data Entry'!I1233)</f>
        <v/>
      </c>
      <c r="J1233" s="12">
        <f>IF('Data Entry'!A1233="","",IF('Data Entry'!D1233&lt;&gt;"",'Data Entry'!D1233,'Data Entry'!E1233))</f>
        <v/>
      </c>
      <c r="K1233" s="10">
        <f>IF('Data Entry'!A1233="","",IFERROR(SUMIFS($H$5:$H$2001,$J$5:$J$2001,$J1233,$B$5:$B$2001,$B1233,$A$5:$A$2001,(MAXIFS($A$5:$A$2001,$J$5:$J$2001,$J1233,$B$5:$B$2001,$B1233,$A$5:$A$2001,"&lt;"&amp;$A1233))),""))</f>
        <v/>
      </c>
      <c r="L1233" s="14">
        <f>IF(OR('Data Entry'!A1233="",$K1233=""),"",$H1233-$K1233)</f>
        <v/>
      </c>
      <c r="M1233" s="15">
        <f>IF(OR('Data Entry'!A1233="",$K1233="",$K1233=0),"",$L1233/$K1233)</f>
        <v/>
      </c>
      <c r="N1233" s="12">
        <f>IF('Data Entry'!A1233="","",IF($L1233="","New item",IF($L1233&gt;0,"UP",IF($L1233&lt;0,"down","same"))))</f>
        <v/>
      </c>
    </row>
    <row r="1234">
      <c r="A1234" s="11">
        <f>IF('Data Entry'!A1234="","",'Data Entry'!A1234)</f>
        <v/>
      </c>
      <c r="B1234" s="12">
        <f>IF('Data Entry'!A1234="","",'Data Entry'!B1234)</f>
        <v/>
      </c>
      <c r="C1234" s="12">
        <f>IF('Data Entry'!A1234="","",'Data Entry'!C1234)</f>
        <v/>
      </c>
      <c r="D1234" s="12">
        <f>IF('Data Entry'!A1234="","",'Data Entry'!D1234)</f>
        <v/>
      </c>
      <c r="E1234" s="12">
        <f>IF('Data Entry'!A1234="","",'Data Entry'!E1234)</f>
        <v/>
      </c>
      <c r="F1234" s="12">
        <f>IF('Data Entry'!A1234="","",'Data Entry'!F1234)</f>
        <v/>
      </c>
      <c r="G1234" s="13">
        <f>IF('Data Entry'!A1234="","",'Data Entry'!G1234)</f>
        <v/>
      </c>
      <c r="H1234" s="10">
        <f>IF('Data Entry'!A1234="","",'Data Entry'!H1234)</f>
        <v/>
      </c>
      <c r="I1234" s="10">
        <f>IF('Data Entry'!A1234="","",'Data Entry'!I1234)</f>
        <v/>
      </c>
      <c r="J1234" s="12">
        <f>IF('Data Entry'!A1234="","",IF('Data Entry'!D1234&lt;&gt;"",'Data Entry'!D1234,'Data Entry'!E1234))</f>
        <v/>
      </c>
      <c r="K1234" s="10">
        <f>IF('Data Entry'!A1234="","",IFERROR(SUMIFS($H$5:$H$2001,$J$5:$J$2001,$J1234,$B$5:$B$2001,$B1234,$A$5:$A$2001,(MAXIFS($A$5:$A$2001,$J$5:$J$2001,$J1234,$B$5:$B$2001,$B1234,$A$5:$A$2001,"&lt;"&amp;$A1234))),""))</f>
        <v/>
      </c>
      <c r="L1234" s="14">
        <f>IF(OR('Data Entry'!A1234="",$K1234=""),"",$H1234-$K1234)</f>
        <v/>
      </c>
      <c r="M1234" s="15">
        <f>IF(OR('Data Entry'!A1234="",$K1234="",$K1234=0),"",$L1234/$K1234)</f>
        <v/>
      </c>
      <c r="N1234" s="12">
        <f>IF('Data Entry'!A1234="","",IF($L1234="","New item",IF($L1234&gt;0,"UP",IF($L1234&lt;0,"down","same"))))</f>
        <v/>
      </c>
    </row>
    <row r="1235">
      <c r="A1235" s="11">
        <f>IF('Data Entry'!A1235="","",'Data Entry'!A1235)</f>
        <v/>
      </c>
      <c r="B1235" s="12">
        <f>IF('Data Entry'!A1235="","",'Data Entry'!B1235)</f>
        <v/>
      </c>
      <c r="C1235" s="12">
        <f>IF('Data Entry'!A1235="","",'Data Entry'!C1235)</f>
        <v/>
      </c>
      <c r="D1235" s="12">
        <f>IF('Data Entry'!A1235="","",'Data Entry'!D1235)</f>
        <v/>
      </c>
      <c r="E1235" s="12">
        <f>IF('Data Entry'!A1235="","",'Data Entry'!E1235)</f>
        <v/>
      </c>
      <c r="F1235" s="12">
        <f>IF('Data Entry'!A1235="","",'Data Entry'!F1235)</f>
        <v/>
      </c>
      <c r="G1235" s="13">
        <f>IF('Data Entry'!A1235="","",'Data Entry'!G1235)</f>
        <v/>
      </c>
      <c r="H1235" s="10">
        <f>IF('Data Entry'!A1235="","",'Data Entry'!H1235)</f>
        <v/>
      </c>
      <c r="I1235" s="10">
        <f>IF('Data Entry'!A1235="","",'Data Entry'!I1235)</f>
        <v/>
      </c>
      <c r="J1235" s="12">
        <f>IF('Data Entry'!A1235="","",IF('Data Entry'!D1235&lt;&gt;"",'Data Entry'!D1235,'Data Entry'!E1235))</f>
        <v/>
      </c>
      <c r="K1235" s="10">
        <f>IF('Data Entry'!A1235="","",IFERROR(SUMIFS($H$5:$H$2001,$J$5:$J$2001,$J1235,$B$5:$B$2001,$B1235,$A$5:$A$2001,(MAXIFS($A$5:$A$2001,$J$5:$J$2001,$J1235,$B$5:$B$2001,$B1235,$A$5:$A$2001,"&lt;"&amp;$A1235))),""))</f>
        <v/>
      </c>
      <c r="L1235" s="14">
        <f>IF(OR('Data Entry'!A1235="",$K1235=""),"",$H1235-$K1235)</f>
        <v/>
      </c>
      <c r="M1235" s="15">
        <f>IF(OR('Data Entry'!A1235="",$K1235="",$K1235=0),"",$L1235/$K1235)</f>
        <v/>
      </c>
      <c r="N1235" s="12">
        <f>IF('Data Entry'!A1235="","",IF($L1235="","New item",IF($L1235&gt;0,"UP",IF($L1235&lt;0,"down","same"))))</f>
        <v/>
      </c>
    </row>
    <row r="1236">
      <c r="A1236" s="11">
        <f>IF('Data Entry'!A1236="","",'Data Entry'!A1236)</f>
        <v/>
      </c>
      <c r="B1236" s="12">
        <f>IF('Data Entry'!A1236="","",'Data Entry'!B1236)</f>
        <v/>
      </c>
      <c r="C1236" s="12">
        <f>IF('Data Entry'!A1236="","",'Data Entry'!C1236)</f>
        <v/>
      </c>
      <c r="D1236" s="12">
        <f>IF('Data Entry'!A1236="","",'Data Entry'!D1236)</f>
        <v/>
      </c>
      <c r="E1236" s="12">
        <f>IF('Data Entry'!A1236="","",'Data Entry'!E1236)</f>
        <v/>
      </c>
      <c r="F1236" s="12">
        <f>IF('Data Entry'!A1236="","",'Data Entry'!F1236)</f>
        <v/>
      </c>
      <c r="G1236" s="13">
        <f>IF('Data Entry'!A1236="","",'Data Entry'!G1236)</f>
        <v/>
      </c>
      <c r="H1236" s="10">
        <f>IF('Data Entry'!A1236="","",'Data Entry'!H1236)</f>
        <v/>
      </c>
      <c r="I1236" s="10">
        <f>IF('Data Entry'!A1236="","",'Data Entry'!I1236)</f>
        <v/>
      </c>
      <c r="J1236" s="12">
        <f>IF('Data Entry'!A1236="","",IF('Data Entry'!D1236&lt;&gt;"",'Data Entry'!D1236,'Data Entry'!E1236))</f>
        <v/>
      </c>
      <c r="K1236" s="10">
        <f>IF('Data Entry'!A1236="","",IFERROR(SUMIFS($H$5:$H$2001,$J$5:$J$2001,$J1236,$B$5:$B$2001,$B1236,$A$5:$A$2001,(MAXIFS($A$5:$A$2001,$J$5:$J$2001,$J1236,$B$5:$B$2001,$B1236,$A$5:$A$2001,"&lt;"&amp;$A1236))),""))</f>
        <v/>
      </c>
      <c r="L1236" s="14">
        <f>IF(OR('Data Entry'!A1236="",$K1236=""),"",$H1236-$K1236)</f>
        <v/>
      </c>
      <c r="M1236" s="15">
        <f>IF(OR('Data Entry'!A1236="",$K1236="",$K1236=0),"",$L1236/$K1236)</f>
        <v/>
      </c>
      <c r="N1236" s="12">
        <f>IF('Data Entry'!A1236="","",IF($L1236="","New item",IF($L1236&gt;0,"UP",IF($L1236&lt;0,"down","same"))))</f>
        <v/>
      </c>
    </row>
    <row r="1237">
      <c r="A1237" s="11">
        <f>IF('Data Entry'!A1237="","",'Data Entry'!A1237)</f>
        <v/>
      </c>
      <c r="B1237" s="12">
        <f>IF('Data Entry'!A1237="","",'Data Entry'!B1237)</f>
        <v/>
      </c>
      <c r="C1237" s="12">
        <f>IF('Data Entry'!A1237="","",'Data Entry'!C1237)</f>
        <v/>
      </c>
      <c r="D1237" s="12">
        <f>IF('Data Entry'!A1237="","",'Data Entry'!D1237)</f>
        <v/>
      </c>
      <c r="E1237" s="12">
        <f>IF('Data Entry'!A1237="","",'Data Entry'!E1237)</f>
        <v/>
      </c>
      <c r="F1237" s="12">
        <f>IF('Data Entry'!A1237="","",'Data Entry'!F1237)</f>
        <v/>
      </c>
      <c r="G1237" s="13">
        <f>IF('Data Entry'!A1237="","",'Data Entry'!G1237)</f>
        <v/>
      </c>
      <c r="H1237" s="10">
        <f>IF('Data Entry'!A1237="","",'Data Entry'!H1237)</f>
        <v/>
      </c>
      <c r="I1237" s="10">
        <f>IF('Data Entry'!A1237="","",'Data Entry'!I1237)</f>
        <v/>
      </c>
      <c r="J1237" s="12">
        <f>IF('Data Entry'!A1237="","",IF('Data Entry'!D1237&lt;&gt;"",'Data Entry'!D1237,'Data Entry'!E1237))</f>
        <v/>
      </c>
      <c r="K1237" s="10">
        <f>IF('Data Entry'!A1237="","",IFERROR(SUMIFS($H$5:$H$2001,$J$5:$J$2001,$J1237,$B$5:$B$2001,$B1237,$A$5:$A$2001,(MAXIFS($A$5:$A$2001,$J$5:$J$2001,$J1237,$B$5:$B$2001,$B1237,$A$5:$A$2001,"&lt;"&amp;$A1237))),""))</f>
        <v/>
      </c>
      <c r="L1237" s="14">
        <f>IF(OR('Data Entry'!A1237="",$K1237=""),"",$H1237-$K1237)</f>
        <v/>
      </c>
      <c r="M1237" s="15">
        <f>IF(OR('Data Entry'!A1237="",$K1237="",$K1237=0),"",$L1237/$K1237)</f>
        <v/>
      </c>
      <c r="N1237" s="12">
        <f>IF('Data Entry'!A1237="","",IF($L1237="","New item",IF($L1237&gt;0,"UP",IF($L1237&lt;0,"down","same"))))</f>
        <v/>
      </c>
    </row>
    <row r="1238">
      <c r="A1238" s="11">
        <f>IF('Data Entry'!A1238="","",'Data Entry'!A1238)</f>
        <v/>
      </c>
      <c r="B1238" s="12">
        <f>IF('Data Entry'!A1238="","",'Data Entry'!B1238)</f>
        <v/>
      </c>
      <c r="C1238" s="12">
        <f>IF('Data Entry'!A1238="","",'Data Entry'!C1238)</f>
        <v/>
      </c>
      <c r="D1238" s="12">
        <f>IF('Data Entry'!A1238="","",'Data Entry'!D1238)</f>
        <v/>
      </c>
      <c r="E1238" s="12">
        <f>IF('Data Entry'!A1238="","",'Data Entry'!E1238)</f>
        <v/>
      </c>
      <c r="F1238" s="12">
        <f>IF('Data Entry'!A1238="","",'Data Entry'!F1238)</f>
        <v/>
      </c>
      <c r="G1238" s="13">
        <f>IF('Data Entry'!A1238="","",'Data Entry'!G1238)</f>
        <v/>
      </c>
      <c r="H1238" s="10">
        <f>IF('Data Entry'!A1238="","",'Data Entry'!H1238)</f>
        <v/>
      </c>
      <c r="I1238" s="10">
        <f>IF('Data Entry'!A1238="","",'Data Entry'!I1238)</f>
        <v/>
      </c>
      <c r="J1238" s="12">
        <f>IF('Data Entry'!A1238="","",IF('Data Entry'!D1238&lt;&gt;"",'Data Entry'!D1238,'Data Entry'!E1238))</f>
        <v/>
      </c>
      <c r="K1238" s="10">
        <f>IF('Data Entry'!A1238="","",IFERROR(SUMIFS($H$5:$H$2001,$J$5:$J$2001,$J1238,$B$5:$B$2001,$B1238,$A$5:$A$2001,(MAXIFS($A$5:$A$2001,$J$5:$J$2001,$J1238,$B$5:$B$2001,$B1238,$A$5:$A$2001,"&lt;"&amp;$A1238))),""))</f>
        <v/>
      </c>
      <c r="L1238" s="14">
        <f>IF(OR('Data Entry'!A1238="",$K1238=""),"",$H1238-$K1238)</f>
        <v/>
      </c>
      <c r="M1238" s="15">
        <f>IF(OR('Data Entry'!A1238="",$K1238="",$K1238=0),"",$L1238/$K1238)</f>
        <v/>
      </c>
      <c r="N1238" s="12">
        <f>IF('Data Entry'!A1238="","",IF($L1238="","New item",IF($L1238&gt;0,"UP",IF($L1238&lt;0,"down","same"))))</f>
        <v/>
      </c>
    </row>
    <row r="1239">
      <c r="A1239" s="11">
        <f>IF('Data Entry'!A1239="","",'Data Entry'!A1239)</f>
        <v/>
      </c>
      <c r="B1239" s="12">
        <f>IF('Data Entry'!A1239="","",'Data Entry'!B1239)</f>
        <v/>
      </c>
      <c r="C1239" s="12">
        <f>IF('Data Entry'!A1239="","",'Data Entry'!C1239)</f>
        <v/>
      </c>
      <c r="D1239" s="12">
        <f>IF('Data Entry'!A1239="","",'Data Entry'!D1239)</f>
        <v/>
      </c>
      <c r="E1239" s="12">
        <f>IF('Data Entry'!A1239="","",'Data Entry'!E1239)</f>
        <v/>
      </c>
      <c r="F1239" s="12">
        <f>IF('Data Entry'!A1239="","",'Data Entry'!F1239)</f>
        <v/>
      </c>
      <c r="G1239" s="13">
        <f>IF('Data Entry'!A1239="","",'Data Entry'!G1239)</f>
        <v/>
      </c>
      <c r="H1239" s="10">
        <f>IF('Data Entry'!A1239="","",'Data Entry'!H1239)</f>
        <v/>
      </c>
      <c r="I1239" s="10">
        <f>IF('Data Entry'!A1239="","",'Data Entry'!I1239)</f>
        <v/>
      </c>
      <c r="J1239" s="12">
        <f>IF('Data Entry'!A1239="","",IF('Data Entry'!D1239&lt;&gt;"",'Data Entry'!D1239,'Data Entry'!E1239))</f>
        <v/>
      </c>
      <c r="K1239" s="10">
        <f>IF('Data Entry'!A1239="","",IFERROR(SUMIFS($H$5:$H$2001,$J$5:$J$2001,$J1239,$B$5:$B$2001,$B1239,$A$5:$A$2001,(MAXIFS($A$5:$A$2001,$J$5:$J$2001,$J1239,$B$5:$B$2001,$B1239,$A$5:$A$2001,"&lt;"&amp;$A1239))),""))</f>
        <v/>
      </c>
      <c r="L1239" s="14">
        <f>IF(OR('Data Entry'!A1239="",$K1239=""),"",$H1239-$K1239)</f>
        <v/>
      </c>
      <c r="M1239" s="15">
        <f>IF(OR('Data Entry'!A1239="",$K1239="",$K1239=0),"",$L1239/$K1239)</f>
        <v/>
      </c>
      <c r="N1239" s="12">
        <f>IF('Data Entry'!A1239="","",IF($L1239="","New item",IF($L1239&gt;0,"UP",IF($L1239&lt;0,"down","same"))))</f>
        <v/>
      </c>
    </row>
    <row r="1240">
      <c r="A1240" s="11">
        <f>IF('Data Entry'!A1240="","",'Data Entry'!A1240)</f>
        <v/>
      </c>
      <c r="B1240" s="12">
        <f>IF('Data Entry'!A1240="","",'Data Entry'!B1240)</f>
        <v/>
      </c>
      <c r="C1240" s="12">
        <f>IF('Data Entry'!A1240="","",'Data Entry'!C1240)</f>
        <v/>
      </c>
      <c r="D1240" s="12">
        <f>IF('Data Entry'!A1240="","",'Data Entry'!D1240)</f>
        <v/>
      </c>
      <c r="E1240" s="12">
        <f>IF('Data Entry'!A1240="","",'Data Entry'!E1240)</f>
        <v/>
      </c>
      <c r="F1240" s="12">
        <f>IF('Data Entry'!A1240="","",'Data Entry'!F1240)</f>
        <v/>
      </c>
      <c r="G1240" s="13">
        <f>IF('Data Entry'!A1240="","",'Data Entry'!G1240)</f>
        <v/>
      </c>
      <c r="H1240" s="10">
        <f>IF('Data Entry'!A1240="","",'Data Entry'!H1240)</f>
        <v/>
      </c>
      <c r="I1240" s="10">
        <f>IF('Data Entry'!A1240="","",'Data Entry'!I1240)</f>
        <v/>
      </c>
      <c r="J1240" s="12">
        <f>IF('Data Entry'!A1240="","",IF('Data Entry'!D1240&lt;&gt;"",'Data Entry'!D1240,'Data Entry'!E1240))</f>
        <v/>
      </c>
      <c r="K1240" s="10">
        <f>IF('Data Entry'!A1240="","",IFERROR(SUMIFS($H$5:$H$2001,$J$5:$J$2001,$J1240,$B$5:$B$2001,$B1240,$A$5:$A$2001,(MAXIFS($A$5:$A$2001,$J$5:$J$2001,$J1240,$B$5:$B$2001,$B1240,$A$5:$A$2001,"&lt;"&amp;$A1240))),""))</f>
        <v/>
      </c>
      <c r="L1240" s="14">
        <f>IF(OR('Data Entry'!A1240="",$K1240=""),"",$H1240-$K1240)</f>
        <v/>
      </c>
      <c r="M1240" s="15">
        <f>IF(OR('Data Entry'!A1240="",$K1240="",$K1240=0),"",$L1240/$K1240)</f>
        <v/>
      </c>
      <c r="N1240" s="12">
        <f>IF('Data Entry'!A1240="","",IF($L1240="","New item",IF($L1240&gt;0,"UP",IF($L1240&lt;0,"down","same"))))</f>
        <v/>
      </c>
    </row>
    <row r="1241">
      <c r="A1241" s="11">
        <f>IF('Data Entry'!A1241="","",'Data Entry'!A1241)</f>
        <v/>
      </c>
      <c r="B1241" s="12">
        <f>IF('Data Entry'!A1241="","",'Data Entry'!B1241)</f>
        <v/>
      </c>
      <c r="C1241" s="12">
        <f>IF('Data Entry'!A1241="","",'Data Entry'!C1241)</f>
        <v/>
      </c>
      <c r="D1241" s="12">
        <f>IF('Data Entry'!A1241="","",'Data Entry'!D1241)</f>
        <v/>
      </c>
      <c r="E1241" s="12">
        <f>IF('Data Entry'!A1241="","",'Data Entry'!E1241)</f>
        <v/>
      </c>
      <c r="F1241" s="12">
        <f>IF('Data Entry'!A1241="","",'Data Entry'!F1241)</f>
        <v/>
      </c>
      <c r="G1241" s="13">
        <f>IF('Data Entry'!A1241="","",'Data Entry'!G1241)</f>
        <v/>
      </c>
      <c r="H1241" s="10">
        <f>IF('Data Entry'!A1241="","",'Data Entry'!H1241)</f>
        <v/>
      </c>
      <c r="I1241" s="10">
        <f>IF('Data Entry'!A1241="","",'Data Entry'!I1241)</f>
        <v/>
      </c>
      <c r="J1241" s="12">
        <f>IF('Data Entry'!A1241="","",IF('Data Entry'!D1241&lt;&gt;"",'Data Entry'!D1241,'Data Entry'!E1241))</f>
        <v/>
      </c>
      <c r="K1241" s="10">
        <f>IF('Data Entry'!A1241="","",IFERROR(SUMIFS($H$5:$H$2001,$J$5:$J$2001,$J1241,$B$5:$B$2001,$B1241,$A$5:$A$2001,(MAXIFS($A$5:$A$2001,$J$5:$J$2001,$J1241,$B$5:$B$2001,$B1241,$A$5:$A$2001,"&lt;"&amp;$A1241))),""))</f>
        <v/>
      </c>
      <c r="L1241" s="14">
        <f>IF(OR('Data Entry'!A1241="",$K1241=""),"",$H1241-$K1241)</f>
        <v/>
      </c>
      <c r="M1241" s="15">
        <f>IF(OR('Data Entry'!A1241="",$K1241="",$K1241=0),"",$L1241/$K1241)</f>
        <v/>
      </c>
      <c r="N1241" s="12">
        <f>IF('Data Entry'!A1241="","",IF($L1241="","New item",IF($L1241&gt;0,"UP",IF($L1241&lt;0,"down","same"))))</f>
        <v/>
      </c>
    </row>
    <row r="1242">
      <c r="A1242" s="11">
        <f>IF('Data Entry'!A1242="","",'Data Entry'!A1242)</f>
        <v/>
      </c>
      <c r="B1242" s="12">
        <f>IF('Data Entry'!A1242="","",'Data Entry'!B1242)</f>
        <v/>
      </c>
      <c r="C1242" s="12">
        <f>IF('Data Entry'!A1242="","",'Data Entry'!C1242)</f>
        <v/>
      </c>
      <c r="D1242" s="12">
        <f>IF('Data Entry'!A1242="","",'Data Entry'!D1242)</f>
        <v/>
      </c>
      <c r="E1242" s="12">
        <f>IF('Data Entry'!A1242="","",'Data Entry'!E1242)</f>
        <v/>
      </c>
      <c r="F1242" s="12">
        <f>IF('Data Entry'!A1242="","",'Data Entry'!F1242)</f>
        <v/>
      </c>
      <c r="G1242" s="13">
        <f>IF('Data Entry'!A1242="","",'Data Entry'!G1242)</f>
        <v/>
      </c>
      <c r="H1242" s="10">
        <f>IF('Data Entry'!A1242="","",'Data Entry'!H1242)</f>
        <v/>
      </c>
      <c r="I1242" s="10">
        <f>IF('Data Entry'!A1242="","",'Data Entry'!I1242)</f>
        <v/>
      </c>
      <c r="J1242" s="12">
        <f>IF('Data Entry'!A1242="","",IF('Data Entry'!D1242&lt;&gt;"",'Data Entry'!D1242,'Data Entry'!E1242))</f>
        <v/>
      </c>
      <c r="K1242" s="10">
        <f>IF('Data Entry'!A1242="","",IFERROR(SUMIFS($H$5:$H$2001,$J$5:$J$2001,$J1242,$B$5:$B$2001,$B1242,$A$5:$A$2001,(MAXIFS($A$5:$A$2001,$J$5:$J$2001,$J1242,$B$5:$B$2001,$B1242,$A$5:$A$2001,"&lt;"&amp;$A1242))),""))</f>
        <v/>
      </c>
      <c r="L1242" s="14">
        <f>IF(OR('Data Entry'!A1242="",$K1242=""),"",$H1242-$K1242)</f>
        <v/>
      </c>
      <c r="M1242" s="15">
        <f>IF(OR('Data Entry'!A1242="",$K1242="",$K1242=0),"",$L1242/$K1242)</f>
        <v/>
      </c>
      <c r="N1242" s="12">
        <f>IF('Data Entry'!A1242="","",IF($L1242="","New item",IF($L1242&gt;0,"UP",IF($L1242&lt;0,"down","same"))))</f>
        <v/>
      </c>
    </row>
    <row r="1243">
      <c r="A1243" s="11">
        <f>IF('Data Entry'!A1243="","",'Data Entry'!A1243)</f>
        <v/>
      </c>
      <c r="B1243" s="12">
        <f>IF('Data Entry'!A1243="","",'Data Entry'!B1243)</f>
        <v/>
      </c>
      <c r="C1243" s="12">
        <f>IF('Data Entry'!A1243="","",'Data Entry'!C1243)</f>
        <v/>
      </c>
      <c r="D1243" s="12">
        <f>IF('Data Entry'!A1243="","",'Data Entry'!D1243)</f>
        <v/>
      </c>
      <c r="E1243" s="12">
        <f>IF('Data Entry'!A1243="","",'Data Entry'!E1243)</f>
        <v/>
      </c>
      <c r="F1243" s="12">
        <f>IF('Data Entry'!A1243="","",'Data Entry'!F1243)</f>
        <v/>
      </c>
      <c r="G1243" s="13">
        <f>IF('Data Entry'!A1243="","",'Data Entry'!G1243)</f>
        <v/>
      </c>
      <c r="H1243" s="10">
        <f>IF('Data Entry'!A1243="","",'Data Entry'!H1243)</f>
        <v/>
      </c>
      <c r="I1243" s="10">
        <f>IF('Data Entry'!A1243="","",'Data Entry'!I1243)</f>
        <v/>
      </c>
      <c r="J1243" s="12">
        <f>IF('Data Entry'!A1243="","",IF('Data Entry'!D1243&lt;&gt;"",'Data Entry'!D1243,'Data Entry'!E1243))</f>
        <v/>
      </c>
      <c r="K1243" s="10">
        <f>IF('Data Entry'!A1243="","",IFERROR(SUMIFS($H$5:$H$2001,$J$5:$J$2001,$J1243,$B$5:$B$2001,$B1243,$A$5:$A$2001,(MAXIFS($A$5:$A$2001,$J$5:$J$2001,$J1243,$B$5:$B$2001,$B1243,$A$5:$A$2001,"&lt;"&amp;$A1243))),""))</f>
        <v/>
      </c>
      <c r="L1243" s="14">
        <f>IF(OR('Data Entry'!A1243="",$K1243=""),"",$H1243-$K1243)</f>
        <v/>
      </c>
      <c r="M1243" s="15">
        <f>IF(OR('Data Entry'!A1243="",$K1243="",$K1243=0),"",$L1243/$K1243)</f>
        <v/>
      </c>
      <c r="N1243" s="12">
        <f>IF('Data Entry'!A1243="","",IF($L1243="","New item",IF($L1243&gt;0,"UP",IF($L1243&lt;0,"down","same"))))</f>
        <v/>
      </c>
    </row>
    <row r="1244">
      <c r="A1244" s="11">
        <f>IF('Data Entry'!A1244="","",'Data Entry'!A1244)</f>
        <v/>
      </c>
      <c r="B1244" s="12">
        <f>IF('Data Entry'!A1244="","",'Data Entry'!B1244)</f>
        <v/>
      </c>
      <c r="C1244" s="12">
        <f>IF('Data Entry'!A1244="","",'Data Entry'!C1244)</f>
        <v/>
      </c>
      <c r="D1244" s="12">
        <f>IF('Data Entry'!A1244="","",'Data Entry'!D1244)</f>
        <v/>
      </c>
      <c r="E1244" s="12">
        <f>IF('Data Entry'!A1244="","",'Data Entry'!E1244)</f>
        <v/>
      </c>
      <c r="F1244" s="12">
        <f>IF('Data Entry'!A1244="","",'Data Entry'!F1244)</f>
        <v/>
      </c>
      <c r="G1244" s="13">
        <f>IF('Data Entry'!A1244="","",'Data Entry'!G1244)</f>
        <v/>
      </c>
      <c r="H1244" s="10">
        <f>IF('Data Entry'!A1244="","",'Data Entry'!H1244)</f>
        <v/>
      </c>
      <c r="I1244" s="10">
        <f>IF('Data Entry'!A1244="","",'Data Entry'!I1244)</f>
        <v/>
      </c>
      <c r="J1244" s="12">
        <f>IF('Data Entry'!A1244="","",IF('Data Entry'!D1244&lt;&gt;"",'Data Entry'!D1244,'Data Entry'!E1244))</f>
        <v/>
      </c>
      <c r="K1244" s="10">
        <f>IF('Data Entry'!A1244="","",IFERROR(SUMIFS($H$5:$H$2001,$J$5:$J$2001,$J1244,$B$5:$B$2001,$B1244,$A$5:$A$2001,(MAXIFS($A$5:$A$2001,$J$5:$J$2001,$J1244,$B$5:$B$2001,$B1244,$A$5:$A$2001,"&lt;"&amp;$A1244))),""))</f>
        <v/>
      </c>
      <c r="L1244" s="14">
        <f>IF(OR('Data Entry'!A1244="",$K1244=""),"",$H1244-$K1244)</f>
        <v/>
      </c>
      <c r="M1244" s="15">
        <f>IF(OR('Data Entry'!A1244="",$K1244="",$K1244=0),"",$L1244/$K1244)</f>
        <v/>
      </c>
      <c r="N1244" s="12">
        <f>IF('Data Entry'!A1244="","",IF($L1244="","New item",IF($L1244&gt;0,"UP",IF($L1244&lt;0,"down","same"))))</f>
        <v/>
      </c>
    </row>
    <row r="1245">
      <c r="A1245" s="11">
        <f>IF('Data Entry'!A1245="","",'Data Entry'!A1245)</f>
        <v/>
      </c>
      <c r="B1245" s="12">
        <f>IF('Data Entry'!A1245="","",'Data Entry'!B1245)</f>
        <v/>
      </c>
      <c r="C1245" s="12">
        <f>IF('Data Entry'!A1245="","",'Data Entry'!C1245)</f>
        <v/>
      </c>
      <c r="D1245" s="12">
        <f>IF('Data Entry'!A1245="","",'Data Entry'!D1245)</f>
        <v/>
      </c>
      <c r="E1245" s="12">
        <f>IF('Data Entry'!A1245="","",'Data Entry'!E1245)</f>
        <v/>
      </c>
      <c r="F1245" s="12">
        <f>IF('Data Entry'!A1245="","",'Data Entry'!F1245)</f>
        <v/>
      </c>
      <c r="G1245" s="13">
        <f>IF('Data Entry'!A1245="","",'Data Entry'!G1245)</f>
        <v/>
      </c>
      <c r="H1245" s="10">
        <f>IF('Data Entry'!A1245="","",'Data Entry'!H1245)</f>
        <v/>
      </c>
      <c r="I1245" s="10">
        <f>IF('Data Entry'!A1245="","",'Data Entry'!I1245)</f>
        <v/>
      </c>
      <c r="J1245" s="12">
        <f>IF('Data Entry'!A1245="","",IF('Data Entry'!D1245&lt;&gt;"",'Data Entry'!D1245,'Data Entry'!E1245))</f>
        <v/>
      </c>
      <c r="K1245" s="10">
        <f>IF('Data Entry'!A1245="","",IFERROR(SUMIFS($H$5:$H$2001,$J$5:$J$2001,$J1245,$B$5:$B$2001,$B1245,$A$5:$A$2001,(MAXIFS($A$5:$A$2001,$J$5:$J$2001,$J1245,$B$5:$B$2001,$B1245,$A$5:$A$2001,"&lt;"&amp;$A1245))),""))</f>
        <v/>
      </c>
      <c r="L1245" s="14">
        <f>IF(OR('Data Entry'!A1245="",$K1245=""),"",$H1245-$K1245)</f>
        <v/>
      </c>
      <c r="M1245" s="15">
        <f>IF(OR('Data Entry'!A1245="",$K1245="",$K1245=0),"",$L1245/$K1245)</f>
        <v/>
      </c>
      <c r="N1245" s="12">
        <f>IF('Data Entry'!A1245="","",IF($L1245="","New item",IF($L1245&gt;0,"UP",IF($L1245&lt;0,"down","same"))))</f>
        <v/>
      </c>
    </row>
    <row r="1246">
      <c r="A1246" s="11">
        <f>IF('Data Entry'!A1246="","",'Data Entry'!A1246)</f>
        <v/>
      </c>
      <c r="B1246" s="12">
        <f>IF('Data Entry'!A1246="","",'Data Entry'!B1246)</f>
        <v/>
      </c>
      <c r="C1246" s="12">
        <f>IF('Data Entry'!A1246="","",'Data Entry'!C1246)</f>
        <v/>
      </c>
      <c r="D1246" s="12">
        <f>IF('Data Entry'!A1246="","",'Data Entry'!D1246)</f>
        <v/>
      </c>
      <c r="E1246" s="12">
        <f>IF('Data Entry'!A1246="","",'Data Entry'!E1246)</f>
        <v/>
      </c>
      <c r="F1246" s="12">
        <f>IF('Data Entry'!A1246="","",'Data Entry'!F1246)</f>
        <v/>
      </c>
      <c r="G1246" s="13">
        <f>IF('Data Entry'!A1246="","",'Data Entry'!G1246)</f>
        <v/>
      </c>
      <c r="H1246" s="10">
        <f>IF('Data Entry'!A1246="","",'Data Entry'!H1246)</f>
        <v/>
      </c>
      <c r="I1246" s="10">
        <f>IF('Data Entry'!A1246="","",'Data Entry'!I1246)</f>
        <v/>
      </c>
      <c r="J1246" s="12">
        <f>IF('Data Entry'!A1246="","",IF('Data Entry'!D1246&lt;&gt;"",'Data Entry'!D1246,'Data Entry'!E1246))</f>
        <v/>
      </c>
      <c r="K1246" s="10">
        <f>IF('Data Entry'!A1246="","",IFERROR(SUMIFS($H$5:$H$2001,$J$5:$J$2001,$J1246,$B$5:$B$2001,$B1246,$A$5:$A$2001,(MAXIFS($A$5:$A$2001,$J$5:$J$2001,$J1246,$B$5:$B$2001,$B1246,$A$5:$A$2001,"&lt;"&amp;$A1246))),""))</f>
        <v/>
      </c>
      <c r="L1246" s="14">
        <f>IF(OR('Data Entry'!A1246="",$K1246=""),"",$H1246-$K1246)</f>
        <v/>
      </c>
      <c r="M1246" s="15">
        <f>IF(OR('Data Entry'!A1246="",$K1246="",$K1246=0),"",$L1246/$K1246)</f>
        <v/>
      </c>
      <c r="N1246" s="12">
        <f>IF('Data Entry'!A1246="","",IF($L1246="","New item",IF($L1246&gt;0,"UP",IF($L1246&lt;0,"down","same"))))</f>
        <v/>
      </c>
    </row>
    <row r="1247">
      <c r="A1247" s="11">
        <f>IF('Data Entry'!A1247="","",'Data Entry'!A1247)</f>
        <v/>
      </c>
      <c r="B1247" s="12">
        <f>IF('Data Entry'!A1247="","",'Data Entry'!B1247)</f>
        <v/>
      </c>
      <c r="C1247" s="12">
        <f>IF('Data Entry'!A1247="","",'Data Entry'!C1247)</f>
        <v/>
      </c>
      <c r="D1247" s="12">
        <f>IF('Data Entry'!A1247="","",'Data Entry'!D1247)</f>
        <v/>
      </c>
      <c r="E1247" s="12">
        <f>IF('Data Entry'!A1247="","",'Data Entry'!E1247)</f>
        <v/>
      </c>
      <c r="F1247" s="12">
        <f>IF('Data Entry'!A1247="","",'Data Entry'!F1247)</f>
        <v/>
      </c>
      <c r="G1247" s="13">
        <f>IF('Data Entry'!A1247="","",'Data Entry'!G1247)</f>
        <v/>
      </c>
      <c r="H1247" s="10">
        <f>IF('Data Entry'!A1247="","",'Data Entry'!H1247)</f>
        <v/>
      </c>
      <c r="I1247" s="10">
        <f>IF('Data Entry'!A1247="","",'Data Entry'!I1247)</f>
        <v/>
      </c>
      <c r="J1247" s="12">
        <f>IF('Data Entry'!A1247="","",IF('Data Entry'!D1247&lt;&gt;"",'Data Entry'!D1247,'Data Entry'!E1247))</f>
        <v/>
      </c>
      <c r="K1247" s="10">
        <f>IF('Data Entry'!A1247="","",IFERROR(SUMIFS($H$5:$H$2001,$J$5:$J$2001,$J1247,$B$5:$B$2001,$B1247,$A$5:$A$2001,(MAXIFS($A$5:$A$2001,$J$5:$J$2001,$J1247,$B$5:$B$2001,$B1247,$A$5:$A$2001,"&lt;"&amp;$A1247))),""))</f>
        <v/>
      </c>
      <c r="L1247" s="14">
        <f>IF(OR('Data Entry'!A1247="",$K1247=""),"",$H1247-$K1247)</f>
        <v/>
      </c>
      <c r="M1247" s="15">
        <f>IF(OR('Data Entry'!A1247="",$K1247="",$K1247=0),"",$L1247/$K1247)</f>
        <v/>
      </c>
      <c r="N1247" s="12">
        <f>IF('Data Entry'!A1247="","",IF($L1247="","New item",IF($L1247&gt;0,"UP",IF($L1247&lt;0,"down","same"))))</f>
        <v/>
      </c>
    </row>
    <row r="1248">
      <c r="A1248" s="11">
        <f>IF('Data Entry'!A1248="","",'Data Entry'!A1248)</f>
        <v/>
      </c>
      <c r="B1248" s="12">
        <f>IF('Data Entry'!A1248="","",'Data Entry'!B1248)</f>
        <v/>
      </c>
      <c r="C1248" s="12">
        <f>IF('Data Entry'!A1248="","",'Data Entry'!C1248)</f>
        <v/>
      </c>
      <c r="D1248" s="12">
        <f>IF('Data Entry'!A1248="","",'Data Entry'!D1248)</f>
        <v/>
      </c>
      <c r="E1248" s="12">
        <f>IF('Data Entry'!A1248="","",'Data Entry'!E1248)</f>
        <v/>
      </c>
      <c r="F1248" s="12">
        <f>IF('Data Entry'!A1248="","",'Data Entry'!F1248)</f>
        <v/>
      </c>
      <c r="G1248" s="13">
        <f>IF('Data Entry'!A1248="","",'Data Entry'!G1248)</f>
        <v/>
      </c>
      <c r="H1248" s="10">
        <f>IF('Data Entry'!A1248="","",'Data Entry'!H1248)</f>
        <v/>
      </c>
      <c r="I1248" s="10">
        <f>IF('Data Entry'!A1248="","",'Data Entry'!I1248)</f>
        <v/>
      </c>
      <c r="J1248" s="12">
        <f>IF('Data Entry'!A1248="","",IF('Data Entry'!D1248&lt;&gt;"",'Data Entry'!D1248,'Data Entry'!E1248))</f>
        <v/>
      </c>
      <c r="K1248" s="10">
        <f>IF('Data Entry'!A1248="","",IFERROR(SUMIFS($H$5:$H$2001,$J$5:$J$2001,$J1248,$B$5:$B$2001,$B1248,$A$5:$A$2001,(MAXIFS($A$5:$A$2001,$J$5:$J$2001,$J1248,$B$5:$B$2001,$B1248,$A$5:$A$2001,"&lt;"&amp;$A1248))),""))</f>
        <v/>
      </c>
      <c r="L1248" s="14">
        <f>IF(OR('Data Entry'!A1248="",$K1248=""),"",$H1248-$K1248)</f>
        <v/>
      </c>
      <c r="M1248" s="15">
        <f>IF(OR('Data Entry'!A1248="",$K1248="",$K1248=0),"",$L1248/$K1248)</f>
        <v/>
      </c>
      <c r="N1248" s="12">
        <f>IF('Data Entry'!A1248="","",IF($L1248="","New item",IF($L1248&gt;0,"UP",IF($L1248&lt;0,"down","same"))))</f>
        <v/>
      </c>
    </row>
    <row r="1249">
      <c r="A1249" s="11">
        <f>IF('Data Entry'!A1249="","",'Data Entry'!A1249)</f>
        <v/>
      </c>
      <c r="B1249" s="12">
        <f>IF('Data Entry'!A1249="","",'Data Entry'!B1249)</f>
        <v/>
      </c>
      <c r="C1249" s="12">
        <f>IF('Data Entry'!A1249="","",'Data Entry'!C1249)</f>
        <v/>
      </c>
      <c r="D1249" s="12">
        <f>IF('Data Entry'!A1249="","",'Data Entry'!D1249)</f>
        <v/>
      </c>
      <c r="E1249" s="12">
        <f>IF('Data Entry'!A1249="","",'Data Entry'!E1249)</f>
        <v/>
      </c>
      <c r="F1249" s="12">
        <f>IF('Data Entry'!A1249="","",'Data Entry'!F1249)</f>
        <v/>
      </c>
      <c r="G1249" s="13">
        <f>IF('Data Entry'!A1249="","",'Data Entry'!G1249)</f>
        <v/>
      </c>
      <c r="H1249" s="10">
        <f>IF('Data Entry'!A1249="","",'Data Entry'!H1249)</f>
        <v/>
      </c>
      <c r="I1249" s="10">
        <f>IF('Data Entry'!A1249="","",'Data Entry'!I1249)</f>
        <v/>
      </c>
      <c r="J1249" s="12">
        <f>IF('Data Entry'!A1249="","",IF('Data Entry'!D1249&lt;&gt;"",'Data Entry'!D1249,'Data Entry'!E1249))</f>
        <v/>
      </c>
      <c r="K1249" s="10">
        <f>IF('Data Entry'!A1249="","",IFERROR(SUMIFS($H$5:$H$2001,$J$5:$J$2001,$J1249,$B$5:$B$2001,$B1249,$A$5:$A$2001,(MAXIFS($A$5:$A$2001,$J$5:$J$2001,$J1249,$B$5:$B$2001,$B1249,$A$5:$A$2001,"&lt;"&amp;$A1249))),""))</f>
        <v/>
      </c>
      <c r="L1249" s="14">
        <f>IF(OR('Data Entry'!A1249="",$K1249=""),"",$H1249-$K1249)</f>
        <v/>
      </c>
      <c r="M1249" s="15">
        <f>IF(OR('Data Entry'!A1249="",$K1249="",$K1249=0),"",$L1249/$K1249)</f>
        <v/>
      </c>
      <c r="N1249" s="12">
        <f>IF('Data Entry'!A1249="","",IF($L1249="","New item",IF($L1249&gt;0,"UP",IF($L1249&lt;0,"down","same"))))</f>
        <v/>
      </c>
    </row>
    <row r="1250">
      <c r="A1250" s="11">
        <f>IF('Data Entry'!A1250="","",'Data Entry'!A1250)</f>
        <v/>
      </c>
      <c r="B1250" s="12">
        <f>IF('Data Entry'!A1250="","",'Data Entry'!B1250)</f>
        <v/>
      </c>
      <c r="C1250" s="12">
        <f>IF('Data Entry'!A1250="","",'Data Entry'!C1250)</f>
        <v/>
      </c>
      <c r="D1250" s="12">
        <f>IF('Data Entry'!A1250="","",'Data Entry'!D1250)</f>
        <v/>
      </c>
      <c r="E1250" s="12">
        <f>IF('Data Entry'!A1250="","",'Data Entry'!E1250)</f>
        <v/>
      </c>
      <c r="F1250" s="12">
        <f>IF('Data Entry'!A1250="","",'Data Entry'!F1250)</f>
        <v/>
      </c>
      <c r="G1250" s="13">
        <f>IF('Data Entry'!A1250="","",'Data Entry'!G1250)</f>
        <v/>
      </c>
      <c r="H1250" s="10">
        <f>IF('Data Entry'!A1250="","",'Data Entry'!H1250)</f>
        <v/>
      </c>
      <c r="I1250" s="10">
        <f>IF('Data Entry'!A1250="","",'Data Entry'!I1250)</f>
        <v/>
      </c>
      <c r="J1250" s="12">
        <f>IF('Data Entry'!A1250="","",IF('Data Entry'!D1250&lt;&gt;"",'Data Entry'!D1250,'Data Entry'!E1250))</f>
        <v/>
      </c>
      <c r="K1250" s="10">
        <f>IF('Data Entry'!A1250="","",IFERROR(SUMIFS($H$5:$H$2001,$J$5:$J$2001,$J1250,$B$5:$B$2001,$B1250,$A$5:$A$2001,(MAXIFS($A$5:$A$2001,$J$5:$J$2001,$J1250,$B$5:$B$2001,$B1250,$A$5:$A$2001,"&lt;"&amp;$A1250))),""))</f>
        <v/>
      </c>
      <c r="L1250" s="14">
        <f>IF(OR('Data Entry'!A1250="",$K1250=""),"",$H1250-$K1250)</f>
        <v/>
      </c>
      <c r="M1250" s="15">
        <f>IF(OR('Data Entry'!A1250="",$K1250="",$K1250=0),"",$L1250/$K1250)</f>
        <v/>
      </c>
      <c r="N1250" s="12">
        <f>IF('Data Entry'!A1250="","",IF($L1250="","New item",IF($L1250&gt;0,"UP",IF($L1250&lt;0,"down","same"))))</f>
        <v/>
      </c>
    </row>
    <row r="1251">
      <c r="A1251" s="11">
        <f>IF('Data Entry'!A1251="","",'Data Entry'!A1251)</f>
        <v/>
      </c>
      <c r="B1251" s="12">
        <f>IF('Data Entry'!A1251="","",'Data Entry'!B1251)</f>
        <v/>
      </c>
      <c r="C1251" s="12">
        <f>IF('Data Entry'!A1251="","",'Data Entry'!C1251)</f>
        <v/>
      </c>
      <c r="D1251" s="12">
        <f>IF('Data Entry'!A1251="","",'Data Entry'!D1251)</f>
        <v/>
      </c>
      <c r="E1251" s="12">
        <f>IF('Data Entry'!A1251="","",'Data Entry'!E1251)</f>
        <v/>
      </c>
      <c r="F1251" s="12">
        <f>IF('Data Entry'!A1251="","",'Data Entry'!F1251)</f>
        <v/>
      </c>
      <c r="G1251" s="13">
        <f>IF('Data Entry'!A1251="","",'Data Entry'!G1251)</f>
        <v/>
      </c>
      <c r="H1251" s="10">
        <f>IF('Data Entry'!A1251="","",'Data Entry'!H1251)</f>
        <v/>
      </c>
      <c r="I1251" s="10">
        <f>IF('Data Entry'!A1251="","",'Data Entry'!I1251)</f>
        <v/>
      </c>
      <c r="J1251" s="12">
        <f>IF('Data Entry'!A1251="","",IF('Data Entry'!D1251&lt;&gt;"",'Data Entry'!D1251,'Data Entry'!E1251))</f>
        <v/>
      </c>
      <c r="K1251" s="10">
        <f>IF('Data Entry'!A1251="","",IFERROR(SUMIFS($H$5:$H$2001,$J$5:$J$2001,$J1251,$B$5:$B$2001,$B1251,$A$5:$A$2001,(MAXIFS($A$5:$A$2001,$J$5:$J$2001,$J1251,$B$5:$B$2001,$B1251,$A$5:$A$2001,"&lt;"&amp;$A1251))),""))</f>
        <v/>
      </c>
      <c r="L1251" s="14">
        <f>IF(OR('Data Entry'!A1251="",$K1251=""),"",$H1251-$K1251)</f>
        <v/>
      </c>
      <c r="M1251" s="15">
        <f>IF(OR('Data Entry'!A1251="",$K1251="",$K1251=0),"",$L1251/$K1251)</f>
        <v/>
      </c>
      <c r="N1251" s="12">
        <f>IF('Data Entry'!A1251="","",IF($L1251="","New item",IF($L1251&gt;0,"UP",IF($L1251&lt;0,"down","same"))))</f>
        <v/>
      </c>
    </row>
    <row r="1252">
      <c r="A1252" s="11">
        <f>IF('Data Entry'!A1252="","",'Data Entry'!A1252)</f>
        <v/>
      </c>
      <c r="B1252" s="12">
        <f>IF('Data Entry'!A1252="","",'Data Entry'!B1252)</f>
        <v/>
      </c>
      <c r="C1252" s="12">
        <f>IF('Data Entry'!A1252="","",'Data Entry'!C1252)</f>
        <v/>
      </c>
      <c r="D1252" s="12">
        <f>IF('Data Entry'!A1252="","",'Data Entry'!D1252)</f>
        <v/>
      </c>
      <c r="E1252" s="12">
        <f>IF('Data Entry'!A1252="","",'Data Entry'!E1252)</f>
        <v/>
      </c>
      <c r="F1252" s="12">
        <f>IF('Data Entry'!A1252="","",'Data Entry'!F1252)</f>
        <v/>
      </c>
      <c r="G1252" s="13">
        <f>IF('Data Entry'!A1252="","",'Data Entry'!G1252)</f>
        <v/>
      </c>
      <c r="H1252" s="10">
        <f>IF('Data Entry'!A1252="","",'Data Entry'!H1252)</f>
        <v/>
      </c>
      <c r="I1252" s="10">
        <f>IF('Data Entry'!A1252="","",'Data Entry'!I1252)</f>
        <v/>
      </c>
      <c r="J1252" s="12">
        <f>IF('Data Entry'!A1252="","",IF('Data Entry'!D1252&lt;&gt;"",'Data Entry'!D1252,'Data Entry'!E1252))</f>
        <v/>
      </c>
      <c r="K1252" s="10">
        <f>IF('Data Entry'!A1252="","",IFERROR(SUMIFS($H$5:$H$2001,$J$5:$J$2001,$J1252,$B$5:$B$2001,$B1252,$A$5:$A$2001,(MAXIFS($A$5:$A$2001,$J$5:$J$2001,$J1252,$B$5:$B$2001,$B1252,$A$5:$A$2001,"&lt;"&amp;$A1252))),""))</f>
        <v/>
      </c>
      <c r="L1252" s="14">
        <f>IF(OR('Data Entry'!A1252="",$K1252=""),"",$H1252-$K1252)</f>
        <v/>
      </c>
      <c r="M1252" s="15">
        <f>IF(OR('Data Entry'!A1252="",$K1252="",$K1252=0),"",$L1252/$K1252)</f>
        <v/>
      </c>
      <c r="N1252" s="12">
        <f>IF('Data Entry'!A1252="","",IF($L1252="","New item",IF($L1252&gt;0,"UP",IF($L1252&lt;0,"down","same"))))</f>
        <v/>
      </c>
    </row>
    <row r="1253">
      <c r="A1253" s="11">
        <f>IF('Data Entry'!A1253="","",'Data Entry'!A1253)</f>
        <v/>
      </c>
      <c r="B1253" s="12">
        <f>IF('Data Entry'!A1253="","",'Data Entry'!B1253)</f>
        <v/>
      </c>
      <c r="C1253" s="12">
        <f>IF('Data Entry'!A1253="","",'Data Entry'!C1253)</f>
        <v/>
      </c>
      <c r="D1253" s="12">
        <f>IF('Data Entry'!A1253="","",'Data Entry'!D1253)</f>
        <v/>
      </c>
      <c r="E1253" s="12">
        <f>IF('Data Entry'!A1253="","",'Data Entry'!E1253)</f>
        <v/>
      </c>
      <c r="F1253" s="12">
        <f>IF('Data Entry'!A1253="","",'Data Entry'!F1253)</f>
        <v/>
      </c>
      <c r="G1253" s="13">
        <f>IF('Data Entry'!A1253="","",'Data Entry'!G1253)</f>
        <v/>
      </c>
      <c r="H1253" s="10">
        <f>IF('Data Entry'!A1253="","",'Data Entry'!H1253)</f>
        <v/>
      </c>
      <c r="I1253" s="10">
        <f>IF('Data Entry'!A1253="","",'Data Entry'!I1253)</f>
        <v/>
      </c>
      <c r="J1253" s="12">
        <f>IF('Data Entry'!A1253="","",IF('Data Entry'!D1253&lt;&gt;"",'Data Entry'!D1253,'Data Entry'!E1253))</f>
        <v/>
      </c>
      <c r="K1253" s="10">
        <f>IF('Data Entry'!A1253="","",IFERROR(SUMIFS($H$5:$H$2001,$J$5:$J$2001,$J1253,$B$5:$B$2001,$B1253,$A$5:$A$2001,(MAXIFS($A$5:$A$2001,$J$5:$J$2001,$J1253,$B$5:$B$2001,$B1253,$A$5:$A$2001,"&lt;"&amp;$A1253))),""))</f>
        <v/>
      </c>
      <c r="L1253" s="14">
        <f>IF(OR('Data Entry'!A1253="",$K1253=""),"",$H1253-$K1253)</f>
        <v/>
      </c>
      <c r="M1253" s="15">
        <f>IF(OR('Data Entry'!A1253="",$K1253="",$K1253=0),"",$L1253/$K1253)</f>
        <v/>
      </c>
      <c r="N1253" s="12">
        <f>IF('Data Entry'!A1253="","",IF($L1253="","New item",IF($L1253&gt;0,"UP",IF($L1253&lt;0,"down","same"))))</f>
        <v/>
      </c>
    </row>
    <row r="1254">
      <c r="A1254" s="11">
        <f>IF('Data Entry'!A1254="","",'Data Entry'!A1254)</f>
        <v/>
      </c>
      <c r="B1254" s="12">
        <f>IF('Data Entry'!A1254="","",'Data Entry'!B1254)</f>
        <v/>
      </c>
      <c r="C1254" s="12">
        <f>IF('Data Entry'!A1254="","",'Data Entry'!C1254)</f>
        <v/>
      </c>
      <c r="D1254" s="12">
        <f>IF('Data Entry'!A1254="","",'Data Entry'!D1254)</f>
        <v/>
      </c>
      <c r="E1254" s="12">
        <f>IF('Data Entry'!A1254="","",'Data Entry'!E1254)</f>
        <v/>
      </c>
      <c r="F1254" s="12">
        <f>IF('Data Entry'!A1254="","",'Data Entry'!F1254)</f>
        <v/>
      </c>
      <c r="G1254" s="13">
        <f>IF('Data Entry'!A1254="","",'Data Entry'!G1254)</f>
        <v/>
      </c>
      <c r="H1254" s="10">
        <f>IF('Data Entry'!A1254="","",'Data Entry'!H1254)</f>
        <v/>
      </c>
      <c r="I1254" s="10">
        <f>IF('Data Entry'!A1254="","",'Data Entry'!I1254)</f>
        <v/>
      </c>
      <c r="J1254" s="12">
        <f>IF('Data Entry'!A1254="","",IF('Data Entry'!D1254&lt;&gt;"",'Data Entry'!D1254,'Data Entry'!E1254))</f>
        <v/>
      </c>
      <c r="K1254" s="10">
        <f>IF('Data Entry'!A1254="","",IFERROR(SUMIFS($H$5:$H$2001,$J$5:$J$2001,$J1254,$B$5:$B$2001,$B1254,$A$5:$A$2001,(MAXIFS($A$5:$A$2001,$J$5:$J$2001,$J1254,$B$5:$B$2001,$B1254,$A$5:$A$2001,"&lt;"&amp;$A1254))),""))</f>
        <v/>
      </c>
      <c r="L1254" s="14">
        <f>IF(OR('Data Entry'!A1254="",$K1254=""),"",$H1254-$K1254)</f>
        <v/>
      </c>
      <c r="M1254" s="15">
        <f>IF(OR('Data Entry'!A1254="",$K1254="",$K1254=0),"",$L1254/$K1254)</f>
        <v/>
      </c>
      <c r="N1254" s="12">
        <f>IF('Data Entry'!A1254="","",IF($L1254="","New item",IF($L1254&gt;0,"UP",IF($L1254&lt;0,"down","same"))))</f>
        <v/>
      </c>
    </row>
    <row r="1255">
      <c r="A1255" s="11">
        <f>IF('Data Entry'!A1255="","",'Data Entry'!A1255)</f>
        <v/>
      </c>
      <c r="B1255" s="12">
        <f>IF('Data Entry'!A1255="","",'Data Entry'!B1255)</f>
        <v/>
      </c>
      <c r="C1255" s="12">
        <f>IF('Data Entry'!A1255="","",'Data Entry'!C1255)</f>
        <v/>
      </c>
      <c r="D1255" s="12">
        <f>IF('Data Entry'!A1255="","",'Data Entry'!D1255)</f>
        <v/>
      </c>
      <c r="E1255" s="12">
        <f>IF('Data Entry'!A1255="","",'Data Entry'!E1255)</f>
        <v/>
      </c>
      <c r="F1255" s="12">
        <f>IF('Data Entry'!A1255="","",'Data Entry'!F1255)</f>
        <v/>
      </c>
      <c r="G1255" s="13">
        <f>IF('Data Entry'!A1255="","",'Data Entry'!G1255)</f>
        <v/>
      </c>
      <c r="H1255" s="10">
        <f>IF('Data Entry'!A1255="","",'Data Entry'!H1255)</f>
        <v/>
      </c>
      <c r="I1255" s="10">
        <f>IF('Data Entry'!A1255="","",'Data Entry'!I1255)</f>
        <v/>
      </c>
      <c r="J1255" s="12">
        <f>IF('Data Entry'!A1255="","",IF('Data Entry'!D1255&lt;&gt;"",'Data Entry'!D1255,'Data Entry'!E1255))</f>
        <v/>
      </c>
      <c r="K1255" s="10">
        <f>IF('Data Entry'!A1255="","",IFERROR(SUMIFS($H$5:$H$2001,$J$5:$J$2001,$J1255,$B$5:$B$2001,$B1255,$A$5:$A$2001,(MAXIFS($A$5:$A$2001,$J$5:$J$2001,$J1255,$B$5:$B$2001,$B1255,$A$5:$A$2001,"&lt;"&amp;$A1255))),""))</f>
        <v/>
      </c>
      <c r="L1255" s="14">
        <f>IF(OR('Data Entry'!A1255="",$K1255=""),"",$H1255-$K1255)</f>
        <v/>
      </c>
      <c r="M1255" s="15">
        <f>IF(OR('Data Entry'!A1255="",$K1255="",$K1255=0),"",$L1255/$K1255)</f>
        <v/>
      </c>
      <c r="N1255" s="12">
        <f>IF('Data Entry'!A1255="","",IF($L1255="","New item",IF($L1255&gt;0,"UP",IF($L1255&lt;0,"down","same"))))</f>
        <v/>
      </c>
    </row>
    <row r="1256">
      <c r="A1256" s="11">
        <f>IF('Data Entry'!A1256="","",'Data Entry'!A1256)</f>
        <v/>
      </c>
      <c r="B1256" s="12">
        <f>IF('Data Entry'!A1256="","",'Data Entry'!B1256)</f>
        <v/>
      </c>
      <c r="C1256" s="12">
        <f>IF('Data Entry'!A1256="","",'Data Entry'!C1256)</f>
        <v/>
      </c>
      <c r="D1256" s="12">
        <f>IF('Data Entry'!A1256="","",'Data Entry'!D1256)</f>
        <v/>
      </c>
      <c r="E1256" s="12">
        <f>IF('Data Entry'!A1256="","",'Data Entry'!E1256)</f>
        <v/>
      </c>
      <c r="F1256" s="12">
        <f>IF('Data Entry'!A1256="","",'Data Entry'!F1256)</f>
        <v/>
      </c>
      <c r="G1256" s="13">
        <f>IF('Data Entry'!A1256="","",'Data Entry'!G1256)</f>
        <v/>
      </c>
      <c r="H1256" s="10">
        <f>IF('Data Entry'!A1256="","",'Data Entry'!H1256)</f>
        <v/>
      </c>
      <c r="I1256" s="10">
        <f>IF('Data Entry'!A1256="","",'Data Entry'!I1256)</f>
        <v/>
      </c>
      <c r="J1256" s="12">
        <f>IF('Data Entry'!A1256="","",IF('Data Entry'!D1256&lt;&gt;"",'Data Entry'!D1256,'Data Entry'!E1256))</f>
        <v/>
      </c>
      <c r="K1256" s="10">
        <f>IF('Data Entry'!A1256="","",IFERROR(SUMIFS($H$5:$H$2001,$J$5:$J$2001,$J1256,$B$5:$B$2001,$B1256,$A$5:$A$2001,(MAXIFS($A$5:$A$2001,$J$5:$J$2001,$J1256,$B$5:$B$2001,$B1256,$A$5:$A$2001,"&lt;"&amp;$A1256))),""))</f>
        <v/>
      </c>
      <c r="L1256" s="14">
        <f>IF(OR('Data Entry'!A1256="",$K1256=""),"",$H1256-$K1256)</f>
        <v/>
      </c>
      <c r="M1256" s="15">
        <f>IF(OR('Data Entry'!A1256="",$K1256="",$K1256=0),"",$L1256/$K1256)</f>
        <v/>
      </c>
      <c r="N1256" s="12">
        <f>IF('Data Entry'!A1256="","",IF($L1256="","New item",IF($L1256&gt;0,"UP",IF($L1256&lt;0,"down","same"))))</f>
        <v/>
      </c>
    </row>
    <row r="1257">
      <c r="A1257" s="11">
        <f>IF('Data Entry'!A1257="","",'Data Entry'!A1257)</f>
        <v/>
      </c>
      <c r="B1257" s="12">
        <f>IF('Data Entry'!A1257="","",'Data Entry'!B1257)</f>
        <v/>
      </c>
      <c r="C1257" s="12">
        <f>IF('Data Entry'!A1257="","",'Data Entry'!C1257)</f>
        <v/>
      </c>
      <c r="D1257" s="12">
        <f>IF('Data Entry'!A1257="","",'Data Entry'!D1257)</f>
        <v/>
      </c>
      <c r="E1257" s="12">
        <f>IF('Data Entry'!A1257="","",'Data Entry'!E1257)</f>
        <v/>
      </c>
      <c r="F1257" s="12">
        <f>IF('Data Entry'!A1257="","",'Data Entry'!F1257)</f>
        <v/>
      </c>
      <c r="G1257" s="13">
        <f>IF('Data Entry'!A1257="","",'Data Entry'!G1257)</f>
        <v/>
      </c>
      <c r="H1257" s="10">
        <f>IF('Data Entry'!A1257="","",'Data Entry'!H1257)</f>
        <v/>
      </c>
      <c r="I1257" s="10">
        <f>IF('Data Entry'!A1257="","",'Data Entry'!I1257)</f>
        <v/>
      </c>
      <c r="J1257" s="12">
        <f>IF('Data Entry'!A1257="","",IF('Data Entry'!D1257&lt;&gt;"",'Data Entry'!D1257,'Data Entry'!E1257))</f>
        <v/>
      </c>
      <c r="K1257" s="10">
        <f>IF('Data Entry'!A1257="","",IFERROR(SUMIFS($H$5:$H$2001,$J$5:$J$2001,$J1257,$B$5:$B$2001,$B1257,$A$5:$A$2001,(MAXIFS($A$5:$A$2001,$J$5:$J$2001,$J1257,$B$5:$B$2001,$B1257,$A$5:$A$2001,"&lt;"&amp;$A1257))),""))</f>
        <v/>
      </c>
      <c r="L1257" s="14">
        <f>IF(OR('Data Entry'!A1257="",$K1257=""),"",$H1257-$K1257)</f>
        <v/>
      </c>
      <c r="M1257" s="15">
        <f>IF(OR('Data Entry'!A1257="",$K1257="",$K1257=0),"",$L1257/$K1257)</f>
        <v/>
      </c>
      <c r="N1257" s="12">
        <f>IF('Data Entry'!A1257="","",IF($L1257="","New item",IF($L1257&gt;0,"UP",IF($L1257&lt;0,"down","same"))))</f>
        <v/>
      </c>
    </row>
    <row r="1258">
      <c r="A1258" s="11">
        <f>IF('Data Entry'!A1258="","",'Data Entry'!A1258)</f>
        <v/>
      </c>
      <c r="B1258" s="12">
        <f>IF('Data Entry'!A1258="","",'Data Entry'!B1258)</f>
        <v/>
      </c>
      <c r="C1258" s="12">
        <f>IF('Data Entry'!A1258="","",'Data Entry'!C1258)</f>
        <v/>
      </c>
      <c r="D1258" s="12">
        <f>IF('Data Entry'!A1258="","",'Data Entry'!D1258)</f>
        <v/>
      </c>
      <c r="E1258" s="12">
        <f>IF('Data Entry'!A1258="","",'Data Entry'!E1258)</f>
        <v/>
      </c>
      <c r="F1258" s="12">
        <f>IF('Data Entry'!A1258="","",'Data Entry'!F1258)</f>
        <v/>
      </c>
      <c r="G1258" s="13">
        <f>IF('Data Entry'!A1258="","",'Data Entry'!G1258)</f>
        <v/>
      </c>
      <c r="H1258" s="10">
        <f>IF('Data Entry'!A1258="","",'Data Entry'!H1258)</f>
        <v/>
      </c>
      <c r="I1258" s="10">
        <f>IF('Data Entry'!A1258="","",'Data Entry'!I1258)</f>
        <v/>
      </c>
      <c r="J1258" s="12">
        <f>IF('Data Entry'!A1258="","",IF('Data Entry'!D1258&lt;&gt;"",'Data Entry'!D1258,'Data Entry'!E1258))</f>
        <v/>
      </c>
      <c r="K1258" s="10">
        <f>IF('Data Entry'!A1258="","",IFERROR(SUMIFS($H$5:$H$2001,$J$5:$J$2001,$J1258,$B$5:$B$2001,$B1258,$A$5:$A$2001,(MAXIFS($A$5:$A$2001,$J$5:$J$2001,$J1258,$B$5:$B$2001,$B1258,$A$5:$A$2001,"&lt;"&amp;$A1258))),""))</f>
        <v/>
      </c>
      <c r="L1258" s="14">
        <f>IF(OR('Data Entry'!A1258="",$K1258=""),"",$H1258-$K1258)</f>
        <v/>
      </c>
      <c r="M1258" s="15">
        <f>IF(OR('Data Entry'!A1258="",$K1258="",$K1258=0),"",$L1258/$K1258)</f>
        <v/>
      </c>
      <c r="N1258" s="12">
        <f>IF('Data Entry'!A1258="","",IF($L1258="","New item",IF($L1258&gt;0,"UP",IF($L1258&lt;0,"down","same"))))</f>
        <v/>
      </c>
    </row>
    <row r="1259">
      <c r="A1259" s="11">
        <f>IF('Data Entry'!A1259="","",'Data Entry'!A1259)</f>
        <v/>
      </c>
      <c r="B1259" s="12">
        <f>IF('Data Entry'!A1259="","",'Data Entry'!B1259)</f>
        <v/>
      </c>
      <c r="C1259" s="12">
        <f>IF('Data Entry'!A1259="","",'Data Entry'!C1259)</f>
        <v/>
      </c>
      <c r="D1259" s="12">
        <f>IF('Data Entry'!A1259="","",'Data Entry'!D1259)</f>
        <v/>
      </c>
      <c r="E1259" s="12">
        <f>IF('Data Entry'!A1259="","",'Data Entry'!E1259)</f>
        <v/>
      </c>
      <c r="F1259" s="12">
        <f>IF('Data Entry'!A1259="","",'Data Entry'!F1259)</f>
        <v/>
      </c>
      <c r="G1259" s="13">
        <f>IF('Data Entry'!A1259="","",'Data Entry'!G1259)</f>
        <v/>
      </c>
      <c r="H1259" s="10">
        <f>IF('Data Entry'!A1259="","",'Data Entry'!H1259)</f>
        <v/>
      </c>
      <c r="I1259" s="10">
        <f>IF('Data Entry'!A1259="","",'Data Entry'!I1259)</f>
        <v/>
      </c>
      <c r="J1259" s="12">
        <f>IF('Data Entry'!A1259="","",IF('Data Entry'!D1259&lt;&gt;"",'Data Entry'!D1259,'Data Entry'!E1259))</f>
        <v/>
      </c>
      <c r="K1259" s="10">
        <f>IF('Data Entry'!A1259="","",IFERROR(SUMIFS($H$5:$H$2001,$J$5:$J$2001,$J1259,$B$5:$B$2001,$B1259,$A$5:$A$2001,(MAXIFS($A$5:$A$2001,$J$5:$J$2001,$J1259,$B$5:$B$2001,$B1259,$A$5:$A$2001,"&lt;"&amp;$A1259))),""))</f>
        <v/>
      </c>
      <c r="L1259" s="14">
        <f>IF(OR('Data Entry'!A1259="",$K1259=""),"",$H1259-$K1259)</f>
        <v/>
      </c>
      <c r="M1259" s="15">
        <f>IF(OR('Data Entry'!A1259="",$K1259="",$K1259=0),"",$L1259/$K1259)</f>
        <v/>
      </c>
      <c r="N1259" s="12">
        <f>IF('Data Entry'!A1259="","",IF($L1259="","New item",IF($L1259&gt;0,"UP",IF($L1259&lt;0,"down","same"))))</f>
        <v/>
      </c>
    </row>
    <row r="1260">
      <c r="A1260" s="11">
        <f>IF('Data Entry'!A1260="","",'Data Entry'!A1260)</f>
        <v/>
      </c>
      <c r="B1260" s="12">
        <f>IF('Data Entry'!A1260="","",'Data Entry'!B1260)</f>
        <v/>
      </c>
      <c r="C1260" s="12">
        <f>IF('Data Entry'!A1260="","",'Data Entry'!C1260)</f>
        <v/>
      </c>
      <c r="D1260" s="12">
        <f>IF('Data Entry'!A1260="","",'Data Entry'!D1260)</f>
        <v/>
      </c>
      <c r="E1260" s="12">
        <f>IF('Data Entry'!A1260="","",'Data Entry'!E1260)</f>
        <v/>
      </c>
      <c r="F1260" s="12">
        <f>IF('Data Entry'!A1260="","",'Data Entry'!F1260)</f>
        <v/>
      </c>
      <c r="G1260" s="13">
        <f>IF('Data Entry'!A1260="","",'Data Entry'!G1260)</f>
        <v/>
      </c>
      <c r="H1260" s="10">
        <f>IF('Data Entry'!A1260="","",'Data Entry'!H1260)</f>
        <v/>
      </c>
      <c r="I1260" s="10">
        <f>IF('Data Entry'!A1260="","",'Data Entry'!I1260)</f>
        <v/>
      </c>
      <c r="J1260" s="12">
        <f>IF('Data Entry'!A1260="","",IF('Data Entry'!D1260&lt;&gt;"",'Data Entry'!D1260,'Data Entry'!E1260))</f>
        <v/>
      </c>
      <c r="K1260" s="10">
        <f>IF('Data Entry'!A1260="","",IFERROR(SUMIFS($H$5:$H$2001,$J$5:$J$2001,$J1260,$B$5:$B$2001,$B1260,$A$5:$A$2001,(MAXIFS($A$5:$A$2001,$J$5:$J$2001,$J1260,$B$5:$B$2001,$B1260,$A$5:$A$2001,"&lt;"&amp;$A1260))),""))</f>
        <v/>
      </c>
      <c r="L1260" s="14">
        <f>IF(OR('Data Entry'!A1260="",$K1260=""),"",$H1260-$K1260)</f>
        <v/>
      </c>
      <c r="M1260" s="15">
        <f>IF(OR('Data Entry'!A1260="",$K1260="",$K1260=0),"",$L1260/$K1260)</f>
        <v/>
      </c>
      <c r="N1260" s="12">
        <f>IF('Data Entry'!A1260="","",IF($L1260="","New item",IF($L1260&gt;0,"UP",IF($L1260&lt;0,"down","same"))))</f>
        <v/>
      </c>
    </row>
    <row r="1261">
      <c r="A1261" s="11">
        <f>IF('Data Entry'!A1261="","",'Data Entry'!A1261)</f>
        <v/>
      </c>
      <c r="B1261" s="12">
        <f>IF('Data Entry'!A1261="","",'Data Entry'!B1261)</f>
        <v/>
      </c>
      <c r="C1261" s="12">
        <f>IF('Data Entry'!A1261="","",'Data Entry'!C1261)</f>
        <v/>
      </c>
      <c r="D1261" s="12">
        <f>IF('Data Entry'!A1261="","",'Data Entry'!D1261)</f>
        <v/>
      </c>
      <c r="E1261" s="12">
        <f>IF('Data Entry'!A1261="","",'Data Entry'!E1261)</f>
        <v/>
      </c>
      <c r="F1261" s="12">
        <f>IF('Data Entry'!A1261="","",'Data Entry'!F1261)</f>
        <v/>
      </c>
      <c r="G1261" s="13">
        <f>IF('Data Entry'!A1261="","",'Data Entry'!G1261)</f>
        <v/>
      </c>
      <c r="H1261" s="10">
        <f>IF('Data Entry'!A1261="","",'Data Entry'!H1261)</f>
        <v/>
      </c>
      <c r="I1261" s="10">
        <f>IF('Data Entry'!A1261="","",'Data Entry'!I1261)</f>
        <v/>
      </c>
      <c r="J1261" s="12">
        <f>IF('Data Entry'!A1261="","",IF('Data Entry'!D1261&lt;&gt;"",'Data Entry'!D1261,'Data Entry'!E1261))</f>
        <v/>
      </c>
      <c r="K1261" s="10">
        <f>IF('Data Entry'!A1261="","",IFERROR(SUMIFS($H$5:$H$2001,$J$5:$J$2001,$J1261,$B$5:$B$2001,$B1261,$A$5:$A$2001,(MAXIFS($A$5:$A$2001,$J$5:$J$2001,$J1261,$B$5:$B$2001,$B1261,$A$5:$A$2001,"&lt;"&amp;$A1261))),""))</f>
        <v/>
      </c>
      <c r="L1261" s="14">
        <f>IF(OR('Data Entry'!A1261="",$K1261=""),"",$H1261-$K1261)</f>
        <v/>
      </c>
      <c r="M1261" s="15">
        <f>IF(OR('Data Entry'!A1261="",$K1261="",$K1261=0),"",$L1261/$K1261)</f>
        <v/>
      </c>
      <c r="N1261" s="12">
        <f>IF('Data Entry'!A1261="","",IF($L1261="","New item",IF($L1261&gt;0,"UP",IF($L1261&lt;0,"down","same"))))</f>
        <v/>
      </c>
    </row>
    <row r="1262">
      <c r="A1262" s="11">
        <f>IF('Data Entry'!A1262="","",'Data Entry'!A1262)</f>
        <v/>
      </c>
      <c r="B1262" s="12">
        <f>IF('Data Entry'!A1262="","",'Data Entry'!B1262)</f>
        <v/>
      </c>
      <c r="C1262" s="12">
        <f>IF('Data Entry'!A1262="","",'Data Entry'!C1262)</f>
        <v/>
      </c>
      <c r="D1262" s="12">
        <f>IF('Data Entry'!A1262="","",'Data Entry'!D1262)</f>
        <v/>
      </c>
      <c r="E1262" s="12">
        <f>IF('Data Entry'!A1262="","",'Data Entry'!E1262)</f>
        <v/>
      </c>
      <c r="F1262" s="12">
        <f>IF('Data Entry'!A1262="","",'Data Entry'!F1262)</f>
        <v/>
      </c>
      <c r="G1262" s="13">
        <f>IF('Data Entry'!A1262="","",'Data Entry'!G1262)</f>
        <v/>
      </c>
      <c r="H1262" s="10">
        <f>IF('Data Entry'!A1262="","",'Data Entry'!H1262)</f>
        <v/>
      </c>
      <c r="I1262" s="10">
        <f>IF('Data Entry'!A1262="","",'Data Entry'!I1262)</f>
        <v/>
      </c>
      <c r="J1262" s="12">
        <f>IF('Data Entry'!A1262="","",IF('Data Entry'!D1262&lt;&gt;"",'Data Entry'!D1262,'Data Entry'!E1262))</f>
        <v/>
      </c>
      <c r="K1262" s="10">
        <f>IF('Data Entry'!A1262="","",IFERROR(SUMIFS($H$5:$H$2001,$J$5:$J$2001,$J1262,$B$5:$B$2001,$B1262,$A$5:$A$2001,(MAXIFS($A$5:$A$2001,$J$5:$J$2001,$J1262,$B$5:$B$2001,$B1262,$A$5:$A$2001,"&lt;"&amp;$A1262))),""))</f>
        <v/>
      </c>
      <c r="L1262" s="14">
        <f>IF(OR('Data Entry'!A1262="",$K1262=""),"",$H1262-$K1262)</f>
        <v/>
      </c>
      <c r="M1262" s="15">
        <f>IF(OR('Data Entry'!A1262="",$K1262="",$K1262=0),"",$L1262/$K1262)</f>
        <v/>
      </c>
      <c r="N1262" s="12">
        <f>IF('Data Entry'!A1262="","",IF($L1262="","New item",IF($L1262&gt;0,"UP",IF($L1262&lt;0,"down","same"))))</f>
        <v/>
      </c>
    </row>
    <row r="1263">
      <c r="A1263" s="11">
        <f>IF('Data Entry'!A1263="","",'Data Entry'!A1263)</f>
        <v/>
      </c>
      <c r="B1263" s="12">
        <f>IF('Data Entry'!A1263="","",'Data Entry'!B1263)</f>
        <v/>
      </c>
      <c r="C1263" s="12">
        <f>IF('Data Entry'!A1263="","",'Data Entry'!C1263)</f>
        <v/>
      </c>
      <c r="D1263" s="12">
        <f>IF('Data Entry'!A1263="","",'Data Entry'!D1263)</f>
        <v/>
      </c>
      <c r="E1263" s="12">
        <f>IF('Data Entry'!A1263="","",'Data Entry'!E1263)</f>
        <v/>
      </c>
      <c r="F1263" s="12">
        <f>IF('Data Entry'!A1263="","",'Data Entry'!F1263)</f>
        <v/>
      </c>
      <c r="G1263" s="13">
        <f>IF('Data Entry'!A1263="","",'Data Entry'!G1263)</f>
        <v/>
      </c>
      <c r="H1263" s="10">
        <f>IF('Data Entry'!A1263="","",'Data Entry'!H1263)</f>
        <v/>
      </c>
      <c r="I1263" s="10">
        <f>IF('Data Entry'!A1263="","",'Data Entry'!I1263)</f>
        <v/>
      </c>
      <c r="J1263" s="12">
        <f>IF('Data Entry'!A1263="","",IF('Data Entry'!D1263&lt;&gt;"",'Data Entry'!D1263,'Data Entry'!E1263))</f>
        <v/>
      </c>
      <c r="K1263" s="10">
        <f>IF('Data Entry'!A1263="","",IFERROR(SUMIFS($H$5:$H$2001,$J$5:$J$2001,$J1263,$B$5:$B$2001,$B1263,$A$5:$A$2001,(MAXIFS($A$5:$A$2001,$J$5:$J$2001,$J1263,$B$5:$B$2001,$B1263,$A$5:$A$2001,"&lt;"&amp;$A1263))),""))</f>
        <v/>
      </c>
      <c r="L1263" s="14">
        <f>IF(OR('Data Entry'!A1263="",$K1263=""),"",$H1263-$K1263)</f>
        <v/>
      </c>
      <c r="M1263" s="15">
        <f>IF(OR('Data Entry'!A1263="",$K1263="",$K1263=0),"",$L1263/$K1263)</f>
        <v/>
      </c>
      <c r="N1263" s="12">
        <f>IF('Data Entry'!A1263="","",IF($L1263="","New item",IF($L1263&gt;0,"UP",IF($L1263&lt;0,"down","same"))))</f>
        <v/>
      </c>
    </row>
    <row r="1264">
      <c r="A1264" s="11">
        <f>IF('Data Entry'!A1264="","",'Data Entry'!A1264)</f>
        <v/>
      </c>
      <c r="B1264" s="12">
        <f>IF('Data Entry'!A1264="","",'Data Entry'!B1264)</f>
        <v/>
      </c>
      <c r="C1264" s="12">
        <f>IF('Data Entry'!A1264="","",'Data Entry'!C1264)</f>
        <v/>
      </c>
      <c r="D1264" s="12">
        <f>IF('Data Entry'!A1264="","",'Data Entry'!D1264)</f>
        <v/>
      </c>
      <c r="E1264" s="12">
        <f>IF('Data Entry'!A1264="","",'Data Entry'!E1264)</f>
        <v/>
      </c>
      <c r="F1264" s="12">
        <f>IF('Data Entry'!A1264="","",'Data Entry'!F1264)</f>
        <v/>
      </c>
      <c r="G1264" s="13">
        <f>IF('Data Entry'!A1264="","",'Data Entry'!G1264)</f>
        <v/>
      </c>
      <c r="H1264" s="10">
        <f>IF('Data Entry'!A1264="","",'Data Entry'!H1264)</f>
        <v/>
      </c>
      <c r="I1264" s="10">
        <f>IF('Data Entry'!A1264="","",'Data Entry'!I1264)</f>
        <v/>
      </c>
      <c r="J1264" s="12">
        <f>IF('Data Entry'!A1264="","",IF('Data Entry'!D1264&lt;&gt;"",'Data Entry'!D1264,'Data Entry'!E1264))</f>
        <v/>
      </c>
      <c r="K1264" s="10">
        <f>IF('Data Entry'!A1264="","",IFERROR(SUMIFS($H$5:$H$2001,$J$5:$J$2001,$J1264,$B$5:$B$2001,$B1264,$A$5:$A$2001,(MAXIFS($A$5:$A$2001,$J$5:$J$2001,$J1264,$B$5:$B$2001,$B1264,$A$5:$A$2001,"&lt;"&amp;$A1264))),""))</f>
        <v/>
      </c>
      <c r="L1264" s="14">
        <f>IF(OR('Data Entry'!A1264="",$K1264=""),"",$H1264-$K1264)</f>
        <v/>
      </c>
      <c r="M1264" s="15">
        <f>IF(OR('Data Entry'!A1264="",$K1264="",$K1264=0),"",$L1264/$K1264)</f>
        <v/>
      </c>
      <c r="N1264" s="12">
        <f>IF('Data Entry'!A1264="","",IF($L1264="","New item",IF($L1264&gt;0,"UP",IF($L1264&lt;0,"down","same"))))</f>
        <v/>
      </c>
    </row>
    <row r="1265">
      <c r="A1265" s="11">
        <f>IF('Data Entry'!A1265="","",'Data Entry'!A1265)</f>
        <v/>
      </c>
      <c r="B1265" s="12">
        <f>IF('Data Entry'!A1265="","",'Data Entry'!B1265)</f>
        <v/>
      </c>
      <c r="C1265" s="12">
        <f>IF('Data Entry'!A1265="","",'Data Entry'!C1265)</f>
        <v/>
      </c>
      <c r="D1265" s="12">
        <f>IF('Data Entry'!A1265="","",'Data Entry'!D1265)</f>
        <v/>
      </c>
      <c r="E1265" s="12">
        <f>IF('Data Entry'!A1265="","",'Data Entry'!E1265)</f>
        <v/>
      </c>
      <c r="F1265" s="12">
        <f>IF('Data Entry'!A1265="","",'Data Entry'!F1265)</f>
        <v/>
      </c>
      <c r="G1265" s="13">
        <f>IF('Data Entry'!A1265="","",'Data Entry'!G1265)</f>
        <v/>
      </c>
      <c r="H1265" s="10">
        <f>IF('Data Entry'!A1265="","",'Data Entry'!H1265)</f>
        <v/>
      </c>
      <c r="I1265" s="10">
        <f>IF('Data Entry'!A1265="","",'Data Entry'!I1265)</f>
        <v/>
      </c>
      <c r="J1265" s="12">
        <f>IF('Data Entry'!A1265="","",IF('Data Entry'!D1265&lt;&gt;"",'Data Entry'!D1265,'Data Entry'!E1265))</f>
        <v/>
      </c>
      <c r="K1265" s="10">
        <f>IF('Data Entry'!A1265="","",IFERROR(SUMIFS($H$5:$H$2001,$J$5:$J$2001,$J1265,$B$5:$B$2001,$B1265,$A$5:$A$2001,(MAXIFS($A$5:$A$2001,$J$5:$J$2001,$J1265,$B$5:$B$2001,$B1265,$A$5:$A$2001,"&lt;"&amp;$A1265))),""))</f>
        <v/>
      </c>
      <c r="L1265" s="14">
        <f>IF(OR('Data Entry'!A1265="",$K1265=""),"",$H1265-$K1265)</f>
        <v/>
      </c>
      <c r="M1265" s="15">
        <f>IF(OR('Data Entry'!A1265="",$K1265="",$K1265=0),"",$L1265/$K1265)</f>
        <v/>
      </c>
      <c r="N1265" s="12">
        <f>IF('Data Entry'!A1265="","",IF($L1265="","New item",IF($L1265&gt;0,"UP",IF($L1265&lt;0,"down","same"))))</f>
        <v/>
      </c>
    </row>
    <row r="1266">
      <c r="A1266" s="11">
        <f>IF('Data Entry'!A1266="","",'Data Entry'!A1266)</f>
        <v/>
      </c>
      <c r="B1266" s="12">
        <f>IF('Data Entry'!A1266="","",'Data Entry'!B1266)</f>
        <v/>
      </c>
      <c r="C1266" s="12">
        <f>IF('Data Entry'!A1266="","",'Data Entry'!C1266)</f>
        <v/>
      </c>
      <c r="D1266" s="12">
        <f>IF('Data Entry'!A1266="","",'Data Entry'!D1266)</f>
        <v/>
      </c>
      <c r="E1266" s="12">
        <f>IF('Data Entry'!A1266="","",'Data Entry'!E1266)</f>
        <v/>
      </c>
      <c r="F1266" s="12">
        <f>IF('Data Entry'!A1266="","",'Data Entry'!F1266)</f>
        <v/>
      </c>
      <c r="G1266" s="13">
        <f>IF('Data Entry'!A1266="","",'Data Entry'!G1266)</f>
        <v/>
      </c>
      <c r="H1266" s="10">
        <f>IF('Data Entry'!A1266="","",'Data Entry'!H1266)</f>
        <v/>
      </c>
      <c r="I1266" s="10">
        <f>IF('Data Entry'!A1266="","",'Data Entry'!I1266)</f>
        <v/>
      </c>
      <c r="J1266" s="12">
        <f>IF('Data Entry'!A1266="","",IF('Data Entry'!D1266&lt;&gt;"",'Data Entry'!D1266,'Data Entry'!E1266))</f>
        <v/>
      </c>
      <c r="K1266" s="10">
        <f>IF('Data Entry'!A1266="","",IFERROR(SUMIFS($H$5:$H$2001,$J$5:$J$2001,$J1266,$B$5:$B$2001,$B1266,$A$5:$A$2001,(MAXIFS($A$5:$A$2001,$J$5:$J$2001,$J1266,$B$5:$B$2001,$B1266,$A$5:$A$2001,"&lt;"&amp;$A1266))),""))</f>
        <v/>
      </c>
      <c r="L1266" s="14">
        <f>IF(OR('Data Entry'!A1266="",$K1266=""),"",$H1266-$K1266)</f>
        <v/>
      </c>
      <c r="M1266" s="15">
        <f>IF(OR('Data Entry'!A1266="",$K1266="",$K1266=0),"",$L1266/$K1266)</f>
        <v/>
      </c>
      <c r="N1266" s="12">
        <f>IF('Data Entry'!A1266="","",IF($L1266="","New item",IF($L1266&gt;0,"UP",IF($L1266&lt;0,"down","same"))))</f>
        <v/>
      </c>
    </row>
    <row r="1267">
      <c r="A1267" s="11">
        <f>IF('Data Entry'!A1267="","",'Data Entry'!A1267)</f>
        <v/>
      </c>
      <c r="B1267" s="12">
        <f>IF('Data Entry'!A1267="","",'Data Entry'!B1267)</f>
        <v/>
      </c>
      <c r="C1267" s="12">
        <f>IF('Data Entry'!A1267="","",'Data Entry'!C1267)</f>
        <v/>
      </c>
      <c r="D1267" s="12">
        <f>IF('Data Entry'!A1267="","",'Data Entry'!D1267)</f>
        <v/>
      </c>
      <c r="E1267" s="12">
        <f>IF('Data Entry'!A1267="","",'Data Entry'!E1267)</f>
        <v/>
      </c>
      <c r="F1267" s="12">
        <f>IF('Data Entry'!A1267="","",'Data Entry'!F1267)</f>
        <v/>
      </c>
      <c r="G1267" s="13">
        <f>IF('Data Entry'!A1267="","",'Data Entry'!G1267)</f>
        <v/>
      </c>
      <c r="H1267" s="10">
        <f>IF('Data Entry'!A1267="","",'Data Entry'!H1267)</f>
        <v/>
      </c>
      <c r="I1267" s="10">
        <f>IF('Data Entry'!A1267="","",'Data Entry'!I1267)</f>
        <v/>
      </c>
      <c r="J1267" s="12">
        <f>IF('Data Entry'!A1267="","",IF('Data Entry'!D1267&lt;&gt;"",'Data Entry'!D1267,'Data Entry'!E1267))</f>
        <v/>
      </c>
      <c r="K1267" s="10">
        <f>IF('Data Entry'!A1267="","",IFERROR(SUMIFS($H$5:$H$2001,$J$5:$J$2001,$J1267,$B$5:$B$2001,$B1267,$A$5:$A$2001,(MAXIFS($A$5:$A$2001,$J$5:$J$2001,$J1267,$B$5:$B$2001,$B1267,$A$5:$A$2001,"&lt;"&amp;$A1267))),""))</f>
        <v/>
      </c>
      <c r="L1267" s="14">
        <f>IF(OR('Data Entry'!A1267="",$K1267=""),"",$H1267-$K1267)</f>
        <v/>
      </c>
      <c r="M1267" s="15">
        <f>IF(OR('Data Entry'!A1267="",$K1267="",$K1267=0),"",$L1267/$K1267)</f>
        <v/>
      </c>
      <c r="N1267" s="12">
        <f>IF('Data Entry'!A1267="","",IF($L1267="","New item",IF($L1267&gt;0,"UP",IF($L1267&lt;0,"down","same"))))</f>
        <v/>
      </c>
    </row>
    <row r="1268">
      <c r="A1268" s="11">
        <f>IF('Data Entry'!A1268="","",'Data Entry'!A1268)</f>
        <v/>
      </c>
      <c r="B1268" s="12">
        <f>IF('Data Entry'!A1268="","",'Data Entry'!B1268)</f>
        <v/>
      </c>
      <c r="C1268" s="12">
        <f>IF('Data Entry'!A1268="","",'Data Entry'!C1268)</f>
        <v/>
      </c>
      <c r="D1268" s="12">
        <f>IF('Data Entry'!A1268="","",'Data Entry'!D1268)</f>
        <v/>
      </c>
      <c r="E1268" s="12">
        <f>IF('Data Entry'!A1268="","",'Data Entry'!E1268)</f>
        <v/>
      </c>
      <c r="F1268" s="12">
        <f>IF('Data Entry'!A1268="","",'Data Entry'!F1268)</f>
        <v/>
      </c>
      <c r="G1268" s="13">
        <f>IF('Data Entry'!A1268="","",'Data Entry'!G1268)</f>
        <v/>
      </c>
      <c r="H1268" s="10">
        <f>IF('Data Entry'!A1268="","",'Data Entry'!H1268)</f>
        <v/>
      </c>
      <c r="I1268" s="10">
        <f>IF('Data Entry'!A1268="","",'Data Entry'!I1268)</f>
        <v/>
      </c>
      <c r="J1268" s="12">
        <f>IF('Data Entry'!A1268="","",IF('Data Entry'!D1268&lt;&gt;"",'Data Entry'!D1268,'Data Entry'!E1268))</f>
        <v/>
      </c>
      <c r="K1268" s="10">
        <f>IF('Data Entry'!A1268="","",IFERROR(SUMIFS($H$5:$H$2001,$J$5:$J$2001,$J1268,$B$5:$B$2001,$B1268,$A$5:$A$2001,(MAXIFS($A$5:$A$2001,$J$5:$J$2001,$J1268,$B$5:$B$2001,$B1268,$A$5:$A$2001,"&lt;"&amp;$A1268))),""))</f>
        <v/>
      </c>
      <c r="L1268" s="14">
        <f>IF(OR('Data Entry'!A1268="",$K1268=""),"",$H1268-$K1268)</f>
        <v/>
      </c>
      <c r="M1268" s="15">
        <f>IF(OR('Data Entry'!A1268="",$K1268="",$K1268=0),"",$L1268/$K1268)</f>
        <v/>
      </c>
      <c r="N1268" s="12">
        <f>IF('Data Entry'!A1268="","",IF($L1268="","New item",IF($L1268&gt;0,"UP",IF($L1268&lt;0,"down","same"))))</f>
        <v/>
      </c>
    </row>
    <row r="1269">
      <c r="A1269" s="11">
        <f>IF('Data Entry'!A1269="","",'Data Entry'!A1269)</f>
        <v/>
      </c>
      <c r="B1269" s="12">
        <f>IF('Data Entry'!A1269="","",'Data Entry'!B1269)</f>
        <v/>
      </c>
      <c r="C1269" s="12">
        <f>IF('Data Entry'!A1269="","",'Data Entry'!C1269)</f>
        <v/>
      </c>
      <c r="D1269" s="12">
        <f>IF('Data Entry'!A1269="","",'Data Entry'!D1269)</f>
        <v/>
      </c>
      <c r="E1269" s="12">
        <f>IF('Data Entry'!A1269="","",'Data Entry'!E1269)</f>
        <v/>
      </c>
      <c r="F1269" s="12">
        <f>IF('Data Entry'!A1269="","",'Data Entry'!F1269)</f>
        <v/>
      </c>
      <c r="G1269" s="13">
        <f>IF('Data Entry'!A1269="","",'Data Entry'!G1269)</f>
        <v/>
      </c>
      <c r="H1269" s="10">
        <f>IF('Data Entry'!A1269="","",'Data Entry'!H1269)</f>
        <v/>
      </c>
      <c r="I1269" s="10">
        <f>IF('Data Entry'!A1269="","",'Data Entry'!I1269)</f>
        <v/>
      </c>
      <c r="J1269" s="12">
        <f>IF('Data Entry'!A1269="","",IF('Data Entry'!D1269&lt;&gt;"",'Data Entry'!D1269,'Data Entry'!E1269))</f>
        <v/>
      </c>
      <c r="K1269" s="10">
        <f>IF('Data Entry'!A1269="","",IFERROR(SUMIFS($H$5:$H$2001,$J$5:$J$2001,$J1269,$B$5:$B$2001,$B1269,$A$5:$A$2001,(MAXIFS($A$5:$A$2001,$J$5:$J$2001,$J1269,$B$5:$B$2001,$B1269,$A$5:$A$2001,"&lt;"&amp;$A1269))),""))</f>
        <v/>
      </c>
      <c r="L1269" s="14">
        <f>IF(OR('Data Entry'!A1269="",$K1269=""),"",$H1269-$K1269)</f>
        <v/>
      </c>
      <c r="M1269" s="15">
        <f>IF(OR('Data Entry'!A1269="",$K1269="",$K1269=0),"",$L1269/$K1269)</f>
        <v/>
      </c>
      <c r="N1269" s="12">
        <f>IF('Data Entry'!A1269="","",IF($L1269="","New item",IF($L1269&gt;0,"UP",IF($L1269&lt;0,"down","same"))))</f>
        <v/>
      </c>
    </row>
    <row r="1270">
      <c r="A1270" s="11">
        <f>IF('Data Entry'!A1270="","",'Data Entry'!A1270)</f>
        <v/>
      </c>
      <c r="B1270" s="12">
        <f>IF('Data Entry'!A1270="","",'Data Entry'!B1270)</f>
        <v/>
      </c>
      <c r="C1270" s="12">
        <f>IF('Data Entry'!A1270="","",'Data Entry'!C1270)</f>
        <v/>
      </c>
      <c r="D1270" s="12">
        <f>IF('Data Entry'!A1270="","",'Data Entry'!D1270)</f>
        <v/>
      </c>
      <c r="E1270" s="12">
        <f>IF('Data Entry'!A1270="","",'Data Entry'!E1270)</f>
        <v/>
      </c>
      <c r="F1270" s="12">
        <f>IF('Data Entry'!A1270="","",'Data Entry'!F1270)</f>
        <v/>
      </c>
      <c r="G1270" s="13">
        <f>IF('Data Entry'!A1270="","",'Data Entry'!G1270)</f>
        <v/>
      </c>
      <c r="H1270" s="10">
        <f>IF('Data Entry'!A1270="","",'Data Entry'!H1270)</f>
        <v/>
      </c>
      <c r="I1270" s="10">
        <f>IF('Data Entry'!A1270="","",'Data Entry'!I1270)</f>
        <v/>
      </c>
      <c r="J1270" s="12">
        <f>IF('Data Entry'!A1270="","",IF('Data Entry'!D1270&lt;&gt;"",'Data Entry'!D1270,'Data Entry'!E1270))</f>
        <v/>
      </c>
      <c r="K1270" s="10">
        <f>IF('Data Entry'!A1270="","",IFERROR(SUMIFS($H$5:$H$2001,$J$5:$J$2001,$J1270,$B$5:$B$2001,$B1270,$A$5:$A$2001,(MAXIFS($A$5:$A$2001,$J$5:$J$2001,$J1270,$B$5:$B$2001,$B1270,$A$5:$A$2001,"&lt;"&amp;$A1270))),""))</f>
        <v/>
      </c>
      <c r="L1270" s="14">
        <f>IF(OR('Data Entry'!A1270="",$K1270=""),"",$H1270-$K1270)</f>
        <v/>
      </c>
      <c r="M1270" s="15">
        <f>IF(OR('Data Entry'!A1270="",$K1270="",$K1270=0),"",$L1270/$K1270)</f>
        <v/>
      </c>
      <c r="N1270" s="12">
        <f>IF('Data Entry'!A1270="","",IF($L1270="","New item",IF($L1270&gt;0,"UP",IF($L1270&lt;0,"down","same"))))</f>
        <v/>
      </c>
    </row>
    <row r="1271">
      <c r="A1271" s="11">
        <f>IF('Data Entry'!A1271="","",'Data Entry'!A1271)</f>
        <v/>
      </c>
      <c r="B1271" s="12">
        <f>IF('Data Entry'!A1271="","",'Data Entry'!B1271)</f>
        <v/>
      </c>
      <c r="C1271" s="12">
        <f>IF('Data Entry'!A1271="","",'Data Entry'!C1271)</f>
        <v/>
      </c>
      <c r="D1271" s="12">
        <f>IF('Data Entry'!A1271="","",'Data Entry'!D1271)</f>
        <v/>
      </c>
      <c r="E1271" s="12">
        <f>IF('Data Entry'!A1271="","",'Data Entry'!E1271)</f>
        <v/>
      </c>
      <c r="F1271" s="12">
        <f>IF('Data Entry'!A1271="","",'Data Entry'!F1271)</f>
        <v/>
      </c>
      <c r="G1271" s="13">
        <f>IF('Data Entry'!A1271="","",'Data Entry'!G1271)</f>
        <v/>
      </c>
      <c r="H1271" s="10">
        <f>IF('Data Entry'!A1271="","",'Data Entry'!H1271)</f>
        <v/>
      </c>
      <c r="I1271" s="10">
        <f>IF('Data Entry'!A1271="","",'Data Entry'!I1271)</f>
        <v/>
      </c>
      <c r="J1271" s="12">
        <f>IF('Data Entry'!A1271="","",IF('Data Entry'!D1271&lt;&gt;"",'Data Entry'!D1271,'Data Entry'!E1271))</f>
        <v/>
      </c>
      <c r="K1271" s="10">
        <f>IF('Data Entry'!A1271="","",IFERROR(SUMIFS($H$5:$H$2001,$J$5:$J$2001,$J1271,$B$5:$B$2001,$B1271,$A$5:$A$2001,(MAXIFS($A$5:$A$2001,$J$5:$J$2001,$J1271,$B$5:$B$2001,$B1271,$A$5:$A$2001,"&lt;"&amp;$A1271))),""))</f>
        <v/>
      </c>
      <c r="L1271" s="14">
        <f>IF(OR('Data Entry'!A1271="",$K1271=""),"",$H1271-$K1271)</f>
        <v/>
      </c>
      <c r="M1271" s="15">
        <f>IF(OR('Data Entry'!A1271="",$K1271="",$K1271=0),"",$L1271/$K1271)</f>
        <v/>
      </c>
      <c r="N1271" s="12">
        <f>IF('Data Entry'!A1271="","",IF($L1271="","New item",IF($L1271&gt;0,"UP",IF($L1271&lt;0,"down","same"))))</f>
        <v/>
      </c>
    </row>
    <row r="1272">
      <c r="A1272" s="11">
        <f>IF('Data Entry'!A1272="","",'Data Entry'!A1272)</f>
        <v/>
      </c>
      <c r="B1272" s="12">
        <f>IF('Data Entry'!A1272="","",'Data Entry'!B1272)</f>
        <v/>
      </c>
      <c r="C1272" s="12">
        <f>IF('Data Entry'!A1272="","",'Data Entry'!C1272)</f>
        <v/>
      </c>
      <c r="D1272" s="12">
        <f>IF('Data Entry'!A1272="","",'Data Entry'!D1272)</f>
        <v/>
      </c>
      <c r="E1272" s="12">
        <f>IF('Data Entry'!A1272="","",'Data Entry'!E1272)</f>
        <v/>
      </c>
      <c r="F1272" s="12">
        <f>IF('Data Entry'!A1272="","",'Data Entry'!F1272)</f>
        <v/>
      </c>
      <c r="G1272" s="13">
        <f>IF('Data Entry'!A1272="","",'Data Entry'!G1272)</f>
        <v/>
      </c>
      <c r="H1272" s="10">
        <f>IF('Data Entry'!A1272="","",'Data Entry'!H1272)</f>
        <v/>
      </c>
      <c r="I1272" s="10">
        <f>IF('Data Entry'!A1272="","",'Data Entry'!I1272)</f>
        <v/>
      </c>
      <c r="J1272" s="12">
        <f>IF('Data Entry'!A1272="","",IF('Data Entry'!D1272&lt;&gt;"",'Data Entry'!D1272,'Data Entry'!E1272))</f>
        <v/>
      </c>
      <c r="K1272" s="10">
        <f>IF('Data Entry'!A1272="","",IFERROR(SUMIFS($H$5:$H$2001,$J$5:$J$2001,$J1272,$B$5:$B$2001,$B1272,$A$5:$A$2001,(MAXIFS($A$5:$A$2001,$J$5:$J$2001,$J1272,$B$5:$B$2001,$B1272,$A$5:$A$2001,"&lt;"&amp;$A1272))),""))</f>
        <v/>
      </c>
      <c r="L1272" s="14">
        <f>IF(OR('Data Entry'!A1272="",$K1272=""),"",$H1272-$K1272)</f>
        <v/>
      </c>
      <c r="M1272" s="15">
        <f>IF(OR('Data Entry'!A1272="",$K1272="",$K1272=0),"",$L1272/$K1272)</f>
        <v/>
      </c>
      <c r="N1272" s="12">
        <f>IF('Data Entry'!A1272="","",IF($L1272="","New item",IF($L1272&gt;0,"UP",IF($L1272&lt;0,"down","same"))))</f>
        <v/>
      </c>
    </row>
    <row r="1273">
      <c r="A1273" s="11">
        <f>IF('Data Entry'!A1273="","",'Data Entry'!A1273)</f>
        <v/>
      </c>
      <c r="B1273" s="12">
        <f>IF('Data Entry'!A1273="","",'Data Entry'!B1273)</f>
        <v/>
      </c>
      <c r="C1273" s="12">
        <f>IF('Data Entry'!A1273="","",'Data Entry'!C1273)</f>
        <v/>
      </c>
      <c r="D1273" s="12">
        <f>IF('Data Entry'!A1273="","",'Data Entry'!D1273)</f>
        <v/>
      </c>
      <c r="E1273" s="12">
        <f>IF('Data Entry'!A1273="","",'Data Entry'!E1273)</f>
        <v/>
      </c>
      <c r="F1273" s="12">
        <f>IF('Data Entry'!A1273="","",'Data Entry'!F1273)</f>
        <v/>
      </c>
      <c r="G1273" s="13">
        <f>IF('Data Entry'!A1273="","",'Data Entry'!G1273)</f>
        <v/>
      </c>
      <c r="H1273" s="10">
        <f>IF('Data Entry'!A1273="","",'Data Entry'!H1273)</f>
        <v/>
      </c>
      <c r="I1273" s="10">
        <f>IF('Data Entry'!A1273="","",'Data Entry'!I1273)</f>
        <v/>
      </c>
      <c r="J1273" s="12">
        <f>IF('Data Entry'!A1273="","",IF('Data Entry'!D1273&lt;&gt;"",'Data Entry'!D1273,'Data Entry'!E1273))</f>
        <v/>
      </c>
      <c r="K1273" s="10">
        <f>IF('Data Entry'!A1273="","",IFERROR(SUMIFS($H$5:$H$2001,$J$5:$J$2001,$J1273,$B$5:$B$2001,$B1273,$A$5:$A$2001,(MAXIFS($A$5:$A$2001,$J$5:$J$2001,$J1273,$B$5:$B$2001,$B1273,$A$5:$A$2001,"&lt;"&amp;$A1273))),""))</f>
        <v/>
      </c>
      <c r="L1273" s="14">
        <f>IF(OR('Data Entry'!A1273="",$K1273=""),"",$H1273-$K1273)</f>
        <v/>
      </c>
      <c r="M1273" s="15">
        <f>IF(OR('Data Entry'!A1273="",$K1273="",$K1273=0),"",$L1273/$K1273)</f>
        <v/>
      </c>
      <c r="N1273" s="12">
        <f>IF('Data Entry'!A1273="","",IF($L1273="","New item",IF($L1273&gt;0,"UP",IF($L1273&lt;0,"down","same"))))</f>
        <v/>
      </c>
    </row>
    <row r="1274">
      <c r="A1274" s="11">
        <f>IF('Data Entry'!A1274="","",'Data Entry'!A1274)</f>
        <v/>
      </c>
      <c r="B1274" s="12">
        <f>IF('Data Entry'!A1274="","",'Data Entry'!B1274)</f>
        <v/>
      </c>
      <c r="C1274" s="12">
        <f>IF('Data Entry'!A1274="","",'Data Entry'!C1274)</f>
        <v/>
      </c>
      <c r="D1274" s="12">
        <f>IF('Data Entry'!A1274="","",'Data Entry'!D1274)</f>
        <v/>
      </c>
      <c r="E1274" s="12">
        <f>IF('Data Entry'!A1274="","",'Data Entry'!E1274)</f>
        <v/>
      </c>
      <c r="F1274" s="12">
        <f>IF('Data Entry'!A1274="","",'Data Entry'!F1274)</f>
        <v/>
      </c>
      <c r="G1274" s="13">
        <f>IF('Data Entry'!A1274="","",'Data Entry'!G1274)</f>
        <v/>
      </c>
      <c r="H1274" s="10">
        <f>IF('Data Entry'!A1274="","",'Data Entry'!H1274)</f>
        <v/>
      </c>
      <c r="I1274" s="10">
        <f>IF('Data Entry'!A1274="","",'Data Entry'!I1274)</f>
        <v/>
      </c>
      <c r="J1274" s="12">
        <f>IF('Data Entry'!A1274="","",IF('Data Entry'!D1274&lt;&gt;"",'Data Entry'!D1274,'Data Entry'!E1274))</f>
        <v/>
      </c>
      <c r="K1274" s="10">
        <f>IF('Data Entry'!A1274="","",IFERROR(SUMIFS($H$5:$H$2001,$J$5:$J$2001,$J1274,$B$5:$B$2001,$B1274,$A$5:$A$2001,(MAXIFS($A$5:$A$2001,$J$5:$J$2001,$J1274,$B$5:$B$2001,$B1274,$A$5:$A$2001,"&lt;"&amp;$A1274))),""))</f>
        <v/>
      </c>
      <c r="L1274" s="14">
        <f>IF(OR('Data Entry'!A1274="",$K1274=""),"",$H1274-$K1274)</f>
        <v/>
      </c>
      <c r="M1274" s="15">
        <f>IF(OR('Data Entry'!A1274="",$K1274="",$K1274=0),"",$L1274/$K1274)</f>
        <v/>
      </c>
      <c r="N1274" s="12">
        <f>IF('Data Entry'!A1274="","",IF($L1274="","New item",IF($L1274&gt;0,"UP",IF($L1274&lt;0,"down","same"))))</f>
        <v/>
      </c>
    </row>
    <row r="1275">
      <c r="A1275" s="11">
        <f>IF('Data Entry'!A1275="","",'Data Entry'!A1275)</f>
        <v/>
      </c>
      <c r="B1275" s="12">
        <f>IF('Data Entry'!A1275="","",'Data Entry'!B1275)</f>
        <v/>
      </c>
      <c r="C1275" s="12">
        <f>IF('Data Entry'!A1275="","",'Data Entry'!C1275)</f>
        <v/>
      </c>
      <c r="D1275" s="12">
        <f>IF('Data Entry'!A1275="","",'Data Entry'!D1275)</f>
        <v/>
      </c>
      <c r="E1275" s="12">
        <f>IF('Data Entry'!A1275="","",'Data Entry'!E1275)</f>
        <v/>
      </c>
      <c r="F1275" s="12">
        <f>IF('Data Entry'!A1275="","",'Data Entry'!F1275)</f>
        <v/>
      </c>
      <c r="G1275" s="13">
        <f>IF('Data Entry'!A1275="","",'Data Entry'!G1275)</f>
        <v/>
      </c>
      <c r="H1275" s="10">
        <f>IF('Data Entry'!A1275="","",'Data Entry'!H1275)</f>
        <v/>
      </c>
      <c r="I1275" s="10">
        <f>IF('Data Entry'!A1275="","",'Data Entry'!I1275)</f>
        <v/>
      </c>
      <c r="J1275" s="12">
        <f>IF('Data Entry'!A1275="","",IF('Data Entry'!D1275&lt;&gt;"",'Data Entry'!D1275,'Data Entry'!E1275))</f>
        <v/>
      </c>
      <c r="K1275" s="10">
        <f>IF('Data Entry'!A1275="","",IFERROR(SUMIFS($H$5:$H$2001,$J$5:$J$2001,$J1275,$B$5:$B$2001,$B1275,$A$5:$A$2001,(MAXIFS($A$5:$A$2001,$J$5:$J$2001,$J1275,$B$5:$B$2001,$B1275,$A$5:$A$2001,"&lt;"&amp;$A1275))),""))</f>
        <v/>
      </c>
      <c r="L1275" s="14">
        <f>IF(OR('Data Entry'!A1275="",$K1275=""),"",$H1275-$K1275)</f>
        <v/>
      </c>
      <c r="M1275" s="15">
        <f>IF(OR('Data Entry'!A1275="",$K1275="",$K1275=0),"",$L1275/$K1275)</f>
        <v/>
      </c>
      <c r="N1275" s="12">
        <f>IF('Data Entry'!A1275="","",IF($L1275="","New item",IF($L1275&gt;0,"UP",IF($L1275&lt;0,"down","same"))))</f>
        <v/>
      </c>
    </row>
    <row r="1276">
      <c r="A1276" s="11">
        <f>IF('Data Entry'!A1276="","",'Data Entry'!A1276)</f>
        <v/>
      </c>
      <c r="B1276" s="12">
        <f>IF('Data Entry'!A1276="","",'Data Entry'!B1276)</f>
        <v/>
      </c>
      <c r="C1276" s="12">
        <f>IF('Data Entry'!A1276="","",'Data Entry'!C1276)</f>
        <v/>
      </c>
      <c r="D1276" s="12">
        <f>IF('Data Entry'!A1276="","",'Data Entry'!D1276)</f>
        <v/>
      </c>
      <c r="E1276" s="12">
        <f>IF('Data Entry'!A1276="","",'Data Entry'!E1276)</f>
        <v/>
      </c>
      <c r="F1276" s="12">
        <f>IF('Data Entry'!A1276="","",'Data Entry'!F1276)</f>
        <v/>
      </c>
      <c r="G1276" s="13">
        <f>IF('Data Entry'!A1276="","",'Data Entry'!G1276)</f>
        <v/>
      </c>
      <c r="H1276" s="10">
        <f>IF('Data Entry'!A1276="","",'Data Entry'!H1276)</f>
        <v/>
      </c>
      <c r="I1276" s="10">
        <f>IF('Data Entry'!A1276="","",'Data Entry'!I1276)</f>
        <v/>
      </c>
      <c r="J1276" s="12">
        <f>IF('Data Entry'!A1276="","",IF('Data Entry'!D1276&lt;&gt;"",'Data Entry'!D1276,'Data Entry'!E1276))</f>
        <v/>
      </c>
      <c r="K1276" s="10">
        <f>IF('Data Entry'!A1276="","",IFERROR(SUMIFS($H$5:$H$2001,$J$5:$J$2001,$J1276,$B$5:$B$2001,$B1276,$A$5:$A$2001,(MAXIFS($A$5:$A$2001,$J$5:$J$2001,$J1276,$B$5:$B$2001,$B1276,$A$5:$A$2001,"&lt;"&amp;$A1276))),""))</f>
        <v/>
      </c>
      <c r="L1276" s="14">
        <f>IF(OR('Data Entry'!A1276="",$K1276=""),"",$H1276-$K1276)</f>
        <v/>
      </c>
      <c r="M1276" s="15">
        <f>IF(OR('Data Entry'!A1276="",$K1276="",$K1276=0),"",$L1276/$K1276)</f>
        <v/>
      </c>
      <c r="N1276" s="12">
        <f>IF('Data Entry'!A1276="","",IF($L1276="","New item",IF($L1276&gt;0,"UP",IF($L1276&lt;0,"down","same"))))</f>
        <v/>
      </c>
    </row>
    <row r="1277">
      <c r="A1277" s="11">
        <f>IF('Data Entry'!A1277="","",'Data Entry'!A1277)</f>
        <v/>
      </c>
      <c r="B1277" s="12">
        <f>IF('Data Entry'!A1277="","",'Data Entry'!B1277)</f>
        <v/>
      </c>
      <c r="C1277" s="12">
        <f>IF('Data Entry'!A1277="","",'Data Entry'!C1277)</f>
        <v/>
      </c>
      <c r="D1277" s="12">
        <f>IF('Data Entry'!A1277="","",'Data Entry'!D1277)</f>
        <v/>
      </c>
      <c r="E1277" s="12">
        <f>IF('Data Entry'!A1277="","",'Data Entry'!E1277)</f>
        <v/>
      </c>
      <c r="F1277" s="12">
        <f>IF('Data Entry'!A1277="","",'Data Entry'!F1277)</f>
        <v/>
      </c>
      <c r="G1277" s="13">
        <f>IF('Data Entry'!A1277="","",'Data Entry'!G1277)</f>
        <v/>
      </c>
      <c r="H1277" s="10">
        <f>IF('Data Entry'!A1277="","",'Data Entry'!H1277)</f>
        <v/>
      </c>
      <c r="I1277" s="10">
        <f>IF('Data Entry'!A1277="","",'Data Entry'!I1277)</f>
        <v/>
      </c>
      <c r="J1277" s="12">
        <f>IF('Data Entry'!A1277="","",IF('Data Entry'!D1277&lt;&gt;"",'Data Entry'!D1277,'Data Entry'!E1277))</f>
        <v/>
      </c>
      <c r="K1277" s="10">
        <f>IF('Data Entry'!A1277="","",IFERROR(SUMIFS($H$5:$H$2001,$J$5:$J$2001,$J1277,$B$5:$B$2001,$B1277,$A$5:$A$2001,(MAXIFS($A$5:$A$2001,$J$5:$J$2001,$J1277,$B$5:$B$2001,$B1277,$A$5:$A$2001,"&lt;"&amp;$A1277))),""))</f>
        <v/>
      </c>
      <c r="L1277" s="14">
        <f>IF(OR('Data Entry'!A1277="",$K1277=""),"",$H1277-$K1277)</f>
        <v/>
      </c>
      <c r="M1277" s="15">
        <f>IF(OR('Data Entry'!A1277="",$K1277="",$K1277=0),"",$L1277/$K1277)</f>
        <v/>
      </c>
      <c r="N1277" s="12">
        <f>IF('Data Entry'!A1277="","",IF($L1277="","New item",IF($L1277&gt;0,"UP",IF($L1277&lt;0,"down","same"))))</f>
        <v/>
      </c>
    </row>
    <row r="1278">
      <c r="A1278" s="11">
        <f>IF('Data Entry'!A1278="","",'Data Entry'!A1278)</f>
        <v/>
      </c>
      <c r="B1278" s="12">
        <f>IF('Data Entry'!A1278="","",'Data Entry'!B1278)</f>
        <v/>
      </c>
      <c r="C1278" s="12">
        <f>IF('Data Entry'!A1278="","",'Data Entry'!C1278)</f>
        <v/>
      </c>
      <c r="D1278" s="12">
        <f>IF('Data Entry'!A1278="","",'Data Entry'!D1278)</f>
        <v/>
      </c>
      <c r="E1278" s="12">
        <f>IF('Data Entry'!A1278="","",'Data Entry'!E1278)</f>
        <v/>
      </c>
      <c r="F1278" s="12">
        <f>IF('Data Entry'!A1278="","",'Data Entry'!F1278)</f>
        <v/>
      </c>
      <c r="G1278" s="13">
        <f>IF('Data Entry'!A1278="","",'Data Entry'!G1278)</f>
        <v/>
      </c>
      <c r="H1278" s="10">
        <f>IF('Data Entry'!A1278="","",'Data Entry'!H1278)</f>
        <v/>
      </c>
      <c r="I1278" s="10">
        <f>IF('Data Entry'!A1278="","",'Data Entry'!I1278)</f>
        <v/>
      </c>
      <c r="J1278" s="12">
        <f>IF('Data Entry'!A1278="","",IF('Data Entry'!D1278&lt;&gt;"",'Data Entry'!D1278,'Data Entry'!E1278))</f>
        <v/>
      </c>
      <c r="K1278" s="10">
        <f>IF('Data Entry'!A1278="","",IFERROR(SUMIFS($H$5:$H$2001,$J$5:$J$2001,$J1278,$B$5:$B$2001,$B1278,$A$5:$A$2001,(MAXIFS($A$5:$A$2001,$J$5:$J$2001,$J1278,$B$5:$B$2001,$B1278,$A$5:$A$2001,"&lt;"&amp;$A1278))),""))</f>
        <v/>
      </c>
      <c r="L1278" s="14">
        <f>IF(OR('Data Entry'!A1278="",$K1278=""),"",$H1278-$K1278)</f>
        <v/>
      </c>
      <c r="M1278" s="15">
        <f>IF(OR('Data Entry'!A1278="",$K1278="",$K1278=0),"",$L1278/$K1278)</f>
        <v/>
      </c>
      <c r="N1278" s="12">
        <f>IF('Data Entry'!A1278="","",IF($L1278="","New item",IF($L1278&gt;0,"UP",IF($L1278&lt;0,"down","same"))))</f>
        <v/>
      </c>
    </row>
    <row r="1279">
      <c r="A1279" s="11">
        <f>IF('Data Entry'!A1279="","",'Data Entry'!A1279)</f>
        <v/>
      </c>
      <c r="B1279" s="12">
        <f>IF('Data Entry'!A1279="","",'Data Entry'!B1279)</f>
        <v/>
      </c>
      <c r="C1279" s="12">
        <f>IF('Data Entry'!A1279="","",'Data Entry'!C1279)</f>
        <v/>
      </c>
      <c r="D1279" s="12">
        <f>IF('Data Entry'!A1279="","",'Data Entry'!D1279)</f>
        <v/>
      </c>
      <c r="E1279" s="12">
        <f>IF('Data Entry'!A1279="","",'Data Entry'!E1279)</f>
        <v/>
      </c>
      <c r="F1279" s="12">
        <f>IF('Data Entry'!A1279="","",'Data Entry'!F1279)</f>
        <v/>
      </c>
      <c r="G1279" s="13">
        <f>IF('Data Entry'!A1279="","",'Data Entry'!G1279)</f>
        <v/>
      </c>
      <c r="H1279" s="10">
        <f>IF('Data Entry'!A1279="","",'Data Entry'!H1279)</f>
        <v/>
      </c>
      <c r="I1279" s="10">
        <f>IF('Data Entry'!A1279="","",'Data Entry'!I1279)</f>
        <v/>
      </c>
      <c r="J1279" s="12">
        <f>IF('Data Entry'!A1279="","",IF('Data Entry'!D1279&lt;&gt;"",'Data Entry'!D1279,'Data Entry'!E1279))</f>
        <v/>
      </c>
      <c r="K1279" s="10">
        <f>IF('Data Entry'!A1279="","",IFERROR(SUMIFS($H$5:$H$2001,$J$5:$J$2001,$J1279,$B$5:$B$2001,$B1279,$A$5:$A$2001,(MAXIFS($A$5:$A$2001,$J$5:$J$2001,$J1279,$B$5:$B$2001,$B1279,$A$5:$A$2001,"&lt;"&amp;$A1279))),""))</f>
        <v/>
      </c>
      <c r="L1279" s="14">
        <f>IF(OR('Data Entry'!A1279="",$K1279=""),"",$H1279-$K1279)</f>
        <v/>
      </c>
      <c r="M1279" s="15">
        <f>IF(OR('Data Entry'!A1279="",$K1279="",$K1279=0),"",$L1279/$K1279)</f>
        <v/>
      </c>
      <c r="N1279" s="12">
        <f>IF('Data Entry'!A1279="","",IF($L1279="","New item",IF($L1279&gt;0,"UP",IF($L1279&lt;0,"down","same"))))</f>
        <v/>
      </c>
    </row>
    <row r="1280">
      <c r="A1280" s="11">
        <f>IF('Data Entry'!A1280="","",'Data Entry'!A1280)</f>
        <v/>
      </c>
      <c r="B1280" s="12">
        <f>IF('Data Entry'!A1280="","",'Data Entry'!B1280)</f>
        <v/>
      </c>
      <c r="C1280" s="12">
        <f>IF('Data Entry'!A1280="","",'Data Entry'!C1280)</f>
        <v/>
      </c>
      <c r="D1280" s="12">
        <f>IF('Data Entry'!A1280="","",'Data Entry'!D1280)</f>
        <v/>
      </c>
      <c r="E1280" s="12">
        <f>IF('Data Entry'!A1280="","",'Data Entry'!E1280)</f>
        <v/>
      </c>
      <c r="F1280" s="12">
        <f>IF('Data Entry'!A1280="","",'Data Entry'!F1280)</f>
        <v/>
      </c>
      <c r="G1280" s="13">
        <f>IF('Data Entry'!A1280="","",'Data Entry'!G1280)</f>
        <v/>
      </c>
      <c r="H1280" s="10">
        <f>IF('Data Entry'!A1280="","",'Data Entry'!H1280)</f>
        <v/>
      </c>
      <c r="I1280" s="10">
        <f>IF('Data Entry'!A1280="","",'Data Entry'!I1280)</f>
        <v/>
      </c>
      <c r="J1280" s="12">
        <f>IF('Data Entry'!A1280="","",IF('Data Entry'!D1280&lt;&gt;"",'Data Entry'!D1280,'Data Entry'!E1280))</f>
        <v/>
      </c>
      <c r="K1280" s="10">
        <f>IF('Data Entry'!A1280="","",IFERROR(SUMIFS($H$5:$H$2001,$J$5:$J$2001,$J1280,$B$5:$B$2001,$B1280,$A$5:$A$2001,(MAXIFS($A$5:$A$2001,$J$5:$J$2001,$J1280,$B$5:$B$2001,$B1280,$A$5:$A$2001,"&lt;"&amp;$A1280))),""))</f>
        <v/>
      </c>
      <c r="L1280" s="14">
        <f>IF(OR('Data Entry'!A1280="",$K1280=""),"",$H1280-$K1280)</f>
        <v/>
      </c>
      <c r="M1280" s="15">
        <f>IF(OR('Data Entry'!A1280="",$K1280="",$K1280=0),"",$L1280/$K1280)</f>
        <v/>
      </c>
      <c r="N1280" s="12">
        <f>IF('Data Entry'!A1280="","",IF($L1280="","New item",IF($L1280&gt;0,"UP",IF($L1280&lt;0,"down","same"))))</f>
        <v/>
      </c>
    </row>
    <row r="1281">
      <c r="A1281" s="11">
        <f>IF('Data Entry'!A1281="","",'Data Entry'!A1281)</f>
        <v/>
      </c>
      <c r="B1281" s="12">
        <f>IF('Data Entry'!A1281="","",'Data Entry'!B1281)</f>
        <v/>
      </c>
      <c r="C1281" s="12">
        <f>IF('Data Entry'!A1281="","",'Data Entry'!C1281)</f>
        <v/>
      </c>
      <c r="D1281" s="12">
        <f>IF('Data Entry'!A1281="","",'Data Entry'!D1281)</f>
        <v/>
      </c>
      <c r="E1281" s="12">
        <f>IF('Data Entry'!A1281="","",'Data Entry'!E1281)</f>
        <v/>
      </c>
      <c r="F1281" s="12">
        <f>IF('Data Entry'!A1281="","",'Data Entry'!F1281)</f>
        <v/>
      </c>
      <c r="G1281" s="13">
        <f>IF('Data Entry'!A1281="","",'Data Entry'!G1281)</f>
        <v/>
      </c>
      <c r="H1281" s="10">
        <f>IF('Data Entry'!A1281="","",'Data Entry'!H1281)</f>
        <v/>
      </c>
      <c r="I1281" s="10">
        <f>IF('Data Entry'!A1281="","",'Data Entry'!I1281)</f>
        <v/>
      </c>
      <c r="J1281" s="12">
        <f>IF('Data Entry'!A1281="","",IF('Data Entry'!D1281&lt;&gt;"",'Data Entry'!D1281,'Data Entry'!E1281))</f>
        <v/>
      </c>
      <c r="K1281" s="10">
        <f>IF('Data Entry'!A1281="","",IFERROR(SUMIFS($H$5:$H$2001,$J$5:$J$2001,$J1281,$B$5:$B$2001,$B1281,$A$5:$A$2001,(MAXIFS($A$5:$A$2001,$J$5:$J$2001,$J1281,$B$5:$B$2001,$B1281,$A$5:$A$2001,"&lt;"&amp;$A1281))),""))</f>
        <v/>
      </c>
      <c r="L1281" s="14">
        <f>IF(OR('Data Entry'!A1281="",$K1281=""),"",$H1281-$K1281)</f>
        <v/>
      </c>
      <c r="M1281" s="15">
        <f>IF(OR('Data Entry'!A1281="",$K1281="",$K1281=0),"",$L1281/$K1281)</f>
        <v/>
      </c>
      <c r="N1281" s="12">
        <f>IF('Data Entry'!A1281="","",IF($L1281="","New item",IF($L1281&gt;0,"UP",IF($L1281&lt;0,"down","same"))))</f>
        <v/>
      </c>
    </row>
    <row r="1282">
      <c r="A1282" s="11">
        <f>IF('Data Entry'!A1282="","",'Data Entry'!A1282)</f>
        <v/>
      </c>
      <c r="B1282" s="12">
        <f>IF('Data Entry'!A1282="","",'Data Entry'!B1282)</f>
        <v/>
      </c>
      <c r="C1282" s="12">
        <f>IF('Data Entry'!A1282="","",'Data Entry'!C1282)</f>
        <v/>
      </c>
      <c r="D1282" s="12">
        <f>IF('Data Entry'!A1282="","",'Data Entry'!D1282)</f>
        <v/>
      </c>
      <c r="E1282" s="12">
        <f>IF('Data Entry'!A1282="","",'Data Entry'!E1282)</f>
        <v/>
      </c>
      <c r="F1282" s="12">
        <f>IF('Data Entry'!A1282="","",'Data Entry'!F1282)</f>
        <v/>
      </c>
      <c r="G1282" s="13">
        <f>IF('Data Entry'!A1282="","",'Data Entry'!G1282)</f>
        <v/>
      </c>
      <c r="H1282" s="10">
        <f>IF('Data Entry'!A1282="","",'Data Entry'!H1282)</f>
        <v/>
      </c>
      <c r="I1282" s="10">
        <f>IF('Data Entry'!A1282="","",'Data Entry'!I1282)</f>
        <v/>
      </c>
      <c r="J1282" s="12">
        <f>IF('Data Entry'!A1282="","",IF('Data Entry'!D1282&lt;&gt;"",'Data Entry'!D1282,'Data Entry'!E1282))</f>
        <v/>
      </c>
      <c r="K1282" s="10">
        <f>IF('Data Entry'!A1282="","",IFERROR(SUMIFS($H$5:$H$2001,$J$5:$J$2001,$J1282,$B$5:$B$2001,$B1282,$A$5:$A$2001,(MAXIFS($A$5:$A$2001,$J$5:$J$2001,$J1282,$B$5:$B$2001,$B1282,$A$5:$A$2001,"&lt;"&amp;$A1282))),""))</f>
        <v/>
      </c>
      <c r="L1282" s="14">
        <f>IF(OR('Data Entry'!A1282="",$K1282=""),"",$H1282-$K1282)</f>
        <v/>
      </c>
      <c r="M1282" s="15">
        <f>IF(OR('Data Entry'!A1282="",$K1282="",$K1282=0),"",$L1282/$K1282)</f>
        <v/>
      </c>
      <c r="N1282" s="12">
        <f>IF('Data Entry'!A1282="","",IF($L1282="","New item",IF($L1282&gt;0,"UP",IF($L1282&lt;0,"down","same"))))</f>
        <v/>
      </c>
    </row>
    <row r="1283">
      <c r="A1283" s="11">
        <f>IF('Data Entry'!A1283="","",'Data Entry'!A1283)</f>
        <v/>
      </c>
      <c r="B1283" s="12">
        <f>IF('Data Entry'!A1283="","",'Data Entry'!B1283)</f>
        <v/>
      </c>
      <c r="C1283" s="12">
        <f>IF('Data Entry'!A1283="","",'Data Entry'!C1283)</f>
        <v/>
      </c>
      <c r="D1283" s="12">
        <f>IF('Data Entry'!A1283="","",'Data Entry'!D1283)</f>
        <v/>
      </c>
      <c r="E1283" s="12">
        <f>IF('Data Entry'!A1283="","",'Data Entry'!E1283)</f>
        <v/>
      </c>
      <c r="F1283" s="12">
        <f>IF('Data Entry'!A1283="","",'Data Entry'!F1283)</f>
        <v/>
      </c>
      <c r="G1283" s="13">
        <f>IF('Data Entry'!A1283="","",'Data Entry'!G1283)</f>
        <v/>
      </c>
      <c r="H1283" s="10">
        <f>IF('Data Entry'!A1283="","",'Data Entry'!H1283)</f>
        <v/>
      </c>
      <c r="I1283" s="10">
        <f>IF('Data Entry'!A1283="","",'Data Entry'!I1283)</f>
        <v/>
      </c>
      <c r="J1283" s="12">
        <f>IF('Data Entry'!A1283="","",IF('Data Entry'!D1283&lt;&gt;"",'Data Entry'!D1283,'Data Entry'!E1283))</f>
        <v/>
      </c>
      <c r="K1283" s="10">
        <f>IF('Data Entry'!A1283="","",IFERROR(SUMIFS($H$5:$H$2001,$J$5:$J$2001,$J1283,$B$5:$B$2001,$B1283,$A$5:$A$2001,(MAXIFS($A$5:$A$2001,$J$5:$J$2001,$J1283,$B$5:$B$2001,$B1283,$A$5:$A$2001,"&lt;"&amp;$A1283))),""))</f>
        <v/>
      </c>
      <c r="L1283" s="14">
        <f>IF(OR('Data Entry'!A1283="",$K1283=""),"",$H1283-$K1283)</f>
        <v/>
      </c>
      <c r="M1283" s="15">
        <f>IF(OR('Data Entry'!A1283="",$K1283="",$K1283=0),"",$L1283/$K1283)</f>
        <v/>
      </c>
      <c r="N1283" s="12">
        <f>IF('Data Entry'!A1283="","",IF($L1283="","New item",IF($L1283&gt;0,"UP",IF($L1283&lt;0,"down","same"))))</f>
        <v/>
      </c>
    </row>
    <row r="1284">
      <c r="A1284" s="11">
        <f>IF('Data Entry'!A1284="","",'Data Entry'!A1284)</f>
        <v/>
      </c>
      <c r="B1284" s="12">
        <f>IF('Data Entry'!A1284="","",'Data Entry'!B1284)</f>
        <v/>
      </c>
      <c r="C1284" s="12">
        <f>IF('Data Entry'!A1284="","",'Data Entry'!C1284)</f>
        <v/>
      </c>
      <c r="D1284" s="12">
        <f>IF('Data Entry'!A1284="","",'Data Entry'!D1284)</f>
        <v/>
      </c>
      <c r="E1284" s="12">
        <f>IF('Data Entry'!A1284="","",'Data Entry'!E1284)</f>
        <v/>
      </c>
      <c r="F1284" s="12">
        <f>IF('Data Entry'!A1284="","",'Data Entry'!F1284)</f>
        <v/>
      </c>
      <c r="G1284" s="13">
        <f>IF('Data Entry'!A1284="","",'Data Entry'!G1284)</f>
        <v/>
      </c>
      <c r="H1284" s="10">
        <f>IF('Data Entry'!A1284="","",'Data Entry'!H1284)</f>
        <v/>
      </c>
      <c r="I1284" s="10">
        <f>IF('Data Entry'!A1284="","",'Data Entry'!I1284)</f>
        <v/>
      </c>
      <c r="J1284" s="12">
        <f>IF('Data Entry'!A1284="","",IF('Data Entry'!D1284&lt;&gt;"",'Data Entry'!D1284,'Data Entry'!E1284))</f>
        <v/>
      </c>
      <c r="K1284" s="10">
        <f>IF('Data Entry'!A1284="","",IFERROR(SUMIFS($H$5:$H$2001,$J$5:$J$2001,$J1284,$B$5:$B$2001,$B1284,$A$5:$A$2001,(MAXIFS($A$5:$A$2001,$J$5:$J$2001,$J1284,$B$5:$B$2001,$B1284,$A$5:$A$2001,"&lt;"&amp;$A1284))),""))</f>
        <v/>
      </c>
      <c r="L1284" s="14">
        <f>IF(OR('Data Entry'!A1284="",$K1284=""),"",$H1284-$K1284)</f>
        <v/>
      </c>
      <c r="M1284" s="15">
        <f>IF(OR('Data Entry'!A1284="",$K1284="",$K1284=0),"",$L1284/$K1284)</f>
        <v/>
      </c>
      <c r="N1284" s="12">
        <f>IF('Data Entry'!A1284="","",IF($L1284="","New item",IF($L1284&gt;0,"UP",IF($L1284&lt;0,"down","same"))))</f>
        <v/>
      </c>
    </row>
    <row r="1285">
      <c r="A1285" s="11">
        <f>IF('Data Entry'!A1285="","",'Data Entry'!A1285)</f>
        <v/>
      </c>
      <c r="B1285" s="12">
        <f>IF('Data Entry'!A1285="","",'Data Entry'!B1285)</f>
        <v/>
      </c>
      <c r="C1285" s="12">
        <f>IF('Data Entry'!A1285="","",'Data Entry'!C1285)</f>
        <v/>
      </c>
      <c r="D1285" s="12">
        <f>IF('Data Entry'!A1285="","",'Data Entry'!D1285)</f>
        <v/>
      </c>
      <c r="E1285" s="12">
        <f>IF('Data Entry'!A1285="","",'Data Entry'!E1285)</f>
        <v/>
      </c>
      <c r="F1285" s="12">
        <f>IF('Data Entry'!A1285="","",'Data Entry'!F1285)</f>
        <v/>
      </c>
      <c r="G1285" s="13">
        <f>IF('Data Entry'!A1285="","",'Data Entry'!G1285)</f>
        <v/>
      </c>
      <c r="H1285" s="10">
        <f>IF('Data Entry'!A1285="","",'Data Entry'!H1285)</f>
        <v/>
      </c>
      <c r="I1285" s="10">
        <f>IF('Data Entry'!A1285="","",'Data Entry'!I1285)</f>
        <v/>
      </c>
      <c r="J1285" s="12">
        <f>IF('Data Entry'!A1285="","",IF('Data Entry'!D1285&lt;&gt;"",'Data Entry'!D1285,'Data Entry'!E1285))</f>
        <v/>
      </c>
      <c r="K1285" s="10">
        <f>IF('Data Entry'!A1285="","",IFERROR(SUMIFS($H$5:$H$2001,$J$5:$J$2001,$J1285,$B$5:$B$2001,$B1285,$A$5:$A$2001,(MAXIFS($A$5:$A$2001,$J$5:$J$2001,$J1285,$B$5:$B$2001,$B1285,$A$5:$A$2001,"&lt;"&amp;$A1285))),""))</f>
        <v/>
      </c>
      <c r="L1285" s="14">
        <f>IF(OR('Data Entry'!A1285="",$K1285=""),"",$H1285-$K1285)</f>
        <v/>
      </c>
      <c r="M1285" s="15">
        <f>IF(OR('Data Entry'!A1285="",$K1285="",$K1285=0),"",$L1285/$K1285)</f>
        <v/>
      </c>
      <c r="N1285" s="12">
        <f>IF('Data Entry'!A1285="","",IF($L1285="","New item",IF($L1285&gt;0,"UP",IF($L1285&lt;0,"down","same"))))</f>
        <v/>
      </c>
    </row>
    <row r="1286">
      <c r="A1286" s="11">
        <f>IF('Data Entry'!A1286="","",'Data Entry'!A1286)</f>
        <v/>
      </c>
      <c r="B1286" s="12">
        <f>IF('Data Entry'!A1286="","",'Data Entry'!B1286)</f>
        <v/>
      </c>
      <c r="C1286" s="12">
        <f>IF('Data Entry'!A1286="","",'Data Entry'!C1286)</f>
        <v/>
      </c>
      <c r="D1286" s="12">
        <f>IF('Data Entry'!A1286="","",'Data Entry'!D1286)</f>
        <v/>
      </c>
      <c r="E1286" s="12">
        <f>IF('Data Entry'!A1286="","",'Data Entry'!E1286)</f>
        <v/>
      </c>
      <c r="F1286" s="12">
        <f>IF('Data Entry'!A1286="","",'Data Entry'!F1286)</f>
        <v/>
      </c>
      <c r="G1286" s="13">
        <f>IF('Data Entry'!A1286="","",'Data Entry'!G1286)</f>
        <v/>
      </c>
      <c r="H1286" s="10">
        <f>IF('Data Entry'!A1286="","",'Data Entry'!H1286)</f>
        <v/>
      </c>
      <c r="I1286" s="10">
        <f>IF('Data Entry'!A1286="","",'Data Entry'!I1286)</f>
        <v/>
      </c>
      <c r="J1286" s="12">
        <f>IF('Data Entry'!A1286="","",IF('Data Entry'!D1286&lt;&gt;"",'Data Entry'!D1286,'Data Entry'!E1286))</f>
        <v/>
      </c>
      <c r="K1286" s="10">
        <f>IF('Data Entry'!A1286="","",IFERROR(SUMIFS($H$5:$H$2001,$J$5:$J$2001,$J1286,$B$5:$B$2001,$B1286,$A$5:$A$2001,(MAXIFS($A$5:$A$2001,$J$5:$J$2001,$J1286,$B$5:$B$2001,$B1286,$A$5:$A$2001,"&lt;"&amp;$A1286))),""))</f>
        <v/>
      </c>
      <c r="L1286" s="14">
        <f>IF(OR('Data Entry'!A1286="",$K1286=""),"",$H1286-$K1286)</f>
        <v/>
      </c>
      <c r="M1286" s="15">
        <f>IF(OR('Data Entry'!A1286="",$K1286="",$K1286=0),"",$L1286/$K1286)</f>
        <v/>
      </c>
      <c r="N1286" s="12">
        <f>IF('Data Entry'!A1286="","",IF($L1286="","New item",IF($L1286&gt;0,"UP",IF($L1286&lt;0,"down","same"))))</f>
        <v/>
      </c>
    </row>
    <row r="1287">
      <c r="A1287" s="11">
        <f>IF('Data Entry'!A1287="","",'Data Entry'!A1287)</f>
        <v/>
      </c>
      <c r="B1287" s="12">
        <f>IF('Data Entry'!A1287="","",'Data Entry'!B1287)</f>
        <v/>
      </c>
      <c r="C1287" s="12">
        <f>IF('Data Entry'!A1287="","",'Data Entry'!C1287)</f>
        <v/>
      </c>
      <c r="D1287" s="12">
        <f>IF('Data Entry'!A1287="","",'Data Entry'!D1287)</f>
        <v/>
      </c>
      <c r="E1287" s="12">
        <f>IF('Data Entry'!A1287="","",'Data Entry'!E1287)</f>
        <v/>
      </c>
      <c r="F1287" s="12">
        <f>IF('Data Entry'!A1287="","",'Data Entry'!F1287)</f>
        <v/>
      </c>
      <c r="G1287" s="13">
        <f>IF('Data Entry'!A1287="","",'Data Entry'!G1287)</f>
        <v/>
      </c>
      <c r="H1287" s="10">
        <f>IF('Data Entry'!A1287="","",'Data Entry'!H1287)</f>
        <v/>
      </c>
      <c r="I1287" s="10">
        <f>IF('Data Entry'!A1287="","",'Data Entry'!I1287)</f>
        <v/>
      </c>
      <c r="J1287" s="12">
        <f>IF('Data Entry'!A1287="","",IF('Data Entry'!D1287&lt;&gt;"",'Data Entry'!D1287,'Data Entry'!E1287))</f>
        <v/>
      </c>
      <c r="K1287" s="10">
        <f>IF('Data Entry'!A1287="","",IFERROR(SUMIFS($H$5:$H$2001,$J$5:$J$2001,$J1287,$B$5:$B$2001,$B1287,$A$5:$A$2001,(MAXIFS($A$5:$A$2001,$J$5:$J$2001,$J1287,$B$5:$B$2001,$B1287,$A$5:$A$2001,"&lt;"&amp;$A1287))),""))</f>
        <v/>
      </c>
      <c r="L1287" s="14">
        <f>IF(OR('Data Entry'!A1287="",$K1287=""),"",$H1287-$K1287)</f>
        <v/>
      </c>
      <c r="M1287" s="15">
        <f>IF(OR('Data Entry'!A1287="",$K1287="",$K1287=0),"",$L1287/$K1287)</f>
        <v/>
      </c>
      <c r="N1287" s="12">
        <f>IF('Data Entry'!A1287="","",IF($L1287="","New item",IF($L1287&gt;0,"UP",IF($L1287&lt;0,"down","same"))))</f>
        <v/>
      </c>
    </row>
    <row r="1288">
      <c r="A1288" s="11">
        <f>IF('Data Entry'!A1288="","",'Data Entry'!A1288)</f>
        <v/>
      </c>
      <c r="B1288" s="12">
        <f>IF('Data Entry'!A1288="","",'Data Entry'!B1288)</f>
        <v/>
      </c>
      <c r="C1288" s="12">
        <f>IF('Data Entry'!A1288="","",'Data Entry'!C1288)</f>
        <v/>
      </c>
      <c r="D1288" s="12">
        <f>IF('Data Entry'!A1288="","",'Data Entry'!D1288)</f>
        <v/>
      </c>
      <c r="E1288" s="12">
        <f>IF('Data Entry'!A1288="","",'Data Entry'!E1288)</f>
        <v/>
      </c>
      <c r="F1288" s="12">
        <f>IF('Data Entry'!A1288="","",'Data Entry'!F1288)</f>
        <v/>
      </c>
      <c r="G1288" s="13">
        <f>IF('Data Entry'!A1288="","",'Data Entry'!G1288)</f>
        <v/>
      </c>
      <c r="H1288" s="10">
        <f>IF('Data Entry'!A1288="","",'Data Entry'!H1288)</f>
        <v/>
      </c>
      <c r="I1288" s="10">
        <f>IF('Data Entry'!A1288="","",'Data Entry'!I1288)</f>
        <v/>
      </c>
      <c r="J1288" s="12">
        <f>IF('Data Entry'!A1288="","",IF('Data Entry'!D1288&lt;&gt;"",'Data Entry'!D1288,'Data Entry'!E1288))</f>
        <v/>
      </c>
      <c r="K1288" s="10">
        <f>IF('Data Entry'!A1288="","",IFERROR(SUMIFS($H$5:$H$2001,$J$5:$J$2001,$J1288,$B$5:$B$2001,$B1288,$A$5:$A$2001,(MAXIFS($A$5:$A$2001,$J$5:$J$2001,$J1288,$B$5:$B$2001,$B1288,$A$5:$A$2001,"&lt;"&amp;$A1288))),""))</f>
        <v/>
      </c>
      <c r="L1288" s="14">
        <f>IF(OR('Data Entry'!A1288="",$K1288=""),"",$H1288-$K1288)</f>
        <v/>
      </c>
      <c r="M1288" s="15">
        <f>IF(OR('Data Entry'!A1288="",$K1288="",$K1288=0),"",$L1288/$K1288)</f>
        <v/>
      </c>
      <c r="N1288" s="12">
        <f>IF('Data Entry'!A1288="","",IF($L1288="","New item",IF($L1288&gt;0,"UP",IF($L1288&lt;0,"down","same"))))</f>
        <v/>
      </c>
    </row>
    <row r="1289">
      <c r="A1289" s="11">
        <f>IF('Data Entry'!A1289="","",'Data Entry'!A1289)</f>
        <v/>
      </c>
      <c r="B1289" s="12">
        <f>IF('Data Entry'!A1289="","",'Data Entry'!B1289)</f>
        <v/>
      </c>
      <c r="C1289" s="12">
        <f>IF('Data Entry'!A1289="","",'Data Entry'!C1289)</f>
        <v/>
      </c>
      <c r="D1289" s="12">
        <f>IF('Data Entry'!A1289="","",'Data Entry'!D1289)</f>
        <v/>
      </c>
      <c r="E1289" s="12">
        <f>IF('Data Entry'!A1289="","",'Data Entry'!E1289)</f>
        <v/>
      </c>
      <c r="F1289" s="12">
        <f>IF('Data Entry'!A1289="","",'Data Entry'!F1289)</f>
        <v/>
      </c>
      <c r="G1289" s="13">
        <f>IF('Data Entry'!A1289="","",'Data Entry'!G1289)</f>
        <v/>
      </c>
      <c r="H1289" s="10">
        <f>IF('Data Entry'!A1289="","",'Data Entry'!H1289)</f>
        <v/>
      </c>
      <c r="I1289" s="10">
        <f>IF('Data Entry'!A1289="","",'Data Entry'!I1289)</f>
        <v/>
      </c>
      <c r="J1289" s="12">
        <f>IF('Data Entry'!A1289="","",IF('Data Entry'!D1289&lt;&gt;"",'Data Entry'!D1289,'Data Entry'!E1289))</f>
        <v/>
      </c>
      <c r="K1289" s="10">
        <f>IF('Data Entry'!A1289="","",IFERROR(SUMIFS($H$5:$H$2001,$J$5:$J$2001,$J1289,$B$5:$B$2001,$B1289,$A$5:$A$2001,(MAXIFS($A$5:$A$2001,$J$5:$J$2001,$J1289,$B$5:$B$2001,$B1289,$A$5:$A$2001,"&lt;"&amp;$A1289))),""))</f>
        <v/>
      </c>
      <c r="L1289" s="14">
        <f>IF(OR('Data Entry'!A1289="",$K1289=""),"",$H1289-$K1289)</f>
        <v/>
      </c>
      <c r="M1289" s="15">
        <f>IF(OR('Data Entry'!A1289="",$K1289="",$K1289=0),"",$L1289/$K1289)</f>
        <v/>
      </c>
      <c r="N1289" s="12">
        <f>IF('Data Entry'!A1289="","",IF($L1289="","New item",IF($L1289&gt;0,"UP",IF($L1289&lt;0,"down","same"))))</f>
        <v/>
      </c>
    </row>
    <row r="1290">
      <c r="A1290" s="11">
        <f>IF('Data Entry'!A1290="","",'Data Entry'!A1290)</f>
        <v/>
      </c>
      <c r="B1290" s="12">
        <f>IF('Data Entry'!A1290="","",'Data Entry'!B1290)</f>
        <v/>
      </c>
      <c r="C1290" s="12">
        <f>IF('Data Entry'!A1290="","",'Data Entry'!C1290)</f>
        <v/>
      </c>
      <c r="D1290" s="12">
        <f>IF('Data Entry'!A1290="","",'Data Entry'!D1290)</f>
        <v/>
      </c>
      <c r="E1290" s="12">
        <f>IF('Data Entry'!A1290="","",'Data Entry'!E1290)</f>
        <v/>
      </c>
      <c r="F1290" s="12">
        <f>IF('Data Entry'!A1290="","",'Data Entry'!F1290)</f>
        <v/>
      </c>
      <c r="G1290" s="13">
        <f>IF('Data Entry'!A1290="","",'Data Entry'!G1290)</f>
        <v/>
      </c>
      <c r="H1290" s="10">
        <f>IF('Data Entry'!A1290="","",'Data Entry'!H1290)</f>
        <v/>
      </c>
      <c r="I1290" s="10">
        <f>IF('Data Entry'!A1290="","",'Data Entry'!I1290)</f>
        <v/>
      </c>
      <c r="J1290" s="12">
        <f>IF('Data Entry'!A1290="","",IF('Data Entry'!D1290&lt;&gt;"",'Data Entry'!D1290,'Data Entry'!E1290))</f>
        <v/>
      </c>
      <c r="K1290" s="10">
        <f>IF('Data Entry'!A1290="","",IFERROR(SUMIFS($H$5:$H$2001,$J$5:$J$2001,$J1290,$B$5:$B$2001,$B1290,$A$5:$A$2001,(MAXIFS($A$5:$A$2001,$J$5:$J$2001,$J1290,$B$5:$B$2001,$B1290,$A$5:$A$2001,"&lt;"&amp;$A1290))),""))</f>
        <v/>
      </c>
      <c r="L1290" s="14">
        <f>IF(OR('Data Entry'!A1290="",$K1290=""),"",$H1290-$K1290)</f>
        <v/>
      </c>
      <c r="M1290" s="15">
        <f>IF(OR('Data Entry'!A1290="",$K1290="",$K1290=0),"",$L1290/$K1290)</f>
        <v/>
      </c>
      <c r="N1290" s="12">
        <f>IF('Data Entry'!A1290="","",IF($L1290="","New item",IF($L1290&gt;0,"UP",IF($L1290&lt;0,"down","same"))))</f>
        <v/>
      </c>
    </row>
    <row r="1291">
      <c r="A1291" s="11">
        <f>IF('Data Entry'!A1291="","",'Data Entry'!A1291)</f>
        <v/>
      </c>
      <c r="B1291" s="12">
        <f>IF('Data Entry'!A1291="","",'Data Entry'!B1291)</f>
        <v/>
      </c>
      <c r="C1291" s="12">
        <f>IF('Data Entry'!A1291="","",'Data Entry'!C1291)</f>
        <v/>
      </c>
      <c r="D1291" s="12">
        <f>IF('Data Entry'!A1291="","",'Data Entry'!D1291)</f>
        <v/>
      </c>
      <c r="E1291" s="12">
        <f>IF('Data Entry'!A1291="","",'Data Entry'!E1291)</f>
        <v/>
      </c>
      <c r="F1291" s="12">
        <f>IF('Data Entry'!A1291="","",'Data Entry'!F1291)</f>
        <v/>
      </c>
      <c r="G1291" s="13">
        <f>IF('Data Entry'!A1291="","",'Data Entry'!G1291)</f>
        <v/>
      </c>
      <c r="H1291" s="10">
        <f>IF('Data Entry'!A1291="","",'Data Entry'!H1291)</f>
        <v/>
      </c>
      <c r="I1291" s="10">
        <f>IF('Data Entry'!A1291="","",'Data Entry'!I1291)</f>
        <v/>
      </c>
      <c r="J1291" s="12">
        <f>IF('Data Entry'!A1291="","",IF('Data Entry'!D1291&lt;&gt;"",'Data Entry'!D1291,'Data Entry'!E1291))</f>
        <v/>
      </c>
      <c r="K1291" s="10">
        <f>IF('Data Entry'!A1291="","",IFERROR(SUMIFS($H$5:$H$2001,$J$5:$J$2001,$J1291,$B$5:$B$2001,$B1291,$A$5:$A$2001,(MAXIFS($A$5:$A$2001,$J$5:$J$2001,$J1291,$B$5:$B$2001,$B1291,$A$5:$A$2001,"&lt;"&amp;$A1291))),""))</f>
        <v/>
      </c>
      <c r="L1291" s="14">
        <f>IF(OR('Data Entry'!A1291="",$K1291=""),"",$H1291-$K1291)</f>
        <v/>
      </c>
      <c r="M1291" s="15">
        <f>IF(OR('Data Entry'!A1291="",$K1291="",$K1291=0),"",$L1291/$K1291)</f>
        <v/>
      </c>
      <c r="N1291" s="12">
        <f>IF('Data Entry'!A1291="","",IF($L1291="","New item",IF($L1291&gt;0,"UP",IF($L1291&lt;0,"down","same"))))</f>
        <v/>
      </c>
    </row>
    <row r="1292">
      <c r="A1292" s="11">
        <f>IF('Data Entry'!A1292="","",'Data Entry'!A1292)</f>
        <v/>
      </c>
      <c r="B1292" s="12">
        <f>IF('Data Entry'!A1292="","",'Data Entry'!B1292)</f>
        <v/>
      </c>
      <c r="C1292" s="12">
        <f>IF('Data Entry'!A1292="","",'Data Entry'!C1292)</f>
        <v/>
      </c>
      <c r="D1292" s="12">
        <f>IF('Data Entry'!A1292="","",'Data Entry'!D1292)</f>
        <v/>
      </c>
      <c r="E1292" s="12">
        <f>IF('Data Entry'!A1292="","",'Data Entry'!E1292)</f>
        <v/>
      </c>
      <c r="F1292" s="12">
        <f>IF('Data Entry'!A1292="","",'Data Entry'!F1292)</f>
        <v/>
      </c>
      <c r="G1292" s="13">
        <f>IF('Data Entry'!A1292="","",'Data Entry'!G1292)</f>
        <v/>
      </c>
      <c r="H1292" s="10">
        <f>IF('Data Entry'!A1292="","",'Data Entry'!H1292)</f>
        <v/>
      </c>
      <c r="I1292" s="10">
        <f>IF('Data Entry'!A1292="","",'Data Entry'!I1292)</f>
        <v/>
      </c>
      <c r="J1292" s="12">
        <f>IF('Data Entry'!A1292="","",IF('Data Entry'!D1292&lt;&gt;"",'Data Entry'!D1292,'Data Entry'!E1292))</f>
        <v/>
      </c>
      <c r="K1292" s="10">
        <f>IF('Data Entry'!A1292="","",IFERROR(SUMIFS($H$5:$H$2001,$J$5:$J$2001,$J1292,$B$5:$B$2001,$B1292,$A$5:$A$2001,(MAXIFS($A$5:$A$2001,$J$5:$J$2001,$J1292,$B$5:$B$2001,$B1292,$A$5:$A$2001,"&lt;"&amp;$A1292))),""))</f>
        <v/>
      </c>
      <c r="L1292" s="14">
        <f>IF(OR('Data Entry'!A1292="",$K1292=""),"",$H1292-$K1292)</f>
        <v/>
      </c>
      <c r="M1292" s="15">
        <f>IF(OR('Data Entry'!A1292="",$K1292="",$K1292=0),"",$L1292/$K1292)</f>
        <v/>
      </c>
      <c r="N1292" s="12">
        <f>IF('Data Entry'!A1292="","",IF($L1292="","New item",IF($L1292&gt;0,"UP",IF($L1292&lt;0,"down","same"))))</f>
        <v/>
      </c>
    </row>
    <row r="1293">
      <c r="A1293" s="11">
        <f>IF('Data Entry'!A1293="","",'Data Entry'!A1293)</f>
        <v/>
      </c>
      <c r="B1293" s="12">
        <f>IF('Data Entry'!A1293="","",'Data Entry'!B1293)</f>
        <v/>
      </c>
      <c r="C1293" s="12">
        <f>IF('Data Entry'!A1293="","",'Data Entry'!C1293)</f>
        <v/>
      </c>
      <c r="D1293" s="12">
        <f>IF('Data Entry'!A1293="","",'Data Entry'!D1293)</f>
        <v/>
      </c>
      <c r="E1293" s="12">
        <f>IF('Data Entry'!A1293="","",'Data Entry'!E1293)</f>
        <v/>
      </c>
      <c r="F1293" s="12">
        <f>IF('Data Entry'!A1293="","",'Data Entry'!F1293)</f>
        <v/>
      </c>
      <c r="G1293" s="13">
        <f>IF('Data Entry'!A1293="","",'Data Entry'!G1293)</f>
        <v/>
      </c>
      <c r="H1293" s="10">
        <f>IF('Data Entry'!A1293="","",'Data Entry'!H1293)</f>
        <v/>
      </c>
      <c r="I1293" s="10">
        <f>IF('Data Entry'!A1293="","",'Data Entry'!I1293)</f>
        <v/>
      </c>
      <c r="J1293" s="12">
        <f>IF('Data Entry'!A1293="","",IF('Data Entry'!D1293&lt;&gt;"",'Data Entry'!D1293,'Data Entry'!E1293))</f>
        <v/>
      </c>
      <c r="K1293" s="10">
        <f>IF('Data Entry'!A1293="","",IFERROR(SUMIFS($H$5:$H$2001,$J$5:$J$2001,$J1293,$B$5:$B$2001,$B1293,$A$5:$A$2001,(MAXIFS($A$5:$A$2001,$J$5:$J$2001,$J1293,$B$5:$B$2001,$B1293,$A$5:$A$2001,"&lt;"&amp;$A1293))),""))</f>
        <v/>
      </c>
      <c r="L1293" s="14">
        <f>IF(OR('Data Entry'!A1293="",$K1293=""),"",$H1293-$K1293)</f>
        <v/>
      </c>
      <c r="M1293" s="15">
        <f>IF(OR('Data Entry'!A1293="",$K1293="",$K1293=0),"",$L1293/$K1293)</f>
        <v/>
      </c>
      <c r="N1293" s="12">
        <f>IF('Data Entry'!A1293="","",IF($L1293="","New item",IF($L1293&gt;0,"UP",IF($L1293&lt;0,"down","same"))))</f>
        <v/>
      </c>
    </row>
    <row r="1294">
      <c r="A1294" s="11">
        <f>IF('Data Entry'!A1294="","",'Data Entry'!A1294)</f>
        <v/>
      </c>
      <c r="B1294" s="12">
        <f>IF('Data Entry'!A1294="","",'Data Entry'!B1294)</f>
        <v/>
      </c>
      <c r="C1294" s="12">
        <f>IF('Data Entry'!A1294="","",'Data Entry'!C1294)</f>
        <v/>
      </c>
      <c r="D1294" s="12">
        <f>IF('Data Entry'!A1294="","",'Data Entry'!D1294)</f>
        <v/>
      </c>
      <c r="E1294" s="12">
        <f>IF('Data Entry'!A1294="","",'Data Entry'!E1294)</f>
        <v/>
      </c>
      <c r="F1294" s="12">
        <f>IF('Data Entry'!A1294="","",'Data Entry'!F1294)</f>
        <v/>
      </c>
      <c r="G1294" s="13">
        <f>IF('Data Entry'!A1294="","",'Data Entry'!G1294)</f>
        <v/>
      </c>
      <c r="H1294" s="10">
        <f>IF('Data Entry'!A1294="","",'Data Entry'!H1294)</f>
        <v/>
      </c>
      <c r="I1294" s="10">
        <f>IF('Data Entry'!A1294="","",'Data Entry'!I1294)</f>
        <v/>
      </c>
      <c r="J1294" s="12">
        <f>IF('Data Entry'!A1294="","",IF('Data Entry'!D1294&lt;&gt;"",'Data Entry'!D1294,'Data Entry'!E1294))</f>
        <v/>
      </c>
      <c r="K1294" s="10">
        <f>IF('Data Entry'!A1294="","",IFERROR(SUMIFS($H$5:$H$2001,$J$5:$J$2001,$J1294,$B$5:$B$2001,$B1294,$A$5:$A$2001,(MAXIFS($A$5:$A$2001,$J$5:$J$2001,$J1294,$B$5:$B$2001,$B1294,$A$5:$A$2001,"&lt;"&amp;$A1294))),""))</f>
        <v/>
      </c>
      <c r="L1294" s="14">
        <f>IF(OR('Data Entry'!A1294="",$K1294=""),"",$H1294-$K1294)</f>
        <v/>
      </c>
      <c r="M1294" s="15">
        <f>IF(OR('Data Entry'!A1294="",$K1294="",$K1294=0),"",$L1294/$K1294)</f>
        <v/>
      </c>
      <c r="N1294" s="12">
        <f>IF('Data Entry'!A1294="","",IF($L1294="","New item",IF($L1294&gt;0,"UP",IF($L1294&lt;0,"down","same"))))</f>
        <v/>
      </c>
    </row>
    <row r="1295">
      <c r="A1295" s="11">
        <f>IF('Data Entry'!A1295="","",'Data Entry'!A1295)</f>
        <v/>
      </c>
      <c r="B1295" s="12">
        <f>IF('Data Entry'!A1295="","",'Data Entry'!B1295)</f>
        <v/>
      </c>
      <c r="C1295" s="12">
        <f>IF('Data Entry'!A1295="","",'Data Entry'!C1295)</f>
        <v/>
      </c>
      <c r="D1295" s="12">
        <f>IF('Data Entry'!A1295="","",'Data Entry'!D1295)</f>
        <v/>
      </c>
      <c r="E1295" s="12">
        <f>IF('Data Entry'!A1295="","",'Data Entry'!E1295)</f>
        <v/>
      </c>
      <c r="F1295" s="12">
        <f>IF('Data Entry'!A1295="","",'Data Entry'!F1295)</f>
        <v/>
      </c>
      <c r="G1295" s="13">
        <f>IF('Data Entry'!A1295="","",'Data Entry'!G1295)</f>
        <v/>
      </c>
      <c r="H1295" s="10">
        <f>IF('Data Entry'!A1295="","",'Data Entry'!H1295)</f>
        <v/>
      </c>
      <c r="I1295" s="10">
        <f>IF('Data Entry'!A1295="","",'Data Entry'!I1295)</f>
        <v/>
      </c>
      <c r="J1295" s="12">
        <f>IF('Data Entry'!A1295="","",IF('Data Entry'!D1295&lt;&gt;"",'Data Entry'!D1295,'Data Entry'!E1295))</f>
        <v/>
      </c>
      <c r="K1295" s="10">
        <f>IF('Data Entry'!A1295="","",IFERROR(SUMIFS($H$5:$H$2001,$J$5:$J$2001,$J1295,$B$5:$B$2001,$B1295,$A$5:$A$2001,(MAXIFS($A$5:$A$2001,$J$5:$J$2001,$J1295,$B$5:$B$2001,$B1295,$A$5:$A$2001,"&lt;"&amp;$A1295))),""))</f>
        <v/>
      </c>
      <c r="L1295" s="14">
        <f>IF(OR('Data Entry'!A1295="",$K1295=""),"",$H1295-$K1295)</f>
        <v/>
      </c>
      <c r="M1295" s="15">
        <f>IF(OR('Data Entry'!A1295="",$K1295="",$K1295=0),"",$L1295/$K1295)</f>
        <v/>
      </c>
      <c r="N1295" s="12">
        <f>IF('Data Entry'!A1295="","",IF($L1295="","New item",IF($L1295&gt;0,"UP",IF($L1295&lt;0,"down","same"))))</f>
        <v/>
      </c>
    </row>
    <row r="1296">
      <c r="A1296" s="11">
        <f>IF('Data Entry'!A1296="","",'Data Entry'!A1296)</f>
        <v/>
      </c>
      <c r="B1296" s="12">
        <f>IF('Data Entry'!A1296="","",'Data Entry'!B1296)</f>
        <v/>
      </c>
      <c r="C1296" s="12">
        <f>IF('Data Entry'!A1296="","",'Data Entry'!C1296)</f>
        <v/>
      </c>
      <c r="D1296" s="12">
        <f>IF('Data Entry'!A1296="","",'Data Entry'!D1296)</f>
        <v/>
      </c>
      <c r="E1296" s="12">
        <f>IF('Data Entry'!A1296="","",'Data Entry'!E1296)</f>
        <v/>
      </c>
      <c r="F1296" s="12">
        <f>IF('Data Entry'!A1296="","",'Data Entry'!F1296)</f>
        <v/>
      </c>
      <c r="G1296" s="13">
        <f>IF('Data Entry'!A1296="","",'Data Entry'!G1296)</f>
        <v/>
      </c>
      <c r="H1296" s="10">
        <f>IF('Data Entry'!A1296="","",'Data Entry'!H1296)</f>
        <v/>
      </c>
      <c r="I1296" s="10">
        <f>IF('Data Entry'!A1296="","",'Data Entry'!I1296)</f>
        <v/>
      </c>
      <c r="J1296" s="12">
        <f>IF('Data Entry'!A1296="","",IF('Data Entry'!D1296&lt;&gt;"",'Data Entry'!D1296,'Data Entry'!E1296))</f>
        <v/>
      </c>
      <c r="K1296" s="10">
        <f>IF('Data Entry'!A1296="","",IFERROR(SUMIFS($H$5:$H$2001,$J$5:$J$2001,$J1296,$B$5:$B$2001,$B1296,$A$5:$A$2001,(MAXIFS($A$5:$A$2001,$J$5:$J$2001,$J1296,$B$5:$B$2001,$B1296,$A$5:$A$2001,"&lt;"&amp;$A1296))),""))</f>
        <v/>
      </c>
      <c r="L1296" s="14">
        <f>IF(OR('Data Entry'!A1296="",$K1296=""),"",$H1296-$K1296)</f>
        <v/>
      </c>
      <c r="M1296" s="15">
        <f>IF(OR('Data Entry'!A1296="",$K1296="",$K1296=0),"",$L1296/$K1296)</f>
        <v/>
      </c>
      <c r="N1296" s="12">
        <f>IF('Data Entry'!A1296="","",IF($L1296="","New item",IF($L1296&gt;0,"UP",IF($L1296&lt;0,"down","same"))))</f>
        <v/>
      </c>
    </row>
    <row r="1297">
      <c r="A1297" s="11">
        <f>IF('Data Entry'!A1297="","",'Data Entry'!A1297)</f>
        <v/>
      </c>
      <c r="B1297" s="12">
        <f>IF('Data Entry'!A1297="","",'Data Entry'!B1297)</f>
        <v/>
      </c>
      <c r="C1297" s="12">
        <f>IF('Data Entry'!A1297="","",'Data Entry'!C1297)</f>
        <v/>
      </c>
      <c r="D1297" s="12">
        <f>IF('Data Entry'!A1297="","",'Data Entry'!D1297)</f>
        <v/>
      </c>
      <c r="E1297" s="12">
        <f>IF('Data Entry'!A1297="","",'Data Entry'!E1297)</f>
        <v/>
      </c>
      <c r="F1297" s="12">
        <f>IF('Data Entry'!A1297="","",'Data Entry'!F1297)</f>
        <v/>
      </c>
      <c r="G1297" s="13">
        <f>IF('Data Entry'!A1297="","",'Data Entry'!G1297)</f>
        <v/>
      </c>
      <c r="H1297" s="10">
        <f>IF('Data Entry'!A1297="","",'Data Entry'!H1297)</f>
        <v/>
      </c>
      <c r="I1297" s="10">
        <f>IF('Data Entry'!A1297="","",'Data Entry'!I1297)</f>
        <v/>
      </c>
      <c r="J1297" s="12">
        <f>IF('Data Entry'!A1297="","",IF('Data Entry'!D1297&lt;&gt;"",'Data Entry'!D1297,'Data Entry'!E1297))</f>
        <v/>
      </c>
      <c r="K1297" s="10">
        <f>IF('Data Entry'!A1297="","",IFERROR(SUMIFS($H$5:$H$2001,$J$5:$J$2001,$J1297,$B$5:$B$2001,$B1297,$A$5:$A$2001,(MAXIFS($A$5:$A$2001,$J$5:$J$2001,$J1297,$B$5:$B$2001,$B1297,$A$5:$A$2001,"&lt;"&amp;$A1297))),""))</f>
        <v/>
      </c>
      <c r="L1297" s="14">
        <f>IF(OR('Data Entry'!A1297="",$K1297=""),"",$H1297-$K1297)</f>
        <v/>
      </c>
      <c r="M1297" s="15">
        <f>IF(OR('Data Entry'!A1297="",$K1297="",$K1297=0),"",$L1297/$K1297)</f>
        <v/>
      </c>
      <c r="N1297" s="12">
        <f>IF('Data Entry'!A1297="","",IF($L1297="","New item",IF($L1297&gt;0,"UP",IF($L1297&lt;0,"down","same"))))</f>
        <v/>
      </c>
    </row>
    <row r="1298">
      <c r="A1298" s="11">
        <f>IF('Data Entry'!A1298="","",'Data Entry'!A1298)</f>
        <v/>
      </c>
      <c r="B1298" s="12">
        <f>IF('Data Entry'!A1298="","",'Data Entry'!B1298)</f>
        <v/>
      </c>
      <c r="C1298" s="12">
        <f>IF('Data Entry'!A1298="","",'Data Entry'!C1298)</f>
        <v/>
      </c>
      <c r="D1298" s="12">
        <f>IF('Data Entry'!A1298="","",'Data Entry'!D1298)</f>
        <v/>
      </c>
      <c r="E1298" s="12">
        <f>IF('Data Entry'!A1298="","",'Data Entry'!E1298)</f>
        <v/>
      </c>
      <c r="F1298" s="12">
        <f>IF('Data Entry'!A1298="","",'Data Entry'!F1298)</f>
        <v/>
      </c>
      <c r="G1298" s="13">
        <f>IF('Data Entry'!A1298="","",'Data Entry'!G1298)</f>
        <v/>
      </c>
      <c r="H1298" s="10">
        <f>IF('Data Entry'!A1298="","",'Data Entry'!H1298)</f>
        <v/>
      </c>
      <c r="I1298" s="10">
        <f>IF('Data Entry'!A1298="","",'Data Entry'!I1298)</f>
        <v/>
      </c>
      <c r="J1298" s="12">
        <f>IF('Data Entry'!A1298="","",IF('Data Entry'!D1298&lt;&gt;"",'Data Entry'!D1298,'Data Entry'!E1298))</f>
        <v/>
      </c>
      <c r="K1298" s="10">
        <f>IF('Data Entry'!A1298="","",IFERROR(SUMIFS($H$5:$H$2001,$J$5:$J$2001,$J1298,$B$5:$B$2001,$B1298,$A$5:$A$2001,(MAXIFS($A$5:$A$2001,$J$5:$J$2001,$J1298,$B$5:$B$2001,$B1298,$A$5:$A$2001,"&lt;"&amp;$A1298))),""))</f>
        <v/>
      </c>
      <c r="L1298" s="14">
        <f>IF(OR('Data Entry'!A1298="",$K1298=""),"",$H1298-$K1298)</f>
        <v/>
      </c>
      <c r="M1298" s="15">
        <f>IF(OR('Data Entry'!A1298="",$K1298="",$K1298=0),"",$L1298/$K1298)</f>
        <v/>
      </c>
      <c r="N1298" s="12">
        <f>IF('Data Entry'!A1298="","",IF($L1298="","New item",IF($L1298&gt;0,"UP",IF($L1298&lt;0,"down","same"))))</f>
        <v/>
      </c>
    </row>
    <row r="1299">
      <c r="A1299" s="11">
        <f>IF('Data Entry'!A1299="","",'Data Entry'!A1299)</f>
        <v/>
      </c>
      <c r="B1299" s="12">
        <f>IF('Data Entry'!A1299="","",'Data Entry'!B1299)</f>
        <v/>
      </c>
      <c r="C1299" s="12">
        <f>IF('Data Entry'!A1299="","",'Data Entry'!C1299)</f>
        <v/>
      </c>
      <c r="D1299" s="12">
        <f>IF('Data Entry'!A1299="","",'Data Entry'!D1299)</f>
        <v/>
      </c>
      <c r="E1299" s="12">
        <f>IF('Data Entry'!A1299="","",'Data Entry'!E1299)</f>
        <v/>
      </c>
      <c r="F1299" s="12">
        <f>IF('Data Entry'!A1299="","",'Data Entry'!F1299)</f>
        <v/>
      </c>
      <c r="G1299" s="13">
        <f>IF('Data Entry'!A1299="","",'Data Entry'!G1299)</f>
        <v/>
      </c>
      <c r="H1299" s="10">
        <f>IF('Data Entry'!A1299="","",'Data Entry'!H1299)</f>
        <v/>
      </c>
      <c r="I1299" s="10">
        <f>IF('Data Entry'!A1299="","",'Data Entry'!I1299)</f>
        <v/>
      </c>
      <c r="J1299" s="12">
        <f>IF('Data Entry'!A1299="","",IF('Data Entry'!D1299&lt;&gt;"",'Data Entry'!D1299,'Data Entry'!E1299))</f>
        <v/>
      </c>
      <c r="K1299" s="10">
        <f>IF('Data Entry'!A1299="","",IFERROR(SUMIFS($H$5:$H$2001,$J$5:$J$2001,$J1299,$B$5:$B$2001,$B1299,$A$5:$A$2001,(MAXIFS($A$5:$A$2001,$J$5:$J$2001,$J1299,$B$5:$B$2001,$B1299,$A$5:$A$2001,"&lt;"&amp;$A1299))),""))</f>
        <v/>
      </c>
      <c r="L1299" s="14">
        <f>IF(OR('Data Entry'!A1299="",$K1299=""),"",$H1299-$K1299)</f>
        <v/>
      </c>
      <c r="M1299" s="15">
        <f>IF(OR('Data Entry'!A1299="",$K1299="",$K1299=0),"",$L1299/$K1299)</f>
        <v/>
      </c>
      <c r="N1299" s="12">
        <f>IF('Data Entry'!A1299="","",IF($L1299="","New item",IF($L1299&gt;0,"UP",IF($L1299&lt;0,"down","same"))))</f>
        <v/>
      </c>
    </row>
    <row r="1300">
      <c r="A1300" s="11">
        <f>IF('Data Entry'!A1300="","",'Data Entry'!A1300)</f>
        <v/>
      </c>
      <c r="B1300" s="12">
        <f>IF('Data Entry'!A1300="","",'Data Entry'!B1300)</f>
        <v/>
      </c>
      <c r="C1300" s="12">
        <f>IF('Data Entry'!A1300="","",'Data Entry'!C1300)</f>
        <v/>
      </c>
      <c r="D1300" s="12">
        <f>IF('Data Entry'!A1300="","",'Data Entry'!D1300)</f>
        <v/>
      </c>
      <c r="E1300" s="12">
        <f>IF('Data Entry'!A1300="","",'Data Entry'!E1300)</f>
        <v/>
      </c>
      <c r="F1300" s="12">
        <f>IF('Data Entry'!A1300="","",'Data Entry'!F1300)</f>
        <v/>
      </c>
      <c r="G1300" s="13">
        <f>IF('Data Entry'!A1300="","",'Data Entry'!G1300)</f>
        <v/>
      </c>
      <c r="H1300" s="10">
        <f>IF('Data Entry'!A1300="","",'Data Entry'!H1300)</f>
        <v/>
      </c>
      <c r="I1300" s="10">
        <f>IF('Data Entry'!A1300="","",'Data Entry'!I1300)</f>
        <v/>
      </c>
      <c r="J1300" s="12">
        <f>IF('Data Entry'!A1300="","",IF('Data Entry'!D1300&lt;&gt;"",'Data Entry'!D1300,'Data Entry'!E1300))</f>
        <v/>
      </c>
      <c r="K1300" s="10">
        <f>IF('Data Entry'!A1300="","",IFERROR(SUMIFS($H$5:$H$2001,$J$5:$J$2001,$J1300,$B$5:$B$2001,$B1300,$A$5:$A$2001,(MAXIFS($A$5:$A$2001,$J$5:$J$2001,$J1300,$B$5:$B$2001,$B1300,$A$5:$A$2001,"&lt;"&amp;$A1300))),""))</f>
        <v/>
      </c>
      <c r="L1300" s="14">
        <f>IF(OR('Data Entry'!A1300="",$K1300=""),"",$H1300-$K1300)</f>
        <v/>
      </c>
      <c r="M1300" s="15">
        <f>IF(OR('Data Entry'!A1300="",$K1300="",$K1300=0),"",$L1300/$K1300)</f>
        <v/>
      </c>
      <c r="N1300" s="12">
        <f>IF('Data Entry'!A1300="","",IF($L1300="","New item",IF($L1300&gt;0,"UP",IF($L1300&lt;0,"down","same"))))</f>
        <v/>
      </c>
    </row>
    <row r="1301">
      <c r="A1301" s="11">
        <f>IF('Data Entry'!A1301="","",'Data Entry'!A1301)</f>
        <v/>
      </c>
      <c r="B1301" s="12">
        <f>IF('Data Entry'!A1301="","",'Data Entry'!B1301)</f>
        <v/>
      </c>
      <c r="C1301" s="12">
        <f>IF('Data Entry'!A1301="","",'Data Entry'!C1301)</f>
        <v/>
      </c>
      <c r="D1301" s="12">
        <f>IF('Data Entry'!A1301="","",'Data Entry'!D1301)</f>
        <v/>
      </c>
      <c r="E1301" s="12">
        <f>IF('Data Entry'!A1301="","",'Data Entry'!E1301)</f>
        <v/>
      </c>
      <c r="F1301" s="12">
        <f>IF('Data Entry'!A1301="","",'Data Entry'!F1301)</f>
        <v/>
      </c>
      <c r="G1301" s="13">
        <f>IF('Data Entry'!A1301="","",'Data Entry'!G1301)</f>
        <v/>
      </c>
      <c r="H1301" s="10">
        <f>IF('Data Entry'!A1301="","",'Data Entry'!H1301)</f>
        <v/>
      </c>
      <c r="I1301" s="10">
        <f>IF('Data Entry'!A1301="","",'Data Entry'!I1301)</f>
        <v/>
      </c>
      <c r="J1301" s="12">
        <f>IF('Data Entry'!A1301="","",IF('Data Entry'!D1301&lt;&gt;"",'Data Entry'!D1301,'Data Entry'!E1301))</f>
        <v/>
      </c>
      <c r="K1301" s="10">
        <f>IF('Data Entry'!A1301="","",IFERROR(SUMIFS($H$5:$H$2001,$J$5:$J$2001,$J1301,$B$5:$B$2001,$B1301,$A$5:$A$2001,(MAXIFS($A$5:$A$2001,$J$5:$J$2001,$J1301,$B$5:$B$2001,$B1301,$A$5:$A$2001,"&lt;"&amp;$A1301))),""))</f>
        <v/>
      </c>
      <c r="L1301" s="14">
        <f>IF(OR('Data Entry'!A1301="",$K1301=""),"",$H1301-$K1301)</f>
        <v/>
      </c>
      <c r="M1301" s="15">
        <f>IF(OR('Data Entry'!A1301="",$K1301="",$K1301=0),"",$L1301/$K1301)</f>
        <v/>
      </c>
      <c r="N1301" s="12">
        <f>IF('Data Entry'!A1301="","",IF($L1301="","New item",IF($L1301&gt;0,"UP",IF($L1301&lt;0,"down","same"))))</f>
        <v/>
      </c>
    </row>
    <row r="1302">
      <c r="A1302" s="11">
        <f>IF('Data Entry'!A1302="","",'Data Entry'!A1302)</f>
        <v/>
      </c>
      <c r="B1302" s="12">
        <f>IF('Data Entry'!A1302="","",'Data Entry'!B1302)</f>
        <v/>
      </c>
      <c r="C1302" s="12">
        <f>IF('Data Entry'!A1302="","",'Data Entry'!C1302)</f>
        <v/>
      </c>
      <c r="D1302" s="12">
        <f>IF('Data Entry'!A1302="","",'Data Entry'!D1302)</f>
        <v/>
      </c>
      <c r="E1302" s="12">
        <f>IF('Data Entry'!A1302="","",'Data Entry'!E1302)</f>
        <v/>
      </c>
      <c r="F1302" s="12">
        <f>IF('Data Entry'!A1302="","",'Data Entry'!F1302)</f>
        <v/>
      </c>
      <c r="G1302" s="13">
        <f>IF('Data Entry'!A1302="","",'Data Entry'!G1302)</f>
        <v/>
      </c>
      <c r="H1302" s="10">
        <f>IF('Data Entry'!A1302="","",'Data Entry'!H1302)</f>
        <v/>
      </c>
      <c r="I1302" s="10">
        <f>IF('Data Entry'!A1302="","",'Data Entry'!I1302)</f>
        <v/>
      </c>
      <c r="J1302" s="12">
        <f>IF('Data Entry'!A1302="","",IF('Data Entry'!D1302&lt;&gt;"",'Data Entry'!D1302,'Data Entry'!E1302))</f>
        <v/>
      </c>
      <c r="K1302" s="10">
        <f>IF('Data Entry'!A1302="","",IFERROR(SUMIFS($H$5:$H$2001,$J$5:$J$2001,$J1302,$B$5:$B$2001,$B1302,$A$5:$A$2001,(MAXIFS($A$5:$A$2001,$J$5:$J$2001,$J1302,$B$5:$B$2001,$B1302,$A$5:$A$2001,"&lt;"&amp;$A1302))),""))</f>
        <v/>
      </c>
      <c r="L1302" s="14">
        <f>IF(OR('Data Entry'!A1302="",$K1302=""),"",$H1302-$K1302)</f>
        <v/>
      </c>
      <c r="M1302" s="15">
        <f>IF(OR('Data Entry'!A1302="",$K1302="",$K1302=0),"",$L1302/$K1302)</f>
        <v/>
      </c>
      <c r="N1302" s="12">
        <f>IF('Data Entry'!A1302="","",IF($L1302="","New item",IF($L1302&gt;0,"UP",IF($L1302&lt;0,"down","same"))))</f>
        <v/>
      </c>
    </row>
    <row r="1303">
      <c r="A1303" s="11">
        <f>IF('Data Entry'!A1303="","",'Data Entry'!A1303)</f>
        <v/>
      </c>
      <c r="B1303" s="12">
        <f>IF('Data Entry'!A1303="","",'Data Entry'!B1303)</f>
        <v/>
      </c>
      <c r="C1303" s="12">
        <f>IF('Data Entry'!A1303="","",'Data Entry'!C1303)</f>
        <v/>
      </c>
      <c r="D1303" s="12">
        <f>IF('Data Entry'!A1303="","",'Data Entry'!D1303)</f>
        <v/>
      </c>
      <c r="E1303" s="12">
        <f>IF('Data Entry'!A1303="","",'Data Entry'!E1303)</f>
        <v/>
      </c>
      <c r="F1303" s="12">
        <f>IF('Data Entry'!A1303="","",'Data Entry'!F1303)</f>
        <v/>
      </c>
      <c r="G1303" s="13">
        <f>IF('Data Entry'!A1303="","",'Data Entry'!G1303)</f>
        <v/>
      </c>
      <c r="H1303" s="10">
        <f>IF('Data Entry'!A1303="","",'Data Entry'!H1303)</f>
        <v/>
      </c>
      <c r="I1303" s="10">
        <f>IF('Data Entry'!A1303="","",'Data Entry'!I1303)</f>
        <v/>
      </c>
      <c r="J1303" s="12">
        <f>IF('Data Entry'!A1303="","",IF('Data Entry'!D1303&lt;&gt;"",'Data Entry'!D1303,'Data Entry'!E1303))</f>
        <v/>
      </c>
      <c r="K1303" s="10">
        <f>IF('Data Entry'!A1303="","",IFERROR(SUMIFS($H$5:$H$2001,$J$5:$J$2001,$J1303,$B$5:$B$2001,$B1303,$A$5:$A$2001,(MAXIFS($A$5:$A$2001,$J$5:$J$2001,$J1303,$B$5:$B$2001,$B1303,$A$5:$A$2001,"&lt;"&amp;$A1303))),""))</f>
        <v/>
      </c>
      <c r="L1303" s="14">
        <f>IF(OR('Data Entry'!A1303="",$K1303=""),"",$H1303-$K1303)</f>
        <v/>
      </c>
      <c r="M1303" s="15">
        <f>IF(OR('Data Entry'!A1303="",$K1303="",$K1303=0),"",$L1303/$K1303)</f>
        <v/>
      </c>
      <c r="N1303" s="12">
        <f>IF('Data Entry'!A1303="","",IF($L1303="","New item",IF($L1303&gt;0,"UP",IF($L1303&lt;0,"down","same"))))</f>
        <v/>
      </c>
    </row>
    <row r="1304">
      <c r="A1304" s="11">
        <f>IF('Data Entry'!A1304="","",'Data Entry'!A1304)</f>
        <v/>
      </c>
      <c r="B1304" s="12">
        <f>IF('Data Entry'!A1304="","",'Data Entry'!B1304)</f>
        <v/>
      </c>
      <c r="C1304" s="12">
        <f>IF('Data Entry'!A1304="","",'Data Entry'!C1304)</f>
        <v/>
      </c>
      <c r="D1304" s="12">
        <f>IF('Data Entry'!A1304="","",'Data Entry'!D1304)</f>
        <v/>
      </c>
      <c r="E1304" s="12">
        <f>IF('Data Entry'!A1304="","",'Data Entry'!E1304)</f>
        <v/>
      </c>
      <c r="F1304" s="12">
        <f>IF('Data Entry'!A1304="","",'Data Entry'!F1304)</f>
        <v/>
      </c>
      <c r="G1304" s="13">
        <f>IF('Data Entry'!A1304="","",'Data Entry'!G1304)</f>
        <v/>
      </c>
      <c r="H1304" s="10">
        <f>IF('Data Entry'!A1304="","",'Data Entry'!H1304)</f>
        <v/>
      </c>
      <c r="I1304" s="10">
        <f>IF('Data Entry'!A1304="","",'Data Entry'!I1304)</f>
        <v/>
      </c>
      <c r="J1304" s="12">
        <f>IF('Data Entry'!A1304="","",IF('Data Entry'!D1304&lt;&gt;"",'Data Entry'!D1304,'Data Entry'!E1304))</f>
        <v/>
      </c>
      <c r="K1304" s="10">
        <f>IF('Data Entry'!A1304="","",IFERROR(SUMIFS($H$5:$H$2001,$J$5:$J$2001,$J1304,$B$5:$B$2001,$B1304,$A$5:$A$2001,(MAXIFS($A$5:$A$2001,$J$5:$J$2001,$J1304,$B$5:$B$2001,$B1304,$A$5:$A$2001,"&lt;"&amp;$A1304))),""))</f>
        <v/>
      </c>
      <c r="L1304" s="14">
        <f>IF(OR('Data Entry'!A1304="",$K1304=""),"",$H1304-$K1304)</f>
        <v/>
      </c>
      <c r="M1304" s="15">
        <f>IF(OR('Data Entry'!A1304="",$K1304="",$K1304=0),"",$L1304/$K1304)</f>
        <v/>
      </c>
      <c r="N1304" s="12">
        <f>IF('Data Entry'!A1304="","",IF($L1304="","New item",IF($L1304&gt;0,"UP",IF($L1304&lt;0,"down","same"))))</f>
        <v/>
      </c>
    </row>
    <row r="1305">
      <c r="A1305" s="11">
        <f>IF('Data Entry'!A1305="","",'Data Entry'!A1305)</f>
        <v/>
      </c>
      <c r="B1305" s="12">
        <f>IF('Data Entry'!A1305="","",'Data Entry'!B1305)</f>
        <v/>
      </c>
      <c r="C1305" s="12">
        <f>IF('Data Entry'!A1305="","",'Data Entry'!C1305)</f>
        <v/>
      </c>
      <c r="D1305" s="12">
        <f>IF('Data Entry'!A1305="","",'Data Entry'!D1305)</f>
        <v/>
      </c>
      <c r="E1305" s="12">
        <f>IF('Data Entry'!A1305="","",'Data Entry'!E1305)</f>
        <v/>
      </c>
      <c r="F1305" s="12">
        <f>IF('Data Entry'!A1305="","",'Data Entry'!F1305)</f>
        <v/>
      </c>
      <c r="G1305" s="13">
        <f>IF('Data Entry'!A1305="","",'Data Entry'!G1305)</f>
        <v/>
      </c>
      <c r="H1305" s="10">
        <f>IF('Data Entry'!A1305="","",'Data Entry'!H1305)</f>
        <v/>
      </c>
      <c r="I1305" s="10">
        <f>IF('Data Entry'!A1305="","",'Data Entry'!I1305)</f>
        <v/>
      </c>
      <c r="J1305" s="12">
        <f>IF('Data Entry'!A1305="","",IF('Data Entry'!D1305&lt;&gt;"",'Data Entry'!D1305,'Data Entry'!E1305))</f>
        <v/>
      </c>
      <c r="K1305" s="10">
        <f>IF('Data Entry'!A1305="","",IFERROR(SUMIFS($H$5:$H$2001,$J$5:$J$2001,$J1305,$B$5:$B$2001,$B1305,$A$5:$A$2001,(MAXIFS($A$5:$A$2001,$J$5:$J$2001,$J1305,$B$5:$B$2001,$B1305,$A$5:$A$2001,"&lt;"&amp;$A1305))),""))</f>
        <v/>
      </c>
      <c r="L1305" s="14">
        <f>IF(OR('Data Entry'!A1305="",$K1305=""),"",$H1305-$K1305)</f>
        <v/>
      </c>
      <c r="M1305" s="15">
        <f>IF(OR('Data Entry'!A1305="",$K1305="",$K1305=0),"",$L1305/$K1305)</f>
        <v/>
      </c>
      <c r="N1305" s="12">
        <f>IF('Data Entry'!A1305="","",IF($L1305="","New item",IF($L1305&gt;0,"UP",IF($L1305&lt;0,"down","same"))))</f>
        <v/>
      </c>
    </row>
    <row r="1306">
      <c r="A1306" s="11">
        <f>IF('Data Entry'!A1306="","",'Data Entry'!A1306)</f>
        <v/>
      </c>
      <c r="B1306" s="12">
        <f>IF('Data Entry'!A1306="","",'Data Entry'!B1306)</f>
        <v/>
      </c>
      <c r="C1306" s="12">
        <f>IF('Data Entry'!A1306="","",'Data Entry'!C1306)</f>
        <v/>
      </c>
      <c r="D1306" s="12">
        <f>IF('Data Entry'!A1306="","",'Data Entry'!D1306)</f>
        <v/>
      </c>
      <c r="E1306" s="12">
        <f>IF('Data Entry'!A1306="","",'Data Entry'!E1306)</f>
        <v/>
      </c>
      <c r="F1306" s="12">
        <f>IF('Data Entry'!A1306="","",'Data Entry'!F1306)</f>
        <v/>
      </c>
      <c r="G1306" s="13">
        <f>IF('Data Entry'!A1306="","",'Data Entry'!G1306)</f>
        <v/>
      </c>
      <c r="H1306" s="10">
        <f>IF('Data Entry'!A1306="","",'Data Entry'!H1306)</f>
        <v/>
      </c>
      <c r="I1306" s="10">
        <f>IF('Data Entry'!A1306="","",'Data Entry'!I1306)</f>
        <v/>
      </c>
      <c r="J1306" s="12">
        <f>IF('Data Entry'!A1306="","",IF('Data Entry'!D1306&lt;&gt;"",'Data Entry'!D1306,'Data Entry'!E1306))</f>
        <v/>
      </c>
      <c r="K1306" s="10">
        <f>IF('Data Entry'!A1306="","",IFERROR(SUMIFS($H$5:$H$2001,$J$5:$J$2001,$J1306,$B$5:$B$2001,$B1306,$A$5:$A$2001,(MAXIFS($A$5:$A$2001,$J$5:$J$2001,$J1306,$B$5:$B$2001,$B1306,$A$5:$A$2001,"&lt;"&amp;$A1306))),""))</f>
        <v/>
      </c>
      <c r="L1306" s="14">
        <f>IF(OR('Data Entry'!A1306="",$K1306=""),"",$H1306-$K1306)</f>
        <v/>
      </c>
      <c r="M1306" s="15">
        <f>IF(OR('Data Entry'!A1306="",$K1306="",$K1306=0),"",$L1306/$K1306)</f>
        <v/>
      </c>
      <c r="N1306" s="12">
        <f>IF('Data Entry'!A1306="","",IF($L1306="","New item",IF($L1306&gt;0,"UP",IF($L1306&lt;0,"down","same"))))</f>
        <v/>
      </c>
    </row>
    <row r="1307">
      <c r="A1307" s="11">
        <f>IF('Data Entry'!A1307="","",'Data Entry'!A1307)</f>
        <v/>
      </c>
      <c r="B1307" s="12">
        <f>IF('Data Entry'!A1307="","",'Data Entry'!B1307)</f>
        <v/>
      </c>
      <c r="C1307" s="12">
        <f>IF('Data Entry'!A1307="","",'Data Entry'!C1307)</f>
        <v/>
      </c>
      <c r="D1307" s="12">
        <f>IF('Data Entry'!A1307="","",'Data Entry'!D1307)</f>
        <v/>
      </c>
      <c r="E1307" s="12">
        <f>IF('Data Entry'!A1307="","",'Data Entry'!E1307)</f>
        <v/>
      </c>
      <c r="F1307" s="12">
        <f>IF('Data Entry'!A1307="","",'Data Entry'!F1307)</f>
        <v/>
      </c>
      <c r="G1307" s="13">
        <f>IF('Data Entry'!A1307="","",'Data Entry'!G1307)</f>
        <v/>
      </c>
      <c r="H1307" s="10">
        <f>IF('Data Entry'!A1307="","",'Data Entry'!H1307)</f>
        <v/>
      </c>
      <c r="I1307" s="10">
        <f>IF('Data Entry'!A1307="","",'Data Entry'!I1307)</f>
        <v/>
      </c>
      <c r="J1307" s="12">
        <f>IF('Data Entry'!A1307="","",IF('Data Entry'!D1307&lt;&gt;"",'Data Entry'!D1307,'Data Entry'!E1307))</f>
        <v/>
      </c>
      <c r="K1307" s="10">
        <f>IF('Data Entry'!A1307="","",IFERROR(SUMIFS($H$5:$H$2001,$J$5:$J$2001,$J1307,$B$5:$B$2001,$B1307,$A$5:$A$2001,(MAXIFS($A$5:$A$2001,$J$5:$J$2001,$J1307,$B$5:$B$2001,$B1307,$A$5:$A$2001,"&lt;"&amp;$A1307))),""))</f>
        <v/>
      </c>
      <c r="L1307" s="14">
        <f>IF(OR('Data Entry'!A1307="",$K1307=""),"",$H1307-$K1307)</f>
        <v/>
      </c>
      <c r="M1307" s="15">
        <f>IF(OR('Data Entry'!A1307="",$K1307="",$K1307=0),"",$L1307/$K1307)</f>
        <v/>
      </c>
      <c r="N1307" s="12">
        <f>IF('Data Entry'!A1307="","",IF($L1307="","New item",IF($L1307&gt;0,"UP",IF($L1307&lt;0,"down","same"))))</f>
        <v/>
      </c>
    </row>
    <row r="1308">
      <c r="A1308" s="11">
        <f>IF('Data Entry'!A1308="","",'Data Entry'!A1308)</f>
        <v/>
      </c>
      <c r="B1308" s="12">
        <f>IF('Data Entry'!A1308="","",'Data Entry'!B1308)</f>
        <v/>
      </c>
      <c r="C1308" s="12">
        <f>IF('Data Entry'!A1308="","",'Data Entry'!C1308)</f>
        <v/>
      </c>
      <c r="D1308" s="12">
        <f>IF('Data Entry'!A1308="","",'Data Entry'!D1308)</f>
        <v/>
      </c>
      <c r="E1308" s="12">
        <f>IF('Data Entry'!A1308="","",'Data Entry'!E1308)</f>
        <v/>
      </c>
      <c r="F1308" s="12">
        <f>IF('Data Entry'!A1308="","",'Data Entry'!F1308)</f>
        <v/>
      </c>
      <c r="G1308" s="13">
        <f>IF('Data Entry'!A1308="","",'Data Entry'!G1308)</f>
        <v/>
      </c>
      <c r="H1308" s="10">
        <f>IF('Data Entry'!A1308="","",'Data Entry'!H1308)</f>
        <v/>
      </c>
      <c r="I1308" s="10">
        <f>IF('Data Entry'!A1308="","",'Data Entry'!I1308)</f>
        <v/>
      </c>
      <c r="J1308" s="12">
        <f>IF('Data Entry'!A1308="","",IF('Data Entry'!D1308&lt;&gt;"",'Data Entry'!D1308,'Data Entry'!E1308))</f>
        <v/>
      </c>
      <c r="K1308" s="10">
        <f>IF('Data Entry'!A1308="","",IFERROR(SUMIFS($H$5:$H$2001,$J$5:$J$2001,$J1308,$B$5:$B$2001,$B1308,$A$5:$A$2001,(MAXIFS($A$5:$A$2001,$J$5:$J$2001,$J1308,$B$5:$B$2001,$B1308,$A$5:$A$2001,"&lt;"&amp;$A1308))),""))</f>
        <v/>
      </c>
      <c r="L1308" s="14">
        <f>IF(OR('Data Entry'!A1308="",$K1308=""),"",$H1308-$K1308)</f>
        <v/>
      </c>
      <c r="M1308" s="15">
        <f>IF(OR('Data Entry'!A1308="",$K1308="",$K1308=0),"",$L1308/$K1308)</f>
        <v/>
      </c>
      <c r="N1308" s="12">
        <f>IF('Data Entry'!A1308="","",IF($L1308="","New item",IF($L1308&gt;0,"UP",IF($L1308&lt;0,"down","same"))))</f>
        <v/>
      </c>
    </row>
    <row r="1309">
      <c r="A1309" s="11">
        <f>IF('Data Entry'!A1309="","",'Data Entry'!A1309)</f>
        <v/>
      </c>
      <c r="B1309" s="12">
        <f>IF('Data Entry'!A1309="","",'Data Entry'!B1309)</f>
        <v/>
      </c>
      <c r="C1309" s="12">
        <f>IF('Data Entry'!A1309="","",'Data Entry'!C1309)</f>
        <v/>
      </c>
      <c r="D1309" s="12">
        <f>IF('Data Entry'!A1309="","",'Data Entry'!D1309)</f>
        <v/>
      </c>
      <c r="E1309" s="12">
        <f>IF('Data Entry'!A1309="","",'Data Entry'!E1309)</f>
        <v/>
      </c>
      <c r="F1309" s="12">
        <f>IF('Data Entry'!A1309="","",'Data Entry'!F1309)</f>
        <v/>
      </c>
      <c r="G1309" s="13">
        <f>IF('Data Entry'!A1309="","",'Data Entry'!G1309)</f>
        <v/>
      </c>
      <c r="H1309" s="10">
        <f>IF('Data Entry'!A1309="","",'Data Entry'!H1309)</f>
        <v/>
      </c>
      <c r="I1309" s="10">
        <f>IF('Data Entry'!A1309="","",'Data Entry'!I1309)</f>
        <v/>
      </c>
      <c r="J1309" s="12">
        <f>IF('Data Entry'!A1309="","",IF('Data Entry'!D1309&lt;&gt;"",'Data Entry'!D1309,'Data Entry'!E1309))</f>
        <v/>
      </c>
      <c r="K1309" s="10">
        <f>IF('Data Entry'!A1309="","",IFERROR(SUMIFS($H$5:$H$2001,$J$5:$J$2001,$J1309,$B$5:$B$2001,$B1309,$A$5:$A$2001,(MAXIFS($A$5:$A$2001,$J$5:$J$2001,$J1309,$B$5:$B$2001,$B1309,$A$5:$A$2001,"&lt;"&amp;$A1309))),""))</f>
        <v/>
      </c>
      <c r="L1309" s="14">
        <f>IF(OR('Data Entry'!A1309="",$K1309=""),"",$H1309-$K1309)</f>
        <v/>
      </c>
      <c r="M1309" s="15">
        <f>IF(OR('Data Entry'!A1309="",$K1309="",$K1309=0),"",$L1309/$K1309)</f>
        <v/>
      </c>
      <c r="N1309" s="12">
        <f>IF('Data Entry'!A1309="","",IF($L1309="","New item",IF($L1309&gt;0,"UP",IF($L1309&lt;0,"down","same"))))</f>
        <v/>
      </c>
    </row>
    <row r="1310">
      <c r="A1310" s="11">
        <f>IF('Data Entry'!A1310="","",'Data Entry'!A1310)</f>
        <v/>
      </c>
      <c r="B1310" s="12">
        <f>IF('Data Entry'!A1310="","",'Data Entry'!B1310)</f>
        <v/>
      </c>
      <c r="C1310" s="12">
        <f>IF('Data Entry'!A1310="","",'Data Entry'!C1310)</f>
        <v/>
      </c>
      <c r="D1310" s="12">
        <f>IF('Data Entry'!A1310="","",'Data Entry'!D1310)</f>
        <v/>
      </c>
      <c r="E1310" s="12">
        <f>IF('Data Entry'!A1310="","",'Data Entry'!E1310)</f>
        <v/>
      </c>
      <c r="F1310" s="12">
        <f>IF('Data Entry'!A1310="","",'Data Entry'!F1310)</f>
        <v/>
      </c>
      <c r="G1310" s="13">
        <f>IF('Data Entry'!A1310="","",'Data Entry'!G1310)</f>
        <v/>
      </c>
      <c r="H1310" s="10">
        <f>IF('Data Entry'!A1310="","",'Data Entry'!H1310)</f>
        <v/>
      </c>
      <c r="I1310" s="10">
        <f>IF('Data Entry'!A1310="","",'Data Entry'!I1310)</f>
        <v/>
      </c>
      <c r="J1310" s="12">
        <f>IF('Data Entry'!A1310="","",IF('Data Entry'!D1310&lt;&gt;"",'Data Entry'!D1310,'Data Entry'!E1310))</f>
        <v/>
      </c>
      <c r="K1310" s="10">
        <f>IF('Data Entry'!A1310="","",IFERROR(SUMIFS($H$5:$H$2001,$J$5:$J$2001,$J1310,$B$5:$B$2001,$B1310,$A$5:$A$2001,(MAXIFS($A$5:$A$2001,$J$5:$J$2001,$J1310,$B$5:$B$2001,$B1310,$A$5:$A$2001,"&lt;"&amp;$A1310))),""))</f>
        <v/>
      </c>
      <c r="L1310" s="14">
        <f>IF(OR('Data Entry'!A1310="",$K1310=""),"",$H1310-$K1310)</f>
        <v/>
      </c>
      <c r="M1310" s="15">
        <f>IF(OR('Data Entry'!A1310="",$K1310="",$K1310=0),"",$L1310/$K1310)</f>
        <v/>
      </c>
      <c r="N1310" s="12">
        <f>IF('Data Entry'!A1310="","",IF($L1310="","New item",IF($L1310&gt;0,"UP",IF($L1310&lt;0,"down","same"))))</f>
        <v/>
      </c>
    </row>
    <row r="1311">
      <c r="A1311" s="11">
        <f>IF('Data Entry'!A1311="","",'Data Entry'!A1311)</f>
        <v/>
      </c>
      <c r="B1311" s="12">
        <f>IF('Data Entry'!A1311="","",'Data Entry'!B1311)</f>
        <v/>
      </c>
      <c r="C1311" s="12">
        <f>IF('Data Entry'!A1311="","",'Data Entry'!C1311)</f>
        <v/>
      </c>
      <c r="D1311" s="12">
        <f>IF('Data Entry'!A1311="","",'Data Entry'!D1311)</f>
        <v/>
      </c>
      <c r="E1311" s="12">
        <f>IF('Data Entry'!A1311="","",'Data Entry'!E1311)</f>
        <v/>
      </c>
      <c r="F1311" s="12">
        <f>IF('Data Entry'!A1311="","",'Data Entry'!F1311)</f>
        <v/>
      </c>
      <c r="G1311" s="13">
        <f>IF('Data Entry'!A1311="","",'Data Entry'!G1311)</f>
        <v/>
      </c>
      <c r="H1311" s="10">
        <f>IF('Data Entry'!A1311="","",'Data Entry'!H1311)</f>
        <v/>
      </c>
      <c r="I1311" s="10">
        <f>IF('Data Entry'!A1311="","",'Data Entry'!I1311)</f>
        <v/>
      </c>
      <c r="J1311" s="12">
        <f>IF('Data Entry'!A1311="","",IF('Data Entry'!D1311&lt;&gt;"",'Data Entry'!D1311,'Data Entry'!E1311))</f>
        <v/>
      </c>
      <c r="K1311" s="10">
        <f>IF('Data Entry'!A1311="","",IFERROR(SUMIFS($H$5:$H$2001,$J$5:$J$2001,$J1311,$B$5:$B$2001,$B1311,$A$5:$A$2001,(MAXIFS($A$5:$A$2001,$J$5:$J$2001,$J1311,$B$5:$B$2001,$B1311,$A$5:$A$2001,"&lt;"&amp;$A1311))),""))</f>
        <v/>
      </c>
      <c r="L1311" s="14">
        <f>IF(OR('Data Entry'!A1311="",$K1311=""),"",$H1311-$K1311)</f>
        <v/>
      </c>
      <c r="M1311" s="15">
        <f>IF(OR('Data Entry'!A1311="",$K1311="",$K1311=0),"",$L1311/$K1311)</f>
        <v/>
      </c>
      <c r="N1311" s="12">
        <f>IF('Data Entry'!A1311="","",IF($L1311="","New item",IF($L1311&gt;0,"UP",IF($L1311&lt;0,"down","same"))))</f>
        <v/>
      </c>
    </row>
    <row r="1312">
      <c r="A1312" s="11">
        <f>IF('Data Entry'!A1312="","",'Data Entry'!A1312)</f>
        <v/>
      </c>
      <c r="B1312" s="12">
        <f>IF('Data Entry'!A1312="","",'Data Entry'!B1312)</f>
        <v/>
      </c>
      <c r="C1312" s="12">
        <f>IF('Data Entry'!A1312="","",'Data Entry'!C1312)</f>
        <v/>
      </c>
      <c r="D1312" s="12">
        <f>IF('Data Entry'!A1312="","",'Data Entry'!D1312)</f>
        <v/>
      </c>
      <c r="E1312" s="12">
        <f>IF('Data Entry'!A1312="","",'Data Entry'!E1312)</f>
        <v/>
      </c>
      <c r="F1312" s="12">
        <f>IF('Data Entry'!A1312="","",'Data Entry'!F1312)</f>
        <v/>
      </c>
      <c r="G1312" s="13">
        <f>IF('Data Entry'!A1312="","",'Data Entry'!G1312)</f>
        <v/>
      </c>
      <c r="H1312" s="10">
        <f>IF('Data Entry'!A1312="","",'Data Entry'!H1312)</f>
        <v/>
      </c>
      <c r="I1312" s="10">
        <f>IF('Data Entry'!A1312="","",'Data Entry'!I1312)</f>
        <v/>
      </c>
      <c r="J1312" s="12">
        <f>IF('Data Entry'!A1312="","",IF('Data Entry'!D1312&lt;&gt;"",'Data Entry'!D1312,'Data Entry'!E1312))</f>
        <v/>
      </c>
      <c r="K1312" s="10">
        <f>IF('Data Entry'!A1312="","",IFERROR(SUMIFS($H$5:$H$2001,$J$5:$J$2001,$J1312,$B$5:$B$2001,$B1312,$A$5:$A$2001,(MAXIFS($A$5:$A$2001,$J$5:$J$2001,$J1312,$B$5:$B$2001,$B1312,$A$5:$A$2001,"&lt;"&amp;$A1312))),""))</f>
        <v/>
      </c>
      <c r="L1312" s="14">
        <f>IF(OR('Data Entry'!A1312="",$K1312=""),"",$H1312-$K1312)</f>
        <v/>
      </c>
      <c r="M1312" s="15">
        <f>IF(OR('Data Entry'!A1312="",$K1312="",$K1312=0),"",$L1312/$K1312)</f>
        <v/>
      </c>
      <c r="N1312" s="12">
        <f>IF('Data Entry'!A1312="","",IF($L1312="","New item",IF($L1312&gt;0,"UP",IF($L1312&lt;0,"down","same"))))</f>
        <v/>
      </c>
    </row>
    <row r="1313">
      <c r="A1313" s="11">
        <f>IF('Data Entry'!A1313="","",'Data Entry'!A1313)</f>
        <v/>
      </c>
      <c r="B1313" s="12">
        <f>IF('Data Entry'!A1313="","",'Data Entry'!B1313)</f>
        <v/>
      </c>
      <c r="C1313" s="12">
        <f>IF('Data Entry'!A1313="","",'Data Entry'!C1313)</f>
        <v/>
      </c>
      <c r="D1313" s="12">
        <f>IF('Data Entry'!A1313="","",'Data Entry'!D1313)</f>
        <v/>
      </c>
      <c r="E1313" s="12">
        <f>IF('Data Entry'!A1313="","",'Data Entry'!E1313)</f>
        <v/>
      </c>
      <c r="F1313" s="12">
        <f>IF('Data Entry'!A1313="","",'Data Entry'!F1313)</f>
        <v/>
      </c>
      <c r="G1313" s="13">
        <f>IF('Data Entry'!A1313="","",'Data Entry'!G1313)</f>
        <v/>
      </c>
      <c r="H1313" s="10">
        <f>IF('Data Entry'!A1313="","",'Data Entry'!H1313)</f>
        <v/>
      </c>
      <c r="I1313" s="10">
        <f>IF('Data Entry'!A1313="","",'Data Entry'!I1313)</f>
        <v/>
      </c>
      <c r="J1313" s="12">
        <f>IF('Data Entry'!A1313="","",IF('Data Entry'!D1313&lt;&gt;"",'Data Entry'!D1313,'Data Entry'!E1313))</f>
        <v/>
      </c>
      <c r="K1313" s="10">
        <f>IF('Data Entry'!A1313="","",IFERROR(SUMIFS($H$5:$H$2001,$J$5:$J$2001,$J1313,$B$5:$B$2001,$B1313,$A$5:$A$2001,(MAXIFS($A$5:$A$2001,$J$5:$J$2001,$J1313,$B$5:$B$2001,$B1313,$A$5:$A$2001,"&lt;"&amp;$A1313))),""))</f>
        <v/>
      </c>
      <c r="L1313" s="14">
        <f>IF(OR('Data Entry'!A1313="",$K1313=""),"",$H1313-$K1313)</f>
        <v/>
      </c>
      <c r="M1313" s="15">
        <f>IF(OR('Data Entry'!A1313="",$K1313="",$K1313=0),"",$L1313/$K1313)</f>
        <v/>
      </c>
      <c r="N1313" s="12">
        <f>IF('Data Entry'!A1313="","",IF($L1313="","New item",IF($L1313&gt;0,"UP",IF($L1313&lt;0,"down","same"))))</f>
        <v/>
      </c>
    </row>
    <row r="1314">
      <c r="A1314" s="11">
        <f>IF('Data Entry'!A1314="","",'Data Entry'!A1314)</f>
        <v/>
      </c>
      <c r="B1314" s="12">
        <f>IF('Data Entry'!A1314="","",'Data Entry'!B1314)</f>
        <v/>
      </c>
      <c r="C1314" s="12">
        <f>IF('Data Entry'!A1314="","",'Data Entry'!C1314)</f>
        <v/>
      </c>
      <c r="D1314" s="12">
        <f>IF('Data Entry'!A1314="","",'Data Entry'!D1314)</f>
        <v/>
      </c>
      <c r="E1314" s="12">
        <f>IF('Data Entry'!A1314="","",'Data Entry'!E1314)</f>
        <v/>
      </c>
      <c r="F1314" s="12">
        <f>IF('Data Entry'!A1314="","",'Data Entry'!F1314)</f>
        <v/>
      </c>
      <c r="G1314" s="13">
        <f>IF('Data Entry'!A1314="","",'Data Entry'!G1314)</f>
        <v/>
      </c>
      <c r="H1314" s="10">
        <f>IF('Data Entry'!A1314="","",'Data Entry'!H1314)</f>
        <v/>
      </c>
      <c r="I1314" s="10">
        <f>IF('Data Entry'!A1314="","",'Data Entry'!I1314)</f>
        <v/>
      </c>
      <c r="J1314" s="12">
        <f>IF('Data Entry'!A1314="","",IF('Data Entry'!D1314&lt;&gt;"",'Data Entry'!D1314,'Data Entry'!E1314))</f>
        <v/>
      </c>
      <c r="K1314" s="10">
        <f>IF('Data Entry'!A1314="","",IFERROR(SUMIFS($H$5:$H$2001,$J$5:$J$2001,$J1314,$B$5:$B$2001,$B1314,$A$5:$A$2001,(MAXIFS($A$5:$A$2001,$J$5:$J$2001,$J1314,$B$5:$B$2001,$B1314,$A$5:$A$2001,"&lt;"&amp;$A1314))),""))</f>
        <v/>
      </c>
      <c r="L1314" s="14">
        <f>IF(OR('Data Entry'!A1314="",$K1314=""),"",$H1314-$K1314)</f>
        <v/>
      </c>
      <c r="M1314" s="15">
        <f>IF(OR('Data Entry'!A1314="",$K1314="",$K1314=0),"",$L1314/$K1314)</f>
        <v/>
      </c>
      <c r="N1314" s="12">
        <f>IF('Data Entry'!A1314="","",IF($L1314="","New item",IF($L1314&gt;0,"UP",IF($L1314&lt;0,"down","same"))))</f>
        <v/>
      </c>
    </row>
    <row r="1315">
      <c r="A1315" s="11">
        <f>IF('Data Entry'!A1315="","",'Data Entry'!A1315)</f>
        <v/>
      </c>
      <c r="B1315" s="12">
        <f>IF('Data Entry'!A1315="","",'Data Entry'!B1315)</f>
        <v/>
      </c>
      <c r="C1315" s="12">
        <f>IF('Data Entry'!A1315="","",'Data Entry'!C1315)</f>
        <v/>
      </c>
      <c r="D1315" s="12">
        <f>IF('Data Entry'!A1315="","",'Data Entry'!D1315)</f>
        <v/>
      </c>
      <c r="E1315" s="12">
        <f>IF('Data Entry'!A1315="","",'Data Entry'!E1315)</f>
        <v/>
      </c>
      <c r="F1315" s="12">
        <f>IF('Data Entry'!A1315="","",'Data Entry'!F1315)</f>
        <v/>
      </c>
      <c r="G1315" s="13">
        <f>IF('Data Entry'!A1315="","",'Data Entry'!G1315)</f>
        <v/>
      </c>
      <c r="H1315" s="10">
        <f>IF('Data Entry'!A1315="","",'Data Entry'!H1315)</f>
        <v/>
      </c>
      <c r="I1315" s="10">
        <f>IF('Data Entry'!A1315="","",'Data Entry'!I1315)</f>
        <v/>
      </c>
      <c r="J1315" s="12">
        <f>IF('Data Entry'!A1315="","",IF('Data Entry'!D1315&lt;&gt;"",'Data Entry'!D1315,'Data Entry'!E1315))</f>
        <v/>
      </c>
      <c r="K1315" s="10">
        <f>IF('Data Entry'!A1315="","",IFERROR(SUMIFS($H$5:$H$2001,$J$5:$J$2001,$J1315,$B$5:$B$2001,$B1315,$A$5:$A$2001,(MAXIFS($A$5:$A$2001,$J$5:$J$2001,$J1315,$B$5:$B$2001,$B1315,$A$5:$A$2001,"&lt;"&amp;$A1315))),""))</f>
        <v/>
      </c>
      <c r="L1315" s="14">
        <f>IF(OR('Data Entry'!A1315="",$K1315=""),"",$H1315-$K1315)</f>
        <v/>
      </c>
      <c r="M1315" s="15">
        <f>IF(OR('Data Entry'!A1315="",$K1315="",$K1315=0),"",$L1315/$K1315)</f>
        <v/>
      </c>
      <c r="N1315" s="12">
        <f>IF('Data Entry'!A1315="","",IF($L1315="","New item",IF($L1315&gt;0,"UP",IF($L1315&lt;0,"down","same"))))</f>
        <v/>
      </c>
    </row>
    <row r="1316">
      <c r="A1316" s="11">
        <f>IF('Data Entry'!A1316="","",'Data Entry'!A1316)</f>
        <v/>
      </c>
      <c r="B1316" s="12">
        <f>IF('Data Entry'!A1316="","",'Data Entry'!B1316)</f>
        <v/>
      </c>
      <c r="C1316" s="12">
        <f>IF('Data Entry'!A1316="","",'Data Entry'!C1316)</f>
        <v/>
      </c>
      <c r="D1316" s="12">
        <f>IF('Data Entry'!A1316="","",'Data Entry'!D1316)</f>
        <v/>
      </c>
      <c r="E1316" s="12">
        <f>IF('Data Entry'!A1316="","",'Data Entry'!E1316)</f>
        <v/>
      </c>
      <c r="F1316" s="12">
        <f>IF('Data Entry'!A1316="","",'Data Entry'!F1316)</f>
        <v/>
      </c>
      <c r="G1316" s="13">
        <f>IF('Data Entry'!A1316="","",'Data Entry'!G1316)</f>
        <v/>
      </c>
      <c r="H1316" s="10">
        <f>IF('Data Entry'!A1316="","",'Data Entry'!H1316)</f>
        <v/>
      </c>
      <c r="I1316" s="10">
        <f>IF('Data Entry'!A1316="","",'Data Entry'!I1316)</f>
        <v/>
      </c>
      <c r="J1316" s="12">
        <f>IF('Data Entry'!A1316="","",IF('Data Entry'!D1316&lt;&gt;"",'Data Entry'!D1316,'Data Entry'!E1316))</f>
        <v/>
      </c>
      <c r="K1316" s="10">
        <f>IF('Data Entry'!A1316="","",IFERROR(SUMIFS($H$5:$H$2001,$J$5:$J$2001,$J1316,$B$5:$B$2001,$B1316,$A$5:$A$2001,(MAXIFS($A$5:$A$2001,$J$5:$J$2001,$J1316,$B$5:$B$2001,$B1316,$A$5:$A$2001,"&lt;"&amp;$A1316))),""))</f>
        <v/>
      </c>
      <c r="L1316" s="14">
        <f>IF(OR('Data Entry'!A1316="",$K1316=""),"",$H1316-$K1316)</f>
        <v/>
      </c>
      <c r="M1316" s="15">
        <f>IF(OR('Data Entry'!A1316="",$K1316="",$K1316=0),"",$L1316/$K1316)</f>
        <v/>
      </c>
      <c r="N1316" s="12">
        <f>IF('Data Entry'!A1316="","",IF($L1316="","New item",IF($L1316&gt;0,"UP",IF($L1316&lt;0,"down","same"))))</f>
        <v/>
      </c>
    </row>
    <row r="1317">
      <c r="A1317" s="11">
        <f>IF('Data Entry'!A1317="","",'Data Entry'!A1317)</f>
        <v/>
      </c>
      <c r="B1317" s="12">
        <f>IF('Data Entry'!A1317="","",'Data Entry'!B1317)</f>
        <v/>
      </c>
      <c r="C1317" s="12">
        <f>IF('Data Entry'!A1317="","",'Data Entry'!C1317)</f>
        <v/>
      </c>
      <c r="D1317" s="12">
        <f>IF('Data Entry'!A1317="","",'Data Entry'!D1317)</f>
        <v/>
      </c>
      <c r="E1317" s="12">
        <f>IF('Data Entry'!A1317="","",'Data Entry'!E1317)</f>
        <v/>
      </c>
      <c r="F1317" s="12">
        <f>IF('Data Entry'!A1317="","",'Data Entry'!F1317)</f>
        <v/>
      </c>
      <c r="G1317" s="13">
        <f>IF('Data Entry'!A1317="","",'Data Entry'!G1317)</f>
        <v/>
      </c>
      <c r="H1317" s="10">
        <f>IF('Data Entry'!A1317="","",'Data Entry'!H1317)</f>
        <v/>
      </c>
      <c r="I1317" s="10">
        <f>IF('Data Entry'!A1317="","",'Data Entry'!I1317)</f>
        <v/>
      </c>
      <c r="J1317" s="12">
        <f>IF('Data Entry'!A1317="","",IF('Data Entry'!D1317&lt;&gt;"",'Data Entry'!D1317,'Data Entry'!E1317))</f>
        <v/>
      </c>
      <c r="K1317" s="10">
        <f>IF('Data Entry'!A1317="","",IFERROR(SUMIFS($H$5:$H$2001,$J$5:$J$2001,$J1317,$B$5:$B$2001,$B1317,$A$5:$A$2001,(MAXIFS($A$5:$A$2001,$J$5:$J$2001,$J1317,$B$5:$B$2001,$B1317,$A$5:$A$2001,"&lt;"&amp;$A1317))),""))</f>
        <v/>
      </c>
      <c r="L1317" s="14">
        <f>IF(OR('Data Entry'!A1317="",$K1317=""),"",$H1317-$K1317)</f>
        <v/>
      </c>
      <c r="M1317" s="15">
        <f>IF(OR('Data Entry'!A1317="",$K1317="",$K1317=0),"",$L1317/$K1317)</f>
        <v/>
      </c>
      <c r="N1317" s="12">
        <f>IF('Data Entry'!A1317="","",IF($L1317="","New item",IF($L1317&gt;0,"UP",IF($L1317&lt;0,"down","same"))))</f>
        <v/>
      </c>
    </row>
    <row r="1318">
      <c r="A1318" s="11">
        <f>IF('Data Entry'!A1318="","",'Data Entry'!A1318)</f>
        <v/>
      </c>
      <c r="B1318" s="12">
        <f>IF('Data Entry'!A1318="","",'Data Entry'!B1318)</f>
        <v/>
      </c>
      <c r="C1318" s="12">
        <f>IF('Data Entry'!A1318="","",'Data Entry'!C1318)</f>
        <v/>
      </c>
      <c r="D1318" s="12">
        <f>IF('Data Entry'!A1318="","",'Data Entry'!D1318)</f>
        <v/>
      </c>
      <c r="E1318" s="12">
        <f>IF('Data Entry'!A1318="","",'Data Entry'!E1318)</f>
        <v/>
      </c>
      <c r="F1318" s="12">
        <f>IF('Data Entry'!A1318="","",'Data Entry'!F1318)</f>
        <v/>
      </c>
      <c r="G1318" s="13">
        <f>IF('Data Entry'!A1318="","",'Data Entry'!G1318)</f>
        <v/>
      </c>
      <c r="H1318" s="10">
        <f>IF('Data Entry'!A1318="","",'Data Entry'!H1318)</f>
        <v/>
      </c>
      <c r="I1318" s="10">
        <f>IF('Data Entry'!A1318="","",'Data Entry'!I1318)</f>
        <v/>
      </c>
      <c r="J1318" s="12">
        <f>IF('Data Entry'!A1318="","",IF('Data Entry'!D1318&lt;&gt;"",'Data Entry'!D1318,'Data Entry'!E1318))</f>
        <v/>
      </c>
      <c r="K1318" s="10">
        <f>IF('Data Entry'!A1318="","",IFERROR(SUMIFS($H$5:$H$2001,$J$5:$J$2001,$J1318,$B$5:$B$2001,$B1318,$A$5:$A$2001,(MAXIFS($A$5:$A$2001,$J$5:$J$2001,$J1318,$B$5:$B$2001,$B1318,$A$5:$A$2001,"&lt;"&amp;$A1318))),""))</f>
        <v/>
      </c>
      <c r="L1318" s="14">
        <f>IF(OR('Data Entry'!A1318="",$K1318=""),"",$H1318-$K1318)</f>
        <v/>
      </c>
      <c r="M1318" s="15">
        <f>IF(OR('Data Entry'!A1318="",$K1318="",$K1318=0),"",$L1318/$K1318)</f>
        <v/>
      </c>
      <c r="N1318" s="12">
        <f>IF('Data Entry'!A1318="","",IF($L1318="","New item",IF($L1318&gt;0,"UP",IF($L1318&lt;0,"down","same"))))</f>
        <v/>
      </c>
    </row>
    <row r="1319">
      <c r="A1319" s="11">
        <f>IF('Data Entry'!A1319="","",'Data Entry'!A1319)</f>
        <v/>
      </c>
      <c r="B1319" s="12">
        <f>IF('Data Entry'!A1319="","",'Data Entry'!B1319)</f>
        <v/>
      </c>
      <c r="C1319" s="12">
        <f>IF('Data Entry'!A1319="","",'Data Entry'!C1319)</f>
        <v/>
      </c>
      <c r="D1319" s="12">
        <f>IF('Data Entry'!A1319="","",'Data Entry'!D1319)</f>
        <v/>
      </c>
      <c r="E1319" s="12">
        <f>IF('Data Entry'!A1319="","",'Data Entry'!E1319)</f>
        <v/>
      </c>
      <c r="F1319" s="12">
        <f>IF('Data Entry'!A1319="","",'Data Entry'!F1319)</f>
        <v/>
      </c>
      <c r="G1319" s="13">
        <f>IF('Data Entry'!A1319="","",'Data Entry'!G1319)</f>
        <v/>
      </c>
      <c r="H1319" s="10">
        <f>IF('Data Entry'!A1319="","",'Data Entry'!H1319)</f>
        <v/>
      </c>
      <c r="I1319" s="10">
        <f>IF('Data Entry'!A1319="","",'Data Entry'!I1319)</f>
        <v/>
      </c>
      <c r="J1319" s="12">
        <f>IF('Data Entry'!A1319="","",IF('Data Entry'!D1319&lt;&gt;"",'Data Entry'!D1319,'Data Entry'!E1319))</f>
        <v/>
      </c>
      <c r="K1319" s="10">
        <f>IF('Data Entry'!A1319="","",IFERROR(SUMIFS($H$5:$H$2001,$J$5:$J$2001,$J1319,$B$5:$B$2001,$B1319,$A$5:$A$2001,(MAXIFS($A$5:$A$2001,$J$5:$J$2001,$J1319,$B$5:$B$2001,$B1319,$A$5:$A$2001,"&lt;"&amp;$A1319))),""))</f>
        <v/>
      </c>
      <c r="L1319" s="14">
        <f>IF(OR('Data Entry'!A1319="",$K1319=""),"",$H1319-$K1319)</f>
        <v/>
      </c>
      <c r="M1319" s="15">
        <f>IF(OR('Data Entry'!A1319="",$K1319="",$K1319=0),"",$L1319/$K1319)</f>
        <v/>
      </c>
      <c r="N1319" s="12">
        <f>IF('Data Entry'!A1319="","",IF($L1319="","New item",IF($L1319&gt;0,"UP",IF($L1319&lt;0,"down","same"))))</f>
        <v/>
      </c>
    </row>
    <row r="1320">
      <c r="A1320" s="11">
        <f>IF('Data Entry'!A1320="","",'Data Entry'!A1320)</f>
        <v/>
      </c>
      <c r="B1320" s="12">
        <f>IF('Data Entry'!A1320="","",'Data Entry'!B1320)</f>
        <v/>
      </c>
      <c r="C1320" s="12">
        <f>IF('Data Entry'!A1320="","",'Data Entry'!C1320)</f>
        <v/>
      </c>
      <c r="D1320" s="12">
        <f>IF('Data Entry'!A1320="","",'Data Entry'!D1320)</f>
        <v/>
      </c>
      <c r="E1320" s="12">
        <f>IF('Data Entry'!A1320="","",'Data Entry'!E1320)</f>
        <v/>
      </c>
      <c r="F1320" s="12">
        <f>IF('Data Entry'!A1320="","",'Data Entry'!F1320)</f>
        <v/>
      </c>
      <c r="G1320" s="13">
        <f>IF('Data Entry'!A1320="","",'Data Entry'!G1320)</f>
        <v/>
      </c>
      <c r="H1320" s="10">
        <f>IF('Data Entry'!A1320="","",'Data Entry'!H1320)</f>
        <v/>
      </c>
      <c r="I1320" s="10">
        <f>IF('Data Entry'!A1320="","",'Data Entry'!I1320)</f>
        <v/>
      </c>
      <c r="J1320" s="12">
        <f>IF('Data Entry'!A1320="","",IF('Data Entry'!D1320&lt;&gt;"",'Data Entry'!D1320,'Data Entry'!E1320))</f>
        <v/>
      </c>
      <c r="K1320" s="10">
        <f>IF('Data Entry'!A1320="","",IFERROR(SUMIFS($H$5:$H$2001,$J$5:$J$2001,$J1320,$B$5:$B$2001,$B1320,$A$5:$A$2001,(MAXIFS($A$5:$A$2001,$J$5:$J$2001,$J1320,$B$5:$B$2001,$B1320,$A$5:$A$2001,"&lt;"&amp;$A1320))),""))</f>
        <v/>
      </c>
      <c r="L1320" s="14">
        <f>IF(OR('Data Entry'!A1320="",$K1320=""),"",$H1320-$K1320)</f>
        <v/>
      </c>
      <c r="M1320" s="15">
        <f>IF(OR('Data Entry'!A1320="",$K1320="",$K1320=0),"",$L1320/$K1320)</f>
        <v/>
      </c>
      <c r="N1320" s="12">
        <f>IF('Data Entry'!A1320="","",IF($L1320="","New item",IF($L1320&gt;0,"UP",IF($L1320&lt;0,"down","same"))))</f>
        <v/>
      </c>
    </row>
    <row r="1321">
      <c r="A1321" s="11">
        <f>IF('Data Entry'!A1321="","",'Data Entry'!A1321)</f>
        <v/>
      </c>
      <c r="B1321" s="12">
        <f>IF('Data Entry'!A1321="","",'Data Entry'!B1321)</f>
        <v/>
      </c>
      <c r="C1321" s="12">
        <f>IF('Data Entry'!A1321="","",'Data Entry'!C1321)</f>
        <v/>
      </c>
      <c r="D1321" s="12">
        <f>IF('Data Entry'!A1321="","",'Data Entry'!D1321)</f>
        <v/>
      </c>
      <c r="E1321" s="12">
        <f>IF('Data Entry'!A1321="","",'Data Entry'!E1321)</f>
        <v/>
      </c>
      <c r="F1321" s="12">
        <f>IF('Data Entry'!A1321="","",'Data Entry'!F1321)</f>
        <v/>
      </c>
      <c r="G1321" s="13">
        <f>IF('Data Entry'!A1321="","",'Data Entry'!G1321)</f>
        <v/>
      </c>
      <c r="H1321" s="10">
        <f>IF('Data Entry'!A1321="","",'Data Entry'!H1321)</f>
        <v/>
      </c>
      <c r="I1321" s="10">
        <f>IF('Data Entry'!A1321="","",'Data Entry'!I1321)</f>
        <v/>
      </c>
      <c r="J1321" s="12">
        <f>IF('Data Entry'!A1321="","",IF('Data Entry'!D1321&lt;&gt;"",'Data Entry'!D1321,'Data Entry'!E1321))</f>
        <v/>
      </c>
      <c r="K1321" s="10">
        <f>IF('Data Entry'!A1321="","",IFERROR(SUMIFS($H$5:$H$2001,$J$5:$J$2001,$J1321,$B$5:$B$2001,$B1321,$A$5:$A$2001,(MAXIFS($A$5:$A$2001,$J$5:$J$2001,$J1321,$B$5:$B$2001,$B1321,$A$5:$A$2001,"&lt;"&amp;$A1321))),""))</f>
        <v/>
      </c>
      <c r="L1321" s="14">
        <f>IF(OR('Data Entry'!A1321="",$K1321=""),"",$H1321-$K1321)</f>
        <v/>
      </c>
      <c r="M1321" s="15">
        <f>IF(OR('Data Entry'!A1321="",$K1321="",$K1321=0),"",$L1321/$K1321)</f>
        <v/>
      </c>
      <c r="N1321" s="12">
        <f>IF('Data Entry'!A1321="","",IF($L1321="","New item",IF($L1321&gt;0,"UP",IF($L1321&lt;0,"down","same"))))</f>
        <v/>
      </c>
    </row>
    <row r="1322">
      <c r="A1322" s="11">
        <f>IF('Data Entry'!A1322="","",'Data Entry'!A1322)</f>
        <v/>
      </c>
      <c r="B1322" s="12">
        <f>IF('Data Entry'!A1322="","",'Data Entry'!B1322)</f>
        <v/>
      </c>
      <c r="C1322" s="12">
        <f>IF('Data Entry'!A1322="","",'Data Entry'!C1322)</f>
        <v/>
      </c>
      <c r="D1322" s="12">
        <f>IF('Data Entry'!A1322="","",'Data Entry'!D1322)</f>
        <v/>
      </c>
      <c r="E1322" s="12">
        <f>IF('Data Entry'!A1322="","",'Data Entry'!E1322)</f>
        <v/>
      </c>
      <c r="F1322" s="12">
        <f>IF('Data Entry'!A1322="","",'Data Entry'!F1322)</f>
        <v/>
      </c>
      <c r="G1322" s="13">
        <f>IF('Data Entry'!A1322="","",'Data Entry'!G1322)</f>
        <v/>
      </c>
      <c r="H1322" s="10">
        <f>IF('Data Entry'!A1322="","",'Data Entry'!H1322)</f>
        <v/>
      </c>
      <c r="I1322" s="10">
        <f>IF('Data Entry'!A1322="","",'Data Entry'!I1322)</f>
        <v/>
      </c>
      <c r="J1322" s="12">
        <f>IF('Data Entry'!A1322="","",IF('Data Entry'!D1322&lt;&gt;"",'Data Entry'!D1322,'Data Entry'!E1322))</f>
        <v/>
      </c>
      <c r="K1322" s="10">
        <f>IF('Data Entry'!A1322="","",IFERROR(SUMIFS($H$5:$H$2001,$J$5:$J$2001,$J1322,$B$5:$B$2001,$B1322,$A$5:$A$2001,(MAXIFS($A$5:$A$2001,$J$5:$J$2001,$J1322,$B$5:$B$2001,$B1322,$A$5:$A$2001,"&lt;"&amp;$A1322))),""))</f>
        <v/>
      </c>
      <c r="L1322" s="14">
        <f>IF(OR('Data Entry'!A1322="",$K1322=""),"",$H1322-$K1322)</f>
        <v/>
      </c>
      <c r="M1322" s="15">
        <f>IF(OR('Data Entry'!A1322="",$K1322="",$K1322=0),"",$L1322/$K1322)</f>
        <v/>
      </c>
      <c r="N1322" s="12">
        <f>IF('Data Entry'!A1322="","",IF($L1322="","New item",IF($L1322&gt;0,"UP",IF($L1322&lt;0,"down","same"))))</f>
        <v/>
      </c>
    </row>
    <row r="1323">
      <c r="A1323" s="11">
        <f>IF('Data Entry'!A1323="","",'Data Entry'!A1323)</f>
        <v/>
      </c>
      <c r="B1323" s="12">
        <f>IF('Data Entry'!A1323="","",'Data Entry'!B1323)</f>
        <v/>
      </c>
      <c r="C1323" s="12">
        <f>IF('Data Entry'!A1323="","",'Data Entry'!C1323)</f>
        <v/>
      </c>
      <c r="D1323" s="12">
        <f>IF('Data Entry'!A1323="","",'Data Entry'!D1323)</f>
        <v/>
      </c>
      <c r="E1323" s="12">
        <f>IF('Data Entry'!A1323="","",'Data Entry'!E1323)</f>
        <v/>
      </c>
      <c r="F1323" s="12">
        <f>IF('Data Entry'!A1323="","",'Data Entry'!F1323)</f>
        <v/>
      </c>
      <c r="G1323" s="13">
        <f>IF('Data Entry'!A1323="","",'Data Entry'!G1323)</f>
        <v/>
      </c>
      <c r="H1323" s="10">
        <f>IF('Data Entry'!A1323="","",'Data Entry'!H1323)</f>
        <v/>
      </c>
      <c r="I1323" s="10">
        <f>IF('Data Entry'!A1323="","",'Data Entry'!I1323)</f>
        <v/>
      </c>
      <c r="J1323" s="12">
        <f>IF('Data Entry'!A1323="","",IF('Data Entry'!D1323&lt;&gt;"",'Data Entry'!D1323,'Data Entry'!E1323))</f>
        <v/>
      </c>
      <c r="K1323" s="10">
        <f>IF('Data Entry'!A1323="","",IFERROR(SUMIFS($H$5:$H$2001,$J$5:$J$2001,$J1323,$B$5:$B$2001,$B1323,$A$5:$A$2001,(MAXIFS($A$5:$A$2001,$J$5:$J$2001,$J1323,$B$5:$B$2001,$B1323,$A$5:$A$2001,"&lt;"&amp;$A1323))),""))</f>
        <v/>
      </c>
      <c r="L1323" s="14">
        <f>IF(OR('Data Entry'!A1323="",$K1323=""),"",$H1323-$K1323)</f>
        <v/>
      </c>
      <c r="M1323" s="15">
        <f>IF(OR('Data Entry'!A1323="",$K1323="",$K1323=0),"",$L1323/$K1323)</f>
        <v/>
      </c>
      <c r="N1323" s="12">
        <f>IF('Data Entry'!A1323="","",IF($L1323="","New item",IF($L1323&gt;0,"UP",IF($L1323&lt;0,"down","same"))))</f>
        <v/>
      </c>
    </row>
    <row r="1324">
      <c r="A1324" s="11">
        <f>IF('Data Entry'!A1324="","",'Data Entry'!A1324)</f>
        <v/>
      </c>
      <c r="B1324" s="12">
        <f>IF('Data Entry'!A1324="","",'Data Entry'!B1324)</f>
        <v/>
      </c>
      <c r="C1324" s="12">
        <f>IF('Data Entry'!A1324="","",'Data Entry'!C1324)</f>
        <v/>
      </c>
      <c r="D1324" s="12">
        <f>IF('Data Entry'!A1324="","",'Data Entry'!D1324)</f>
        <v/>
      </c>
      <c r="E1324" s="12">
        <f>IF('Data Entry'!A1324="","",'Data Entry'!E1324)</f>
        <v/>
      </c>
      <c r="F1324" s="12">
        <f>IF('Data Entry'!A1324="","",'Data Entry'!F1324)</f>
        <v/>
      </c>
      <c r="G1324" s="13">
        <f>IF('Data Entry'!A1324="","",'Data Entry'!G1324)</f>
        <v/>
      </c>
      <c r="H1324" s="10">
        <f>IF('Data Entry'!A1324="","",'Data Entry'!H1324)</f>
        <v/>
      </c>
      <c r="I1324" s="10">
        <f>IF('Data Entry'!A1324="","",'Data Entry'!I1324)</f>
        <v/>
      </c>
      <c r="J1324" s="12">
        <f>IF('Data Entry'!A1324="","",IF('Data Entry'!D1324&lt;&gt;"",'Data Entry'!D1324,'Data Entry'!E1324))</f>
        <v/>
      </c>
      <c r="K1324" s="10">
        <f>IF('Data Entry'!A1324="","",IFERROR(SUMIFS($H$5:$H$2001,$J$5:$J$2001,$J1324,$B$5:$B$2001,$B1324,$A$5:$A$2001,(MAXIFS($A$5:$A$2001,$J$5:$J$2001,$J1324,$B$5:$B$2001,$B1324,$A$5:$A$2001,"&lt;"&amp;$A1324))),""))</f>
        <v/>
      </c>
      <c r="L1324" s="14">
        <f>IF(OR('Data Entry'!A1324="",$K1324=""),"",$H1324-$K1324)</f>
        <v/>
      </c>
      <c r="M1324" s="15">
        <f>IF(OR('Data Entry'!A1324="",$K1324="",$K1324=0),"",$L1324/$K1324)</f>
        <v/>
      </c>
      <c r="N1324" s="12">
        <f>IF('Data Entry'!A1324="","",IF($L1324="","New item",IF($L1324&gt;0,"UP",IF($L1324&lt;0,"down","same"))))</f>
        <v/>
      </c>
    </row>
    <row r="1325">
      <c r="A1325" s="11">
        <f>IF('Data Entry'!A1325="","",'Data Entry'!A1325)</f>
        <v/>
      </c>
      <c r="B1325" s="12">
        <f>IF('Data Entry'!A1325="","",'Data Entry'!B1325)</f>
        <v/>
      </c>
      <c r="C1325" s="12">
        <f>IF('Data Entry'!A1325="","",'Data Entry'!C1325)</f>
        <v/>
      </c>
      <c r="D1325" s="12">
        <f>IF('Data Entry'!A1325="","",'Data Entry'!D1325)</f>
        <v/>
      </c>
      <c r="E1325" s="12">
        <f>IF('Data Entry'!A1325="","",'Data Entry'!E1325)</f>
        <v/>
      </c>
      <c r="F1325" s="12">
        <f>IF('Data Entry'!A1325="","",'Data Entry'!F1325)</f>
        <v/>
      </c>
      <c r="G1325" s="13">
        <f>IF('Data Entry'!A1325="","",'Data Entry'!G1325)</f>
        <v/>
      </c>
      <c r="H1325" s="10">
        <f>IF('Data Entry'!A1325="","",'Data Entry'!H1325)</f>
        <v/>
      </c>
      <c r="I1325" s="10">
        <f>IF('Data Entry'!A1325="","",'Data Entry'!I1325)</f>
        <v/>
      </c>
      <c r="J1325" s="12">
        <f>IF('Data Entry'!A1325="","",IF('Data Entry'!D1325&lt;&gt;"",'Data Entry'!D1325,'Data Entry'!E1325))</f>
        <v/>
      </c>
      <c r="K1325" s="10">
        <f>IF('Data Entry'!A1325="","",IFERROR(SUMIFS($H$5:$H$2001,$J$5:$J$2001,$J1325,$B$5:$B$2001,$B1325,$A$5:$A$2001,(MAXIFS($A$5:$A$2001,$J$5:$J$2001,$J1325,$B$5:$B$2001,$B1325,$A$5:$A$2001,"&lt;"&amp;$A1325))),""))</f>
        <v/>
      </c>
      <c r="L1325" s="14">
        <f>IF(OR('Data Entry'!A1325="",$K1325=""),"",$H1325-$K1325)</f>
        <v/>
      </c>
      <c r="M1325" s="15">
        <f>IF(OR('Data Entry'!A1325="",$K1325="",$K1325=0),"",$L1325/$K1325)</f>
        <v/>
      </c>
      <c r="N1325" s="12">
        <f>IF('Data Entry'!A1325="","",IF($L1325="","New item",IF($L1325&gt;0,"UP",IF($L1325&lt;0,"down","same"))))</f>
        <v/>
      </c>
    </row>
    <row r="1326">
      <c r="A1326" s="11">
        <f>IF('Data Entry'!A1326="","",'Data Entry'!A1326)</f>
        <v/>
      </c>
      <c r="B1326" s="12">
        <f>IF('Data Entry'!A1326="","",'Data Entry'!B1326)</f>
        <v/>
      </c>
      <c r="C1326" s="12">
        <f>IF('Data Entry'!A1326="","",'Data Entry'!C1326)</f>
        <v/>
      </c>
      <c r="D1326" s="12">
        <f>IF('Data Entry'!A1326="","",'Data Entry'!D1326)</f>
        <v/>
      </c>
      <c r="E1326" s="12">
        <f>IF('Data Entry'!A1326="","",'Data Entry'!E1326)</f>
        <v/>
      </c>
      <c r="F1326" s="12">
        <f>IF('Data Entry'!A1326="","",'Data Entry'!F1326)</f>
        <v/>
      </c>
      <c r="G1326" s="13">
        <f>IF('Data Entry'!A1326="","",'Data Entry'!G1326)</f>
        <v/>
      </c>
      <c r="H1326" s="10">
        <f>IF('Data Entry'!A1326="","",'Data Entry'!H1326)</f>
        <v/>
      </c>
      <c r="I1326" s="10">
        <f>IF('Data Entry'!A1326="","",'Data Entry'!I1326)</f>
        <v/>
      </c>
      <c r="J1326" s="12">
        <f>IF('Data Entry'!A1326="","",IF('Data Entry'!D1326&lt;&gt;"",'Data Entry'!D1326,'Data Entry'!E1326))</f>
        <v/>
      </c>
      <c r="K1326" s="10">
        <f>IF('Data Entry'!A1326="","",IFERROR(SUMIFS($H$5:$H$2001,$J$5:$J$2001,$J1326,$B$5:$B$2001,$B1326,$A$5:$A$2001,(MAXIFS($A$5:$A$2001,$J$5:$J$2001,$J1326,$B$5:$B$2001,$B1326,$A$5:$A$2001,"&lt;"&amp;$A1326))),""))</f>
        <v/>
      </c>
      <c r="L1326" s="14">
        <f>IF(OR('Data Entry'!A1326="",$K1326=""),"",$H1326-$K1326)</f>
        <v/>
      </c>
      <c r="M1326" s="15">
        <f>IF(OR('Data Entry'!A1326="",$K1326="",$K1326=0),"",$L1326/$K1326)</f>
        <v/>
      </c>
      <c r="N1326" s="12">
        <f>IF('Data Entry'!A1326="","",IF($L1326="","New item",IF($L1326&gt;0,"UP",IF($L1326&lt;0,"down","same"))))</f>
        <v/>
      </c>
    </row>
    <row r="1327">
      <c r="A1327" s="11">
        <f>IF('Data Entry'!A1327="","",'Data Entry'!A1327)</f>
        <v/>
      </c>
      <c r="B1327" s="12">
        <f>IF('Data Entry'!A1327="","",'Data Entry'!B1327)</f>
        <v/>
      </c>
      <c r="C1327" s="12">
        <f>IF('Data Entry'!A1327="","",'Data Entry'!C1327)</f>
        <v/>
      </c>
      <c r="D1327" s="12">
        <f>IF('Data Entry'!A1327="","",'Data Entry'!D1327)</f>
        <v/>
      </c>
      <c r="E1327" s="12">
        <f>IF('Data Entry'!A1327="","",'Data Entry'!E1327)</f>
        <v/>
      </c>
      <c r="F1327" s="12">
        <f>IF('Data Entry'!A1327="","",'Data Entry'!F1327)</f>
        <v/>
      </c>
      <c r="G1327" s="13">
        <f>IF('Data Entry'!A1327="","",'Data Entry'!G1327)</f>
        <v/>
      </c>
      <c r="H1327" s="10">
        <f>IF('Data Entry'!A1327="","",'Data Entry'!H1327)</f>
        <v/>
      </c>
      <c r="I1327" s="10">
        <f>IF('Data Entry'!A1327="","",'Data Entry'!I1327)</f>
        <v/>
      </c>
      <c r="J1327" s="12">
        <f>IF('Data Entry'!A1327="","",IF('Data Entry'!D1327&lt;&gt;"",'Data Entry'!D1327,'Data Entry'!E1327))</f>
        <v/>
      </c>
      <c r="K1327" s="10">
        <f>IF('Data Entry'!A1327="","",IFERROR(SUMIFS($H$5:$H$2001,$J$5:$J$2001,$J1327,$B$5:$B$2001,$B1327,$A$5:$A$2001,(MAXIFS($A$5:$A$2001,$J$5:$J$2001,$J1327,$B$5:$B$2001,$B1327,$A$5:$A$2001,"&lt;"&amp;$A1327))),""))</f>
        <v/>
      </c>
      <c r="L1327" s="14">
        <f>IF(OR('Data Entry'!A1327="",$K1327=""),"",$H1327-$K1327)</f>
        <v/>
      </c>
      <c r="M1327" s="15">
        <f>IF(OR('Data Entry'!A1327="",$K1327="",$K1327=0),"",$L1327/$K1327)</f>
        <v/>
      </c>
      <c r="N1327" s="12">
        <f>IF('Data Entry'!A1327="","",IF($L1327="","New item",IF($L1327&gt;0,"UP",IF($L1327&lt;0,"down","same"))))</f>
        <v/>
      </c>
    </row>
    <row r="1328">
      <c r="A1328" s="11">
        <f>IF('Data Entry'!A1328="","",'Data Entry'!A1328)</f>
        <v/>
      </c>
      <c r="B1328" s="12">
        <f>IF('Data Entry'!A1328="","",'Data Entry'!B1328)</f>
        <v/>
      </c>
      <c r="C1328" s="12">
        <f>IF('Data Entry'!A1328="","",'Data Entry'!C1328)</f>
        <v/>
      </c>
      <c r="D1328" s="12">
        <f>IF('Data Entry'!A1328="","",'Data Entry'!D1328)</f>
        <v/>
      </c>
      <c r="E1328" s="12">
        <f>IF('Data Entry'!A1328="","",'Data Entry'!E1328)</f>
        <v/>
      </c>
      <c r="F1328" s="12">
        <f>IF('Data Entry'!A1328="","",'Data Entry'!F1328)</f>
        <v/>
      </c>
      <c r="G1328" s="13">
        <f>IF('Data Entry'!A1328="","",'Data Entry'!G1328)</f>
        <v/>
      </c>
      <c r="H1328" s="10">
        <f>IF('Data Entry'!A1328="","",'Data Entry'!H1328)</f>
        <v/>
      </c>
      <c r="I1328" s="10">
        <f>IF('Data Entry'!A1328="","",'Data Entry'!I1328)</f>
        <v/>
      </c>
      <c r="J1328" s="12">
        <f>IF('Data Entry'!A1328="","",IF('Data Entry'!D1328&lt;&gt;"",'Data Entry'!D1328,'Data Entry'!E1328))</f>
        <v/>
      </c>
      <c r="K1328" s="10">
        <f>IF('Data Entry'!A1328="","",IFERROR(SUMIFS($H$5:$H$2001,$J$5:$J$2001,$J1328,$B$5:$B$2001,$B1328,$A$5:$A$2001,(MAXIFS($A$5:$A$2001,$J$5:$J$2001,$J1328,$B$5:$B$2001,$B1328,$A$5:$A$2001,"&lt;"&amp;$A1328))),""))</f>
        <v/>
      </c>
      <c r="L1328" s="14">
        <f>IF(OR('Data Entry'!A1328="",$K1328=""),"",$H1328-$K1328)</f>
        <v/>
      </c>
      <c r="M1328" s="15">
        <f>IF(OR('Data Entry'!A1328="",$K1328="",$K1328=0),"",$L1328/$K1328)</f>
        <v/>
      </c>
      <c r="N1328" s="12">
        <f>IF('Data Entry'!A1328="","",IF($L1328="","New item",IF($L1328&gt;0,"UP",IF($L1328&lt;0,"down","same"))))</f>
        <v/>
      </c>
    </row>
    <row r="1329">
      <c r="A1329" s="11">
        <f>IF('Data Entry'!A1329="","",'Data Entry'!A1329)</f>
        <v/>
      </c>
      <c r="B1329" s="12">
        <f>IF('Data Entry'!A1329="","",'Data Entry'!B1329)</f>
        <v/>
      </c>
      <c r="C1329" s="12">
        <f>IF('Data Entry'!A1329="","",'Data Entry'!C1329)</f>
        <v/>
      </c>
      <c r="D1329" s="12">
        <f>IF('Data Entry'!A1329="","",'Data Entry'!D1329)</f>
        <v/>
      </c>
      <c r="E1329" s="12">
        <f>IF('Data Entry'!A1329="","",'Data Entry'!E1329)</f>
        <v/>
      </c>
      <c r="F1329" s="12">
        <f>IF('Data Entry'!A1329="","",'Data Entry'!F1329)</f>
        <v/>
      </c>
      <c r="G1329" s="13">
        <f>IF('Data Entry'!A1329="","",'Data Entry'!G1329)</f>
        <v/>
      </c>
      <c r="H1329" s="10">
        <f>IF('Data Entry'!A1329="","",'Data Entry'!H1329)</f>
        <v/>
      </c>
      <c r="I1329" s="10">
        <f>IF('Data Entry'!A1329="","",'Data Entry'!I1329)</f>
        <v/>
      </c>
      <c r="J1329" s="12">
        <f>IF('Data Entry'!A1329="","",IF('Data Entry'!D1329&lt;&gt;"",'Data Entry'!D1329,'Data Entry'!E1329))</f>
        <v/>
      </c>
      <c r="K1329" s="10">
        <f>IF('Data Entry'!A1329="","",IFERROR(SUMIFS($H$5:$H$2001,$J$5:$J$2001,$J1329,$B$5:$B$2001,$B1329,$A$5:$A$2001,(MAXIFS($A$5:$A$2001,$J$5:$J$2001,$J1329,$B$5:$B$2001,$B1329,$A$5:$A$2001,"&lt;"&amp;$A1329))),""))</f>
        <v/>
      </c>
      <c r="L1329" s="14">
        <f>IF(OR('Data Entry'!A1329="",$K1329=""),"",$H1329-$K1329)</f>
        <v/>
      </c>
      <c r="M1329" s="15">
        <f>IF(OR('Data Entry'!A1329="",$K1329="",$K1329=0),"",$L1329/$K1329)</f>
        <v/>
      </c>
      <c r="N1329" s="12">
        <f>IF('Data Entry'!A1329="","",IF($L1329="","New item",IF($L1329&gt;0,"UP",IF($L1329&lt;0,"down","same"))))</f>
        <v/>
      </c>
    </row>
    <row r="1330">
      <c r="A1330" s="11">
        <f>IF('Data Entry'!A1330="","",'Data Entry'!A1330)</f>
        <v/>
      </c>
      <c r="B1330" s="12">
        <f>IF('Data Entry'!A1330="","",'Data Entry'!B1330)</f>
        <v/>
      </c>
      <c r="C1330" s="12">
        <f>IF('Data Entry'!A1330="","",'Data Entry'!C1330)</f>
        <v/>
      </c>
      <c r="D1330" s="12">
        <f>IF('Data Entry'!A1330="","",'Data Entry'!D1330)</f>
        <v/>
      </c>
      <c r="E1330" s="12">
        <f>IF('Data Entry'!A1330="","",'Data Entry'!E1330)</f>
        <v/>
      </c>
      <c r="F1330" s="12">
        <f>IF('Data Entry'!A1330="","",'Data Entry'!F1330)</f>
        <v/>
      </c>
      <c r="G1330" s="13">
        <f>IF('Data Entry'!A1330="","",'Data Entry'!G1330)</f>
        <v/>
      </c>
      <c r="H1330" s="10">
        <f>IF('Data Entry'!A1330="","",'Data Entry'!H1330)</f>
        <v/>
      </c>
      <c r="I1330" s="10">
        <f>IF('Data Entry'!A1330="","",'Data Entry'!I1330)</f>
        <v/>
      </c>
      <c r="J1330" s="12">
        <f>IF('Data Entry'!A1330="","",IF('Data Entry'!D1330&lt;&gt;"",'Data Entry'!D1330,'Data Entry'!E1330))</f>
        <v/>
      </c>
      <c r="K1330" s="10">
        <f>IF('Data Entry'!A1330="","",IFERROR(SUMIFS($H$5:$H$2001,$J$5:$J$2001,$J1330,$B$5:$B$2001,$B1330,$A$5:$A$2001,(MAXIFS($A$5:$A$2001,$J$5:$J$2001,$J1330,$B$5:$B$2001,$B1330,$A$5:$A$2001,"&lt;"&amp;$A1330))),""))</f>
        <v/>
      </c>
      <c r="L1330" s="14">
        <f>IF(OR('Data Entry'!A1330="",$K1330=""),"",$H1330-$K1330)</f>
        <v/>
      </c>
      <c r="M1330" s="15">
        <f>IF(OR('Data Entry'!A1330="",$K1330="",$K1330=0),"",$L1330/$K1330)</f>
        <v/>
      </c>
      <c r="N1330" s="12">
        <f>IF('Data Entry'!A1330="","",IF($L1330="","New item",IF($L1330&gt;0,"UP",IF($L1330&lt;0,"down","same"))))</f>
        <v/>
      </c>
    </row>
    <row r="1331">
      <c r="A1331" s="11">
        <f>IF('Data Entry'!A1331="","",'Data Entry'!A1331)</f>
        <v/>
      </c>
      <c r="B1331" s="12">
        <f>IF('Data Entry'!A1331="","",'Data Entry'!B1331)</f>
        <v/>
      </c>
      <c r="C1331" s="12">
        <f>IF('Data Entry'!A1331="","",'Data Entry'!C1331)</f>
        <v/>
      </c>
      <c r="D1331" s="12">
        <f>IF('Data Entry'!A1331="","",'Data Entry'!D1331)</f>
        <v/>
      </c>
      <c r="E1331" s="12">
        <f>IF('Data Entry'!A1331="","",'Data Entry'!E1331)</f>
        <v/>
      </c>
      <c r="F1331" s="12">
        <f>IF('Data Entry'!A1331="","",'Data Entry'!F1331)</f>
        <v/>
      </c>
      <c r="G1331" s="13">
        <f>IF('Data Entry'!A1331="","",'Data Entry'!G1331)</f>
        <v/>
      </c>
      <c r="H1331" s="10">
        <f>IF('Data Entry'!A1331="","",'Data Entry'!H1331)</f>
        <v/>
      </c>
      <c r="I1331" s="10">
        <f>IF('Data Entry'!A1331="","",'Data Entry'!I1331)</f>
        <v/>
      </c>
      <c r="J1331" s="12">
        <f>IF('Data Entry'!A1331="","",IF('Data Entry'!D1331&lt;&gt;"",'Data Entry'!D1331,'Data Entry'!E1331))</f>
        <v/>
      </c>
      <c r="K1331" s="10">
        <f>IF('Data Entry'!A1331="","",IFERROR(SUMIFS($H$5:$H$2001,$J$5:$J$2001,$J1331,$B$5:$B$2001,$B1331,$A$5:$A$2001,(MAXIFS($A$5:$A$2001,$J$5:$J$2001,$J1331,$B$5:$B$2001,$B1331,$A$5:$A$2001,"&lt;"&amp;$A1331))),""))</f>
        <v/>
      </c>
      <c r="L1331" s="14">
        <f>IF(OR('Data Entry'!A1331="",$K1331=""),"",$H1331-$K1331)</f>
        <v/>
      </c>
      <c r="M1331" s="15">
        <f>IF(OR('Data Entry'!A1331="",$K1331="",$K1331=0),"",$L1331/$K1331)</f>
        <v/>
      </c>
      <c r="N1331" s="12">
        <f>IF('Data Entry'!A1331="","",IF($L1331="","New item",IF($L1331&gt;0,"UP",IF($L1331&lt;0,"down","same"))))</f>
        <v/>
      </c>
    </row>
    <row r="1332">
      <c r="A1332" s="11">
        <f>IF('Data Entry'!A1332="","",'Data Entry'!A1332)</f>
        <v/>
      </c>
      <c r="B1332" s="12">
        <f>IF('Data Entry'!A1332="","",'Data Entry'!B1332)</f>
        <v/>
      </c>
      <c r="C1332" s="12">
        <f>IF('Data Entry'!A1332="","",'Data Entry'!C1332)</f>
        <v/>
      </c>
      <c r="D1332" s="12">
        <f>IF('Data Entry'!A1332="","",'Data Entry'!D1332)</f>
        <v/>
      </c>
      <c r="E1332" s="12">
        <f>IF('Data Entry'!A1332="","",'Data Entry'!E1332)</f>
        <v/>
      </c>
      <c r="F1332" s="12">
        <f>IF('Data Entry'!A1332="","",'Data Entry'!F1332)</f>
        <v/>
      </c>
      <c r="G1332" s="13">
        <f>IF('Data Entry'!A1332="","",'Data Entry'!G1332)</f>
        <v/>
      </c>
      <c r="H1332" s="10">
        <f>IF('Data Entry'!A1332="","",'Data Entry'!H1332)</f>
        <v/>
      </c>
      <c r="I1332" s="10">
        <f>IF('Data Entry'!A1332="","",'Data Entry'!I1332)</f>
        <v/>
      </c>
      <c r="J1332" s="12">
        <f>IF('Data Entry'!A1332="","",IF('Data Entry'!D1332&lt;&gt;"",'Data Entry'!D1332,'Data Entry'!E1332))</f>
        <v/>
      </c>
      <c r="K1332" s="10">
        <f>IF('Data Entry'!A1332="","",IFERROR(SUMIFS($H$5:$H$2001,$J$5:$J$2001,$J1332,$B$5:$B$2001,$B1332,$A$5:$A$2001,(MAXIFS($A$5:$A$2001,$J$5:$J$2001,$J1332,$B$5:$B$2001,$B1332,$A$5:$A$2001,"&lt;"&amp;$A1332))),""))</f>
        <v/>
      </c>
      <c r="L1332" s="14">
        <f>IF(OR('Data Entry'!A1332="",$K1332=""),"",$H1332-$K1332)</f>
        <v/>
      </c>
      <c r="M1332" s="15">
        <f>IF(OR('Data Entry'!A1332="",$K1332="",$K1332=0),"",$L1332/$K1332)</f>
        <v/>
      </c>
      <c r="N1332" s="12">
        <f>IF('Data Entry'!A1332="","",IF($L1332="","New item",IF($L1332&gt;0,"UP",IF($L1332&lt;0,"down","same"))))</f>
        <v/>
      </c>
    </row>
    <row r="1333">
      <c r="A1333" s="11">
        <f>IF('Data Entry'!A1333="","",'Data Entry'!A1333)</f>
        <v/>
      </c>
      <c r="B1333" s="12">
        <f>IF('Data Entry'!A1333="","",'Data Entry'!B1333)</f>
        <v/>
      </c>
      <c r="C1333" s="12">
        <f>IF('Data Entry'!A1333="","",'Data Entry'!C1333)</f>
        <v/>
      </c>
      <c r="D1333" s="12">
        <f>IF('Data Entry'!A1333="","",'Data Entry'!D1333)</f>
        <v/>
      </c>
      <c r="E1333" s="12">
        <f>IF('Data Entry'!A1333="","",'Data Entry'!E1333)</f>
        <v/>
      </c>
      <c r="F1333" s="12">
        <f>IF('Data Entry'!A1333="","",'Data Entry'!F1333)</f>
        <v/>
      </c>
      <c r="G1333" s="13">
        <f>IF('Data Entry'!A1333="","",'Data Entry'!G1333)</f>
        <v/>
      </c>
      <c r="H1333" s="10">
        <f>IF('Data Entry'!A1333="","",'Data Entry'!H1333)</f>
        <v/>
      </c>
      <c r="I1333" s="10">
        <f>IF('Data Entry'!A1333="","",'Data Entry'!I1333)</f>
        <v/>
      </c>
      <c r="J1333" s="12">
        <f>IF('Data Entry'!A1333="","",IF('Data Entry'!D1333&lt;&gt;"",'Data Entry'!D1333,'Data Entry'!E1333))</f>
        <v/>
      </c>
      <c r="K1333" s="10">
        <f>IF('Data Entry'!A1333="","",IFERROR(SUMIFS($H$5:$H$2001,$J$5:$J$2001,$J1333,$B$5:$B$2001,$B1333,$A$5:$A$2001,(MAXIFS($A$5:$A$2001,$J$5:$J$2001,$J1333,$B$5:$B$2001,$B1333,$A$5:$A$2001,"&lt;"&amp;$A1333))),""))</f>
        <v/>
      </c>
      <c r="L1333" s="14">
        <f>IF(OR('Data Entry'!A1333="",$K1333=""),"",$H1333-$K1333)</f>
        <v/>
      </c>
      <c r="M1333" s="15">
        <f>IF(OR('Data Entry'!A1333="",$K1333="",$K1333=0),"",$L1333/$K1333)</f>
        <v/>
      </c>
      <c r="N1333" s="12">
        <f>IF('Data Entry'!A1333="","",IF($L1333="","New item",IF($L1333&gt;0,"UP",IF($L1333&lt;0,"down","same"))))</f>
        <v/>
      </c>
    </row>
    <row r="1334">
      <c r="A1334" s="11">
        <f>IF('Data Entry'!A1334="","",'Data Entry'!A1334)</f>
        <v/>
      </c>
      <c r="B1334" s="12">
        <f>IF('Data Entry'!A1334="","",'Data Entry'!B1334)</f>
        <v/>
      </c>
      <c r="C1334" s="12">
        <f>IF('Data Entry'!A1334="","",'Data Entry'!C1334)</f>
        <v/>
      </c>
      <c r="D1334" s="12">
        <f>IF('Data Entry'!A1334="","",'Data Entry'!D1334)</f>
        <v/>
      </c>
      <c r="E1334" s="12">
        <f>IF('Data Entry'!A1334="","",'Data Entry'!E1334)</f>
        <v/>
      </c>
      <c r="F1334" s="12">
        <f>IF('Data Entry'!A1334="","",'Data Entry'!F1334)</f>
        <v/>
      </c>
      <c r="G1334" s="13">
        <f>IF('Data Entry'!A1334="","",'Data Entry'!G1334)</f>
        <v/>
      </c>
      <c r="H1334" s="10">
        <f>IF('Data Entry'!A1334="","",'Data Entry'!H1334)</f>
        <v/>
      </c>
      <c r="I1334" s="10">
        <f>IF('Data Entry'!A1334="","",'Data Entry'!I1334)</f>
        <v/>
      </c>
      <c r="J1334" s="12">
        <f>IF('Data Entry'!A1334="","",IF('Data Entry'!D1334&lt;&gt;"",'Data Entry'!D1334,'Data Entry'!E1334))</f>
        <v/>
      </c>
      <c r="K1334" s="10">
        <f>IF('Data Entry'!A1334="","",IFERROR(SUMIFS($H$5:$H$2001,$J$5:$J$2001,$J1334,$B$5:$B$2001,$B1334,$A$5:$A$2001,(MAXIFS($A$5:$A$2001,$J$5:$J$2001,$J1334,$B$5:$B$2001,$B1334,$A$5:$A$2001,"&lt;"&amp;$A1334))),""))</f>
        <v/>
      </c>
      <c r="L1334" s="14">
        <f>IF(OR('Data Entry'!A1334="",$K1334=""),"",$H1334-$K1334)</f>
        <v/>
      </c>
      <c r="M1334" s="15">
        <f>IF(OR('Data Entry'!A1334="",$K1334="",$K1334=0),"",$L1334/$K1334)</f>
        <v/>
      </c>
      <c r="N1334" s="12">
        <f>IF('Data Entry'!A1334="","",IF($L1334="","New item",IF($L1334&gt;0,"UP",IF($L1334&lt;0,"down","same"))))</f>
        <v/>
      </c>
    </row>
    <row r="1335">
      <c r="A1335" s="11">
        <f>IF('Data Entry'!A1335="","",'Data Entry'!A1335)</f>
        <v/>
      </c>
      <c r="B1335" s="12">
        <f>IF('Data Entry'!A1335="","",'Data Entry'!B1335)</f>
        <v/>
      </c>
      <c r="C1335" s="12">
        <f>IF('Data Entry'!A1335="","",'Data Entry'!C1335)</f>
        <v/>
      </c>
      <c r="D1335" s="12">
        <f>IF('Data Entry'!A1335="","",'Data Entry'!D1335)</f>
        <v/>
      </c>
      <c r="E1335" s="12">
        <f>IF('Data Entry'!A1335="","",'Data Entry'!E1335)</f>
        <v/>
      </c>
      <c r="F1335" s="12">
        <f>IF('Data Entry'!A1335="","",'Data Entry'!F1335)</f>
        <v/>
      </c>
      <c r="G1335" s="13">
        <f>IF('Data Entry'!A1335="","",'Data Entry'!G1335)</f>
        <v/>
      </c>
      <c r="H1335" s="10">
        <f>IF('Data Entry'!A1335="","",'Data Entry'!H1335)</f>
        <v/>
      </c>
      <c r="I1335" s="10">
        <f>IF('Data Entry'!A1335="","",'Data Entry'!I1335)</f>
        <v/>
      </c>
      <c r="J1335" s="12">
        <f>IF('Data Entry'!A1335="","",IF('Data Entry'!D1335&lt;&gt;"",'Data Entry'!D1335,'Data Entry'!E1335))</f>
        <v/>
      </c>
      <c r="K1335" s="10">
        <f>IF('Data Entry'!A1335="","",IFERROR(SUMIFS($H$5:$H$2001,$J$5:$J$2001,$J1335,$B$5:$B$2001,$B1335,$A$5:$A$2001,(MAXIFS($A$5:$A$2001,$J$5:$J$2001,$J1335,$B$5:$B$2001,$B1335,$A$5:$A$2001,"&lt;"&amp;$A1335))),""))</f>
        <v/>
      </c>
      <c r="L1335" s="14">
        <f>IF(OR('Data Entry'!A1335="",$K1335=""),"",$H1335-$K1335)</f>
        <v/>
      </c>
      <c r="M1335" s="15">
        <f>IF(OR('Data Entry'!A1335="",$K1335="",$K1335=0),"",$L1335/$K1335)</f>
        <v/>
      </c>
      <c r="N1335" s="12">
        <f>IF('Data Entry'!A1335="","",IF($L1335="","New item",IF($L1335&gt;0,"UP",IF($L1335&lt;0,"down","same"))))</f>
        <v/>
      </c>
    </row>
    <row r="1336">
      <c r="A1336" s="11">
        <f>IF('Data Entry'!A1336="","",'Data Entry'!A1336)</f>
        <v/>
      </c>
      <c r="B1336" s="12">
        <f>IF('Data Entry'!A1336="","",'Data Entry'!B1336)</f>
        <v/>
      </c>
      <c r="C1336" s="12">
        <f>IF('Data Entry'!A1336="","",'Data Entry'!C1336)</f>
        <v/>
      </c>
      <c r="D1336" s="12">
        <f>IF('Data Entry'!A1336="","",'Data Entry'!D1336)</f>
        <v/>
      </c>
      <c r="E1336" s="12">
        <f>IF('Data Entry'!A1336="","",'Data Entry'!E1336)</f>
        <v/>
      </c>
      <c r="F1336" s="12">
        <f>IF('Data Entry'!A1336="","",'Data Entry'!F1336)</f>
        <v/>
      </c>
      <c r="G1336" s="13">
        <f>IF('Data Entry'!A1336="","",'Data Entry'!G1336)</f>
        <v/>
      </c>
      <c r="H1336" s="10">
        <f>IF('Data Entry'!A1336="","",'Data Entry'!H1336)</f>
        <v/>
      </c>
      <c r="I1336" s="10">
        <f>IF('Data Entry'!A1336="","",'Data Entry'!I1336)</f>
        <v/>
      </c>
      <c r="J1336" s="12">
        <f>IF('Data Entry'!A1336="","",IF('Data Entry'!D1336&lt;&gt;"",'Data Entry'!D1336,'Data Entry'!E1336))</f>
        <v/>
      </c>
      <c r="K1336" s="10">
        <f>IF('Data Entry'!A1336="","",IFERROR(SUMIFS($H$5:$H$2001,$J$5:$J$2001,$J1336,$B$5:$B$2001,$B1336,$A$5:$A$2001,(MAXIFS($A$5:$A$2001,$J$5:$J$2001,$J1336,$B$5:$B$2001,$B1336,$A$5:$A$2001,"&lt;"&amp;$A1336))),""))</f>
        <v/>
      </c>
      <c r="L1336" s="14">
        <f>IF(OR('Data Entry'!A1336="",$K1336=""),"",$H1336-$K1336)</f>
        <v/>
      </c>
      <c r="M1336" s="15">
        <f>IF(OR('Data Entry'!A1336="",$K1336="",$K1336=0),"",$L1336/$K1336)</f>
        <v/>
      </c>
      <c r="N1336" s="12">
        <f>IF('Data Entry'!A1336="","",IF($L1336="","New item",IF($L1336&gt;0,"UP",IF($L1336&lt;0,"down","same"))))</f>
        <v/>
      </c>
    </row>
    <row r="1337">
      <c r="A1337" s="11">
        <f>IF('Data Entry'!A1337="","",'Data Entry'!A1337)</f>
        <v/>
      </c>
      <c r="B1337" s="12">
        <f>IF('Data Entry'!A1337="","",'Data Entry'!B1337)</f>
        <v/>
      </c>
      <c r="C1337" s="12">
        <f>IF('Data Entry'!A1337="","",'Data Entry'!C1337)</f>
        <v/>
      </c>
      <c r="D1337" s="12">
        <f>IF('Data Entry'!A1337="","",'Data Entry'!D1337)</f>
        <v/>
      </c>
      <c r="E1337" s="12">
        <f>IF('Data Entry'!A1337="","",'Data Entry'!E1337)</f>
        <v/>
      </c>
      <c r="F1337" s="12">
        <f>IF('Data Entry'!A1337="","",'Data Entry'!F1337)</f>
        <v/>
      </c>
      <c r="G1337" s="13">
        <f>IF('Data Entry'!A1337="","",'Data Entry'!G1337)</f>
        <v/>
      </c>
      <c r="H1337" s="10">
        <f>IF('Data Entry'!A1337="","",'Data Entry'!H1337)</f>
        <v/>
      </c>
      <c r="I1337" s="10">
        <f>IF('Data Entry'!A1337="","",'Data Entry'!I1337)</f>
        <v/>
      </c>
      <c r="J1337" s="12">
        <f>IF('Data Entry'!A1337="","",IF('Data Entry'!D1337&lt;&gt;"",'Data Entry'!D1337,'Data Entry'!E1337))</f>
        <v/>
      </c>
      <c r="K1337" s="10">
        <f>IF('Data Entry'!A1337="","",IFERROR(SUMIFS($H$5:$H$2001,$J$5:$J$2001,$J1337,$B$5:$B$2001,$B1337,$A$5:$A$2001,(MAXIFS($A$5:$A$2001,$J$5:$J$2001,$J1337,$B$5:$B$2001,$B1337,$A$5:$A$2001,"&lt;"&amp;$A1337))),""))</f>
        <v/>
      </c>
      <c r="L1337" s="14">
        <f>IF(OR('Data Entry'!A1337="",$K1337=""),"",$H1337-$K1337)</f>
        <v/>
      </c>
      <c r="M1337" s="15">
        <f>IF(OR('Data Entry'!A1337="",$K1337="",$K1337=0),"",$L1337/$K1337)</f>
        <v/>
      </c>
      <c r="N1337" s="12">
        <f>IF('Data Entry'!A1337="","",IF($L1337="","New item",IF($L1337&gt;0,"UP",IF($L1337&lt;0,"down","same"))))</f>
        <v/>
      </c>
    </row>
    <row r="1338">
      <c r="A1338" s="11">
        <f>IF('Data Entry'!A1338="","",'Data Entry'!A1338)</f>
        <v/>
      </c>
      <c r="B1338" s="12">
        <f>IF('Data Entry'!A1338="","",'Data Entry'!B1338)</f>
        <v/>
      </c>
      <c r="C1338" s="12">
        <f>IF('Data Entry'!A1338="","",'Data Entry'!C1338)</f>
        <v/>
      </c>
      <c r="D1338" s="12">
        <f>IF('Data Entry'!A1338="","",'Data Entry'!D1338)</f>
        <v/>
      </c>
      <c r="E1338" s="12">
        <f>IF('Data Entry'!A1338="","",'Data Entry'!E1338)</f>
        <v/>
      </c>
      <c r="F1338" s="12">
        <f>IF('Data Entry'!A1338="","",'Data Entry'!F1338)</f>
        <v/>
      </c>
      <c r="G1338" s="13">
        <f>IF('Data Entry'!A1338="","",'Data Entry'!G1338)</f>
        <v/>
      </c>
      <c r="H1338" s="10">
        <f>IF('Data Entry'!A1338="","",'Data Entry'!H1338)</f>
        <v/>
      </c>
      <c r="I1338" s="10">
        <f>IF('Data Entry'!A1338="","",'Data Entry'!I1338)</f>
        <v/>
      </c>
      <c r="J1338" s="12">
        <f>IF('Data Entry'!A1338="","",IF('Data Entry'!D1338&lt;&gt;"",'Data Entry'!D1338,'Data Entry'!E1338))</f>
        <v/>
      </c>
      <c r="K1338" s="10">
        <f>IF('Data Entry'!A1338="","",IFERROR(SUMIFS($H$5:$H$2001,$J$5:$J$2001,$J1338,$B$5:$B$2001,$B1338,$A$5:$A$2001,(MAXIFS($A$5:$A$2001,$J$5:$J$2001,$J1338,$B$5:$B$2001,$B1338,$A$5:$A$2001,"&lt;"&amp;$A1338))),""))</f>
        <v/>
      </c>
      <c r="L1338" s="14">
        <f>IF(OR('Data Entry'!A1338="",$K1338=""),"",$H1338-$K1338)</f>
        <v/>
      </c>
      <c r="M1338" s="15">
        <f>IF(OR('Data Entry'!A1338="",$K1338="",$K1338=0),"",$L1338/$K1338)</f>
        <v/>
      </c>
      <c r="N1338" s="12">
        <f>IF('Data Entry'!A1338="","",IF($L1338="","New item",IF($L1338&gt;0,"UP",IF($L1338&lt;0,"down","same"))))</f>
        <v/>
      </c>
    </row>
    <row r="1339">
      <c r="A1339" s="11">
        <f>IF('Data Entry'!A1339="","",'Data Entry'!A1339)</f>
        <v/>
      </c>
      <c r="B1339" s="12">
        <f>IF('Data Entry'!A1339="","",'Data Entry'!B1339)</f>
        <v/>
      </c>
      <c r="C1339" s="12">
        <f>IF('Data Entry'!A1339="","",'Data Entry'!C1339)</f>
        <v/>
      </c>
      <c r="D1339" s="12">
        <f>IF('Data Entry'!A1339="","",'Data Entry'!D1339)</f>
        <v/>
      </c>
      <c r="E1339" s="12">
        <f>IF('Data Entry'!A1339="","",'Data Entry'!E1339)</f>
        <v/>
      </c>
      <c r="F1339" s="12">
        <f>IF('Data Entry'!A1339="","",'Data Entry'!F1339)</f>
        <v/>
      </c>
      <c r="G1339" s="13">
        <f>IF('Data Entry'!A1339="","",'Data Entry'!G1339)</f>
        <v/>
      </c>
      <c r="H1339" s="10">
        <f>IF('Data Entry'!A1339="","",'Data Entry'!H1339)</f>
        <v/>
      </c>
      <c r="I1339" s="10">
        <f>IF('Data Entry'!A1339="","",'Data Entry'!I1339)</f>
        <v/>
      </c>
      <c r="J1339" s="12">
        <f>IF('Data Entry'!A1339="","",IF('Data Entry'!D1339&lt;&gt;"",'Data Entry'!D1339,'Data Entry'!E1339))</f>
        <v/>
      </c>
      <c r="K1339" s="10">
        <f>IF('Data Entry'!A1339="","",IFERROR(SUMIFS($H$5:$H$2001,$J$5:$J$2001,$J1339,$B$5:$B$2001,$B1339,$A$5:$A$2001,(MAXIFS($A$5:$A$2001,$J$5:$J$2001,$J1339,$B$5:$B$2001,$B1339,$A$5:$A$2001,"&lt;"&amp;$A1339))),""))</f>
        <v/>
      </c>
      <c r="L1339" s="14">
        <f>IF(OR('Data Entry'!A1339="",$K1339=""),"",$H1339-$K1339)</f>
        <v/>
      </c>
      <c r="M1339" s="15">
        <f>IF(OR('Data Entry'!A1339="",$K1339="",$K1339=0),"",$L1339/$K1339)</f>
        <v/>
      </c>
      <c r="N1339" s="12">
        <f>IF('Data Entry'!A1339="","",IF($L1339="","New item",IF($L1339&gt;0,"UP",IF($L1339&lt;0,"down","same"))))</f>
        <v/>
      </c>
    </row>
    <row r="1340">
      <c r="A1340" s="11">
        <f>IF('Data Entry'!A1340="","",'Data Entry'!A1340)</f>
        <v/>
      </c>
      <c r="B1340" s="12">
        <f>IF('Data Entry'!A1340="","",'Data Entry'!B1340)</f>
        <v/>
      </c>
      <c r="C1340" s="12">
        <f>IF('Data Entry'!A1340="","",'Data Entry'!C1340)</f>
        <v/>
      </c>
      <c r="D1340" s="12">
        <f>IF('Data Entry'!A1340="","",'Data Entry'!D1340)</f>
        <v/>
      </c>
      <c r="E1340" s="12">
        <f>IF('Data Entry'!A1340="","",'Data Entry'!E1340)</f>
        <v/>
      </c>
      <c r="F1340" s="12">
        <f>IF('Data Entry'!A1340="","",'Data Entry'!F1340)</f>
        <v/>
      </c>
      <c r="G1340" s="13">
        <f>IF('Data Entry'!A1340="","",'Data Entry'!G1340)</f>
        <v/>
      </c>
      <c r="H1340" s="10">
        <f>IF('Data Entry'!A1340="","",'Data Entry'!H1340)</f>
        <v/>
      </c>
      <c r="I1340" s="10">
        <f>IF('Data Entry'!A1340="","",'Data Entry'!I1340)</f>
        <v/>
      </c>
      <c r="J1340" s="12">
        <f>IF('Data Entry'!A1340="","",IF('Data Entry'!D1340&lt;&gt;"",'Data Entry'!D1340,'Data Entry'!E1340))</f>
        <v/>
      </c>
      <c r="K1340" s="10">
        <f>IF('Data Entry'!A1340="","",IFERROR(SUMIFS($H$5:$H$2001,$J$5:$J$2001,$J1340,$B$5:$B$2001,$B1340,$A$5:$A$2001,(MAXIFS($A$5:$A$2001,$J$5:$J$2001,$J1340,$B$5:$B$2001,$B1340,$A$5:$A$2001,"&lt;"&amp;$A1340))),""))</f>
        <v/>
      </c>
      <c r="L1340" s="14">
        <f>IF(OR('Data Entry'!A1340="",$K1340=""),"",$H1340-$K1340)</f>
        <v/>
      </c>
      <c r="M1340" s="15">
        <f>IF(OR('Data Entry'!A1340="",$K1340="",$K1340=0),"",$L1340/$K1340)</f>
        <v/>
      </c>
      <c r="N1340" s="12">
        <f>IF('Data Entry'!A1340="","",IF($L1340="","New item",IF($L1340&gt;0,"UP",IF($L1340&lt;0,"down","same"))))</f>
        <v/>
      </c>
    </row>
    <row r="1341">
      <c r="A1341" s="11">
        <f>IF('Data Entry'!A1341="","",'Data Entry'!A1341)</f>
        <v/>
      </c>
      <c r="B1341" s="12">
        <f>IF('Data Entry'!A1341="","",'Data Entry'!B1341)</f>
        <v/>
      </c>
      <c r="C1341" s="12">
        <f>IF('Data Entry'!A1341="","",'Data Entry'!C1341)</f>
        <v/>
      </c>
      <c r="D1341" s="12">
        <f>IF('Data Entry'!A1341="","",'Data Entry'!D1341)</f>
        <v/>
      </c>
      <c r="E1341" s="12">
        <f>IF('Data Entry'!A1341="","",'Data Entry'!E1341)</f>
        <v/>
      </c>
      <c r="F1341" s="12">
        <f>IF('Data Entry'!A1341="","",'Data Entry'!F1341)</f>
        <v/>
      </c>
      <c r="G1341" s="13">
        <f>IF('Data Entry'!A1341="","",'Data Entry'!G1341)</f>
        <v/>
      </c>
      <c r="H1341" s="10">
        <f>IF('Data Entry'!A1341="","",'Data Entry'!H1341)</f>
        <v/>
      </c>
      <c r="I1341" s="10">
        <f>IF('Data Entry'!A1341="","",'Data Entry'!I1341)</f>
        <v/>
      </c>
      <c r="J1341" s="12">
        <f>IF('Data Entry'!A1341="","",IF('Data Entry'!D1341&lt;&gt;"",'Data Entry'!D1341,'Data Entry'!E1341))</f>
        <v/>
      </c>
      <c r="K1341" s="10">
        <f>IF('Data Entry'!A1341="","",IFERROR(SUMIFS($H$5:$H$2001,$J$5:$J$2001,$J1341,$B$5:$B$2001,$B1341,$A$5:$A$2001,(MAXIFS($A$5:$A$2001,$J$5:$J$2001,$J1341,$B$5:$B$2001,$B1341,$A$5:$A$2001,"&lt;"&amp;$A1341))),""))</f>
        <v/>
      </c>
      <c r="L1341" s="14">
        <f>IF(OR('Data Entry'!A1341="",$K1341=""),"",$H1341-$K1341)</f>
        <v/>
      </c>
      <c r="M1341" s="15">
        <f>IF(OR('Data Entry'!A1341="",$K1341="",$K1341=0),"",$L1341/$K1341)</f>
        <v/>
      </c>
      <c r="N1341" s="12">
        <f>IF('Data Entry'!A1341="","",IF($L1341="","New item",IF($L1341&gt;0,"UP",IF($L1341&lt;0,"down","same"))))</f>
        <v/>
      </c>
    </row>
    <row r="1342">
      <c r="A1342" s="11">
        <f>IF('Data Entry'!A1342="","",'Data Entry'!A1342)</f>
        <v/>
      </c>
      <c r="B1342" s="12">
        <f>IF('Data Entry'!A1342="","",'Data Entry'!B1342)</f>
        <v/>
      </c>
      <c r="C1342" s="12">
        <f>IF('Data Entry'!A1342="","",'Data Entry'!C1342)</f>
        <v/>
      </c>
      <c r="D1342" s="12">
        <f>IF('Data Entry'!A1342="","",'Data Entry'!D1342)</f>
        <v/>
      </c>
      <c r="E1342" s="12">
        <f>IF('Data Entry'!A1342="","",'Data Entry'!E1342)</f>
        <v/>
      </c>
      <c r="F1342" s="12">
        <f>IF('Data Entry'!A1342="","",'Data Entry'!F1342)</f>
        <v/>
      </c>
      <c r="G1342" s="13">
        <f>IF('Data Entry'!A1342="","",'Data Entry'!G1342)</f>
        <v/>
      </c>
      <c r="H1342" s="10">
        <f>IF('Data Entry'!A1342="","",'Data Entry'!H1342)</f>
        <v/>
      </c>
      <c r="I1342" s="10">
        <f>IF('Data Entry'!A1342="","",'Data Entry'!I1342)</f>
        <v/>
      </c>
      <c r="J1342" s="12">
        <f>IF('Data Entry'!A1342="","",IF('Data Entry'!D1342&lt;&gt;"",'Data Entry'!D1342,'Data Entry'!E1342))</f>
        <v/>
      </c>
      <c r="K1342" s="10">
        <f>IF('Data Entry'!A1342="","",IFERROR(SUMIFS($H$5:$H$2001,$J$5:$J$2001,$J1342,$B$5:$B$2001,$B1342,$A$5:$A$2001,(MAXIFS($A$5:$A$2001,$J$5:$J$2001,$J1342,$B$5:$B$2001,$B1342,$A$5:$A$2001,"&lt;"&amp;$A1342))),""))</f>
        <v/>
      </c>
      <c r="L1342" s="14">
        <f>IF(OR('Data Entry'!A1342="",$K1342=""),"",$H1342-$K1342)</f>
        <v/>
      </c>
      <c r="M1342" s="15">
        <f>IF(OR('Data Entry'!A1342="",$K1342="",$K1342=0),"",$L1342/$K1342)</f>
        <v/>
      </c>
      <c r="N1342" s="12">
        <f>IF('Data Entry'!A1342="","",IF($L1342="","New item",IF($L1342&gt;0,"UP",IF($L1342&lt;0,"down","same"))))</f>
        <v/>
      </c>
    </row>
    <row r="1343">
      <c r="A1343" s="11">
        <f>IF('Data Entry'!A1343="","",'Data Entry'!A1343)</f>
        <v/>
      </c>
      <c r="B1343" s="12">
        <f>IF('Data Entry'!A1343="","",'Data Entry'!B1343)</f>
        <v/>
      </c>
      <c r="C1343" s="12">
        <f>IF('Data Entry'!A1343="","",'Data Entry'!C1343)</f>
        <v/>
      </c>
      <c r="D1343" s="12">
        <f>IF('Data Entry'!A1343="","",'Data Entry'!D1343)</f>
        <v/>
      </c>
      <c r="E1343" s="12">
        <f>IF('Data Entry'!A1343="","",'Data Entry'!E1343)</f>
        <v/>
      </c>
      <c r="F1343" s="12">
        <f>IF('Data Entry'!A1343="","",'Data Entry'!F1343)</f>
        <v/>
      </c>
      <c r="G1343" s="13">
        <f>IF('Data Entry'!A1343="","",'Data Entry'!G1343)</f>
        <v/>
      </c>
      <c r="H1343" s="10">
        <f>IF('Data Entry'!A1343="","",'Data Entry'!H1343)</f>
        <v/>
      </c>
      <c r="I1343" s="10">
        <f>IF('Data Entry'!A1343="","",'Data Entry'!I1343)</f>
        <v/>
      </c>
      <c r="J1343" s="12">
        <f>IF('Data Entry'!A1343="","",IF('Data Entry'!D1343&lt;&gt;"",'Data Entry'!D1343,'Data Entry'!E1343))</f>
        <v/>
      </c>
      <c r="K1343" s="10">
        <f>IF('Data Entry'!A1343="","",IFERROR(SUMIFS($H$5:$H$2001,$J$5:$J$2001,$J1343,$B$5:$B$2001,$B1343,$A$5:$A$2001,(MAXIFS($A$5:$A$2001,$J$5:$J$2001,$J1343,$B$5:$B$2001,$B1343,$A$5:$A$2001,"&lt;"&amp;$A1343))),""))</f>
        <v/>
      </c>
      <c r="L1343" s="14">
        <f>IF(OR('Data Entry'!A1343="",$K1343=""),"",$H1343-$K1343)</f>
        <v/>
      </c>
      <c r="M1343" s="15">
        <f>IF(OR('Data Entry'!A1343="",$K1343="",$K1343=0),"",$L1343/$K1343)</f>
        <v/>
      </c>
      <c r="N1343" s="12">
        <f>IF('Data Entry'!A1343="","",IF($L1343="","New item",IF($L1343&gt;0,"UP",IF($L1343&lt;0,"down","same"))))</f>
        <v/>
      </c>
    </row>
    <row r="1344">
      <c r="A1344" s="11">
        <f>IF('Data Entry'!A1344="","",'Data Entry'!A1344)</f>
        <v/>
      </c>
      <c r="B1344" s="12">
        <f>IF('Data Entry'!A1344="","",'Data Entry'!B1344)</f>
        <v/>
      </c>
      <c r="C1344" s="12">
        <f>IF('Data Entry'!A1344="","",'Data Entry'!C1344)</f>
        <v/>
      </c>
      <c r="D1344" s="12">
        <f>IF('Data Entry'!A1344="","",'Data Entry'!D1344)</f>
        <v/>
      </c>
      <c r="E1344" s="12">
        <f>IF('Data Entry'!A1344="","",'Data Entry'!E1344)</f>
        <v/>
      </c>
      <c r="F1344" s="12">
        <f>IF('Data Entry'!A1344="","",'Data Entry'!F1344)</f>
        <v/>
      </c>
      <c r="G1344" s="13">
        <f>IF('Data Entry'!A1344="","",'Data Entry'!G1344)</f>
        <v/>
      </c>
      <c r="H1344" s="10">
        <f>IF('Data Entry'!A1344="","",'Data Entry'!H1344)</f>
        <v/>
      </c>
      <c r="I1344" s="10">
        <f>IF('Data Entry'!A1344="","",'Data Entry'!I1344)</f>
        <v/>
      </c>
      <c r="J1344" s="12">
        <f>IF('Data Entry'!A1344="","",IF('Data Entry'!D1344&lt;&gt;"",'Data Entry'!D1344,'Data Entry'!E1344))</f>
        <v/>
      </c>
      <c r="K1344" s="10">
        <f>IF('Data Entry'!A1344="","",IFERROR(SUMIFS($H$5:$H$2001,$J$5:$J$2001,$J1344,$B$5:$B$2001,$B1344,$A$5:$A$2001,(MAXIFS($A$5:$A$2001,$J$5:$J$2001,$J1344,$B$5:$B$2001,$B1344,$A$5:$A$2001,"&lt;"&amp;$A1344))),""))</f>
        <v/>
      </c>
      <c r="L1344" s="14">
        <f>IF(OR('Data Entry'!A1344="",$K1344=""),"",$H1344-$K1344)</f>
        <v/>
      </c>
      <c r="M1344" s="15">
        <f>IF(OR('Data Entry'!A1344="",$K1344="",$K1344=0),"",$L1344/$K1344)</f>
        <v/>
      </c>
      <c r="N1344" s="12">
        <f>IF('Data Entry'!A1344="","",IF($L1344="","New item",IF($L1344&gt;0,"UP",IF($L1344&lt;0,"down","same"))))</f>
        <v/>
      </c>
    </row>
    <row r="1345">
      <c r="A1345" s="11">
        <f>IF('Data Entry'!A1345="","",'Data Entry'!A1345)</f>
        <v/>
      </c>
      <c r="B1345" s="12">
        <f>IF('Data Entry'!A1345="","",'Data Entry'!B1345)</f>
        <v/>
      </c>
      <c r="C1345" s="12">
        <f>IF('Data Entry'!A1345="","",'Data Entry'!C1345)</f>
        <v/>
      </c>
      <c r="D1345" s="12">
        <f>IF('Data Entry'!A1345="","",'Data Entry'!D1345)</f>
        <v/>
      </c>
      <c r="E1345" s="12">
        <f>IF('Data Entry'!A1345="","",'Data Entry'!E1345)</f>
        <v/>
      </c>
      <c r="F1345" s="12">
        <f>IF('Data Entry'!A1345="","",'Data Entry'!F1345)</f>
        <v/>
      </c>
      <c r="G1345" s="13">
        <f>IF('Data Entry'!A1345="","",'Data Entry'!G1345)</f>
        <v/>
      </c>
      <c r="H1345" s="10">
        <f>IF('Data Entry'!A1345="","",'Data Entry'!H1345)</f>
        <v/>
      </c>
      <c r="I1345" s="10">
        <f>IF('Data Entry'!A1345="","",'Data Entry'!I1345)</f>
        <v/>
      </c>
      <c r="J1345" s="12">
        <f>IF('Data Entry'!A1345="","",IF('Data Entry'!D1345&lt;&gt;"",'Data Entry'!D1345,'Data Entry'!E1345))</f>
        <v/>
      </c>
      <c r="K1345" s="10">
        <f>IF('Data Entry'!A1345="","",IFERROR(SUMIFS($H$5:$H$2001,$J$5:$J$2001,$J1345,$B$5:$B$2001,$B1345,$A$5:$A$2001,(MAXIFS($A$5:$A$2001,$J$5:$J$2001,$J1345,$B$5:$B$2001,$B1345,$A$5:$A$2001,"&lt;"&amp;$A1345))),""))</f>
        <v/>
      </c>
      <c r="L1345" s="14">
        <f>IF(OR('Data Entry'!A1345="",$K1345=""),"",$H1345-$K1345)</f>
        <v/>
      </c>
      <c r="M1345" s="15">
        <f>IF(OR('Data Entry'!A1345="",$K1345="",$K1345=0),"",$L1345/$K1345)</f>
        <v/>
      </c>
      <c r="N1345" s="12">
        <f>IF('Data Entry'!A1345="","",IF($L1345="","New item",IF($L1345&gt;0,"UP",IF($L1345&lt;0,"down","same"))))</f>
        <v/>
      </c>
    </row>
    <row r="1346">
      <c r="A1346" s="11">
        <f>IF('Data Entry'!A1346="","",'Data Entry'!A1346)</f>
        <v/>
      </c>
      <c r="B1346" s="12">
        <f>IF('Data Entry'!A1346="","",'Data Entry'!B1346)</f>
        <v/>
      </c>
      <c r="C1346" s="12">
        <f>IF('Data Entry'!A1346="","",'Data Entry'!C1346)</f>
        <v/>
      </c>
      <c r="D1346" s="12">
        <f>IF('Data Entry'!A1346="","",'Data Entry'!D1346)</f>
        <v/>
      </c>
      <c r="E1346" s="12">
        <f>IF('Data Entry'!A1346="","",'Data Entry'!E1346)</f>
        <v/>
      </c>
      <c r="F1346" s="12">
        <f>IF('Data Entry'!A1346="","",'Data Entry'!F1346)</f>
        <v/>
      </c>
      <c r="G1346" s="13">
        <f>IF('Data Entry'!A1346="","",'Data Entry'!G1346)</f>
        <v/>
      </c>
      <c r="H1346" s="10">
        <f>IF('Data Entry'!A1346="","",'Data Entry'!H1346)</f>
        <v/>
      </c>
      <c r="I1346" s="10">
        <f>IF('Data Entry'!A1346="","",'Data Entry'!I1346)</f>
        <v/>
      </c>
      <c r="J1346" s="12">
        <f>IF('Data Entry'!A1346="","",IF('Data Entry'!D1346&lt;&gt;"",'Data Entry'!D1346,'Data Entry'!E1346))</f>
        <v/>
      </c>
      <c r="K1346" s="10">
        <f>IF('Data Entry'!A1346="","",IFERROR(SUMIFS($H$5:$H$2001,$J$5:$J$2001,$J1346,$B$5:$B$2001,$B1346,$A$5:$A$2001,(MAXIFS($A$5:$A$2001,$J$5:$J$2001,$J1346,$B$5:$B$2001,$B1346,$A$5:$A$2001,"&lt;"&amp;$A1346))),""))</f>
        <v/>
      </c>
      <c r="L1346" s="14">
        <f>IF(OR('Data Entry'!A1346="",$K1346=""),"",$H1346-$K1346)</f>
        <v/>
      </c>
      <c r="M1346" s="15">
        <f>IF(OR('Data Entry'!A1346="",$K1346="",$K1346=0),"",$L1346/$K1346)</f>
        <v/>
      </c>
      <c r="N1346" s="12">
        <f>IF('Data Entry'!A1346="","",IF($L1346="","New item",IF($L1346&gt;0,"UP",IF($L1346&lt;0,"down","same"))))</f>
        <v/>
      </c>
    </row>
    <row r="1347">
      <c r="A1347" s="11">
        <f>IF('Data Entry'!A1347="","",'Data Entry'!A1347)</f>
        <v/>
      </c>
      <c r="B1347" s="12">
        <f>IF('Data Entry'!A1347="","",'Data Entry'!B1347)</f>
        <v/>
      </c>
      <c r="C1347" s="12">
        <f>IF('Data Entry'!A1347="","",'Data Entry'!C1347)</f>
        <v/>
      </c>
      <c r="D1347" s="12">
        <f>IF('Data Entry'!A1347="","",'Data Entry'!D1347)</f>
        <v/>
      </c>
      <c r="E1347" s="12">
        <f>IF('Data Entry'!A1347="","",'Data Entry'!E1347)</f>
        <v/>
      </c>
      <c r="F1347" s="12">
        <f>IF('Data Entry'!A1347="","",'Data Entry'!F1347)</f>
        <v/>
      </c>
      <c r="G1347" s="13">
        <f>IF('Data Entry'!A1347="","",'Data Entry'!G1347)</f>
        <v/>
      </c>
      <c r="H1347" s="10">
        <f>IF('Data Entry'!A1347="","",'Data Entry'!H1347)</f>
        <v/>
      </c>
      <c r="I1347" s="10">
        <f>IF('Data Entry'!A1347="","",'Data Entry'!I1347)</f>
        <v/>
      </c>
      <c r="J1347" s="12">
        <f>IF('Data Entry'!A1347="","",IF('Data Entry'!D1347&lt;&gt;"",'Data Entry'!D1347,'Data Entry'!E1347))</f>
        <v/>
      </c>
      <c r="K1347" s="10">
        <f>IF('Data Entry'!A1347="","",IFERROR(SUMIFS($H$5:$H$2001,$J$5:$J$2001,$J1347,$B$5:$B$2001,$B1347,$A$5:$A$2001,(MAXIFS($A$5:$A$2001,$J$5:$J$2001,$J1347,$B$5:$B$2001,$B1347,$A$5:$A$2001,"&lt;"&amp;$A1347))),""))</f>
        <v/>
      </c>
      <c r="L1347" s="14">
        <f>IF(OR('Data Entry'!A1347="",$K1347=""),"",$H1347-$K1347)</f>
        <v/>
      </c>
      <c r="M1347" s="15">
        <f>IF(OR('Data Entry'!A1347="",$K1347="",$K1347=0),"",$L1347/$K1347)</f>
        <v/>
      </c>
      <c r="N1347" s="12">
        <f>IF('Data Entry'!A1347="","",IF($L1347="","New item",IF($L1347&gt;0,"UP",IF($L1347&lt;0,"down","same"))))</f>
        <v/>
      </c>
    </row>
    <row r="1348">
      <c r="A1348" s="11">
        <f>IF('Data Entry'!A1348="","",'Data Entry'!A1348)</f>
        <v/>
      </c>
      <c r="B1348" s="12">
        <f>IF('Data Entry'!A1348="","",'Data Entry'!B1348)</f>
        <v/>
      </c>
      <c r="C1348" s="12">
        <f>IF('Data Entry'!A1348="","",'Data Entry'!C1348)</f>
        <v/>
      </c>
      <c r="D1348" s="12">
        <f>IF('Data Entry'!A1348="","",'Data Entry'!D1348)</f>
        <v/>
      </c>
      <c r="E1348" s="12">
        <f>IF('Data Entry'!A1348="","",'Data Entry'!E1348)</f>
        <v/>
      </c>
      <c r="F1348" s="12">
        <f>IF('Data Entry'!A1348="","",'Data Entry'!F1348)</f>
        <v/>
      </c>
      <c r="G1348" s="13">
        <f>IF('Data Entry'!A1348="","",'Data Entry'!G1348)</f>
        <v/>
      </c>
      <c r="H1348" s="10">
        <f>IF('Data Entry'!A1348="","",'Data Entry'!H1348)</f>
        <v/>
      </c>
      <c r="I1348" s="10">
        <f>IF('Data Entry'!A1348="","",'Data Entry'!I1348)</f>
        <v/>
      </c>
      <c r="J1348" s="12">
        <f>IF('Data Entry'!A1348="","",IF('Data Entry'!D1348&lt;&gt;"",'Data Entry'!D1348,'Data Entry'!E1348))</f>
        <v/>
      </c>
      <c r="K1348" s="10">
        <f>IF('Data Entry'!A1348="","",IFERROR(SUMIFS($H$5:$H$2001,$J$5:$J$2001,$J1348,$B$5:$B$2001,$B1348,$A$5:$A$2001,(MAXIFS($A$5:$A$2001,$J$5:$J$2001,$J1348,$B$5:$B$2001,$B1348,$A$5:$A$2001,"&lt;"&amp;$A1348))),""))</f>
        <v/>
      </c>
      <c r="L1348" s="14">
        <f>IF(OR('Data Entry'!A1348="",$K1348=""),"",$H1348-$K1348)</f>
        <v/>
      </c>
      <c r="M1348" s="15">
        <f>IF(OR('Data Entry'!A1348="",$K1348="",$K1348=0),"",$L1348/$K1348)</f>
        <v/>
      </c>
      <c r="N1348" s="12">
        <f>IF('Data Entry'!A1348="","",IF($L1348="","New item",IF($L1348&gt;0,"UP",IF($L1348&lt;0,"down","same"))))</f>
        <v/>
      </c>
    </row>
    <row r="1349">
      <c r="A1349" s="11">
        <f>IF('Data Entry'!A1349="","",'Data Entry'!A1349)</f>
        <v/>
      </c>
      <c r="B1349" s="12">
        <f>IF('Data Entry'!A1349="","",'Data Entry'!B1349)</f>
        <v/>
      </c>
      <c r="C1349" s="12">
        <f>IF('Data Entry'!A1349="","",'Data Entry'!C1349)</f>
        <v/>
      </c>
      <c r="D1349" s="12">
        <f>IF('Data Entry'!A1349="","",'Data Entry'!D1349)</f>
        <v/>
      </c>
      <c r="E1349" s="12">
        <f>IF('Data Entry'!A1349="","",'Data Entry'!E1349)</f>
        <v/>
      </c>
      <c r="F1349" s="12">
        <f>IF('Data Entry'!A1349="","",'Data Entry'!F1349)</f>
        <v/>
      </c>
      <c r="G1349" s="13">
        <f>IF('Data Entry'!A1349="","",'Data Entry'!G1349)</f>
        <v/>
      </c>
      <c r="H1349" s="10">
        <f>IF('Data Entry'!A1349="","",'Data Entry'!H1349)</f>
        <v/>
      </c>
      <c r="I1349" s="10">
        <f>IF('Data Entry'!A1349="","",'Data Entry'!I1349)</f>
        <v/>
      </c>
      <c r="J1349" s="12">
        <f>IF('Data Entry'!A1349="","",IF('Data Entry'!D1349&lt;&gt;"",'Data Entry'!D1349,'Data Entry'!E1349))</f>
        <v/>
      </c>
      <c r="K1349" s="10">
        <f>IF('Data Entry'!A1349="","",IFERROR(SUMIFS($H$5:$H$2001,$J$5:$J$2001,$J1349,$B$5:$B$2001,$B1349,$A$5:$A$2001,(MAXIFS($A$5:$A$2001,$J$5:$J$2001,$J1349,$B$5:$B$2001,$B1349,$A$5:$A$2001,"&lt;"&amp;$A1349))),""))</f>
        <v/>
      </c>
      <c r="L1349" s="14">
        <f>IF(OR('Data Entry'!A1349="",$K1349=""),"",$H1349-$K1349)</f>
        <v/>
      </c>
      <c r="M1349" s="15">
        <f>IF(OR('Data Entry'!A1349="",$K1349="",$K1349=0),"",$L1349/$K1349)</f>
        <v/>
      </c>
      <c r="N1349" s="12">
        <f>IF('Data Entry'!A1349="","",IF($L1349="","New item",IF($L1349&gt;0,"UP",IF($L1349&lt;0,"down","same"))))</f>
        <v/>
      </c>
    </row>
    <row r="1350">
      <c r="A1350" s="11">
        <f>IF('Data Entry'!A1350="","",'Data Entry'!A1350)</f>
        <v/>
      </c>
      <c r="B1350" s="12">
        <f>IF('Data Entry'!A1350="","",'Data Entry'!B1350)</f>
        <v/>
      </c>
      <c r="C1350" s="12">
        <f>IF('Data Entry'!A1350="","",'Data Entry'!C1350)</f>
        <v/>
      </c>
      <c r="D1350" s="12">
        <f>IF('Data Entry'!A1350="","",'Data Entry'!D1350)</f>
        <v/>
      </c>
      <c r="E1350" s="12">
        <f>IF('Data Entry'!A1350="","",'Data Entry'!E1350)</f>
        <v/>
      </c>
      <c r="F1350" s="12">
        <f>IF('Data Entry'!A1350="","",'Data Entry'!F1350)</f>
        <v/>
      </c>
      <c r="G1350" s="13">
        <f>IF('Data Entry'!A1350="","",'Data Entry'!G1350)</f>
        <v/>
      </c>
      <c r="H1350" s="10">
        <f>IF('Data Entry'!A1350="","",'Data Entry'!H1350)</f>
        <v/>
      </c>
      <c r="I1350" s="10">
        <f>IF('Data Entry'!A1350="","",'Data Entry'!I1350)</f>
        <v/>
      </c>
      <c r="J1350" s="12">
        <f>IF('Data Entry'!A1350="","",IF('Data Entry'!D1350&lt;&gt;"",'Data Entry'!D1350,'Data Entry'!E1350))</f>
        <v/>
      </c>
      <c r="K1350" s="10">
        <f>IF('Data Entry'!A1350="","",IFERROR(SUMIFS($H$5:$H$2001,$J$5:$J$2001,$J1350,$B$5:$B$2001,$B1350,$A$5:$A$2001,(MAXIFS($A$5:$A$2001,$J$5:$J$2001,$J1350,$B$5:$B$2001,$B1350,$A$5:$A$2001,"&lt;"&amp;$A1350))),""))</f>
        <v/>
      </c>
      <c r="L1350" s="14">
        <f>IF(OR('Data Entry'!A1350="",$K1350=""),"",$H1350-$K1350)</f>
        <v/>
      </c>
      <c r="M1350" s="15">
        <f>IF(OR('Data Entry'!A1350="",$K1350="",$K1350=0),"",$L1350/$K1350)</f>
        <v/>
      </c>
      <c r="N1350" s="12">
        <f>IF('Data Entry'!A1350="","",IF($L1350="","New item",IF($L1350&gt;0,"UP",IF($L1350&lt;0,"down","same"))))</f>
        <v/>
      </c>
    </row>
    <row r="1351">
      <c r="A1351" s="11">
        <f>IF('Data Entry'!A1351="","",'Data Entry'!A1351)</f>
        <v/>
      </c>
      <c r="B1351" s="12">
        <f>IF('Data Entry'!A1351="","",'Data Entry'!B1351)</f>
        <v/>
      </c>
      <c r="C1351" s="12">
        <f>IF('Data Entry'!A1351="","",'Data Entry'!C1351)</f>
        <v/>
      </c>
      <c r="D1351" s="12">
        <f>IF('Data Entry'!A1351="","",'Data Entry'!D1351)</f>
        <v/>
      </c>
      <c r="E1351" s="12">
        <f>IF('Data Entry'!A1351="","",'Data Entry'!E1351)</f>
        <v/>
      </c>
      <c r="F1351" s="12">
        <f>IF('Data Entry'!A1351="","",'Data Entry'!F1351)</f>
        <v/>
      </c>
      <c r="G1351" s="13">
        <f>IF('Data Entry'!A1351="","",'Data Entry'!G1351)</f>
        <v/>
      </c>
      <c r="H1351" s="10">
        <f>IF('Data Entry'!A1351="","",'Data Entry'!H1351)</f>
        <v/>
      </c>
      <c r="I1351" s="10">
        <f>IF('Data Entry'!A1351="","",'Data Entry'!I1351)</f>
        <v/>
      </c>
      <c r="J1351" s="12">
        <f>IF('Data Entry'!A1351="","",IF('Data Entry'!D1351&lt;&gt;"",'Data Entry'!D1351,'Data Entry'!E1351))</f>
        <v/>
      </c>
      <c r="K1351" s="10">
        <f>IF('Data Entry'!A1351="","",IFERROR(SUMIFS($H$5:$H$2001,$J$5:$J$2001,$J1351,$B$5:$B$2001,$B1351,$A$5:$A$2001,(MAXIFS($A$5:$A$2001,$J$5:$J$2001,$J1351,$B$5:$B$2001,$B1351,$A$5:$A$2001,"&lt;"&amp;$A1351))),""))</f>
        <v/>
      </c>
      <c r="L1351" s="14">
        <f>IF(OR('Data Entry'!A1351="",$K1351=""),"",$H1351-$K1351)</f>
        <v/>
      </c>
      <c r="M1351" s="15">
        <f>IF(OR('Data Entry'!A1351="",$K1351="",$K1351=0),"",$L1351/$K1351)</f>
        <v/>
      </c>
      <c r="N1351" s="12">
        <f>IF('Data Entry'!A1351="","",IF($L1351="","New item",IF($L1351&gt;0,"UP",IF($L1351&lt;0,"down","same"))))</f>
        <v/>
      </c>
    </row>
    <row r="1352">
      <c r="A1352" s="11">
        <f>IF('Data Entry'!A1352="","",'Data Entry'!A1352)</f>
        <v/>
      </c>
      <c r="B1352" s="12">
        <f>IF('Data Entry'!A1352="","",'Data Entry'!B1352)</f>
        <v/>
      </c>
      <c r="C1352" s="12">
        <f>IF('Data Entry'!A1352="","",'Data Entry'!C1352)</f>
        <v/>
      </c>
      <c r="D1352" s="12">
        <f>IF('Data Entry'!A1352="","",'Data Entry'!D1352)</f>
        <v/>
      </c>
      <c r="E1352" s="12">
        <f>IF('Data Entry'!A1352="","",'Data Entry'!E1352)</f>
        <v/>
      </c>
      <c r="F1352" s="12">
        <f>IF('Data Entry'!A1352="","",'Data Entry'!F1352)</f>
        <v/>
      </c>
      <c r="G1352" s="13">
        <f>IF('Data Entry'!A1352="","",'Data Entry'!G1352)</f>
        <v/>
      </c>
      <c r="H1352" s="10">
        <f>IF('Data Entry'!A1352="","",'Data Entry'!H1352)</f>
        <v/>
      </c>
      <c r="I1352" s="10">
        <f>IF('Data Entry'!A1352="","",'Data Entry'!I1352)</f>
        <v/>
      </c>
      <c r="J1352" s="12">
        <f>IF('Data Entry'!A1352="","",IF('Data Entry'!D1352&lt;&gt;"",'Data Entry'!D1352,'Data Entry'!E1352))</f>
        <v/>
      </c>
      <c r="K1352" s="10">
        <f>IF('Data Entry'!A1352="","",IFERROR(SUMIFS($H$5:$H$2001,$J$5:$J$2001,$J1352,$B$5:$B$2001,$B1352,$A$5:$A$2001,(MAXIFS($A$5:$A$2001,$J$5:$J$2001,$J1352,$B$5:$B$2001,$B1352,$A$5:$A$2001,"&lt;"&amp;$A1352))),""))</f>
        <v/>
      </c>
      <c r="L1352" s="14">
        <f>IF(OR('Data Entry'!A1352="",$K1352=""),"",$H1352-$K1352)</f>
        <v/>
      </c>
      <c r="M1352" s="15">
        <f>IF(OR('Data Entry'!A1352="",$K1352="",$K1352=0),"",$L1352/$K1352)</f>
        <v/>
      </c>
      <c r="N1352" s="12">
        <f>IF('Data Entry'!A1352="","",IF($L1352="","New item",IF($L1352&gt;0,"UP",IF($L1352&lt;0,"down","same"))))</f>
        <v/>
      </c>
    </row>
    <row r="1353">
      <c r="A1353" s="11">
        <f>IF('Data Entry'!A1353="","",'Data Entry'!A1353)</f>
        <v/>
      </c>
      <c r="B1353" s="12">
        <f>IF('Data Entry'!A1353="","",'Data Entry'!B1353)</f>
        <v/>
      </c>
      <c r="C1353" s="12">
        <f>IF('Data Entry'!A1353="","",'Data Entry'!C1353)</f>
        <v/>
      </c>
      <c r="D1353" s="12">
        <f>IF('Data Entry'!A1353="","",'Data Entry'!D1353)</f>
        <v/>
      </c>
      <c r="E1353" s="12">
        <f>IF('Data Entry'!A1353="","",'Data Entry'!E1353)</f>
        <v/>
      </c>
      <c r="F1353" s="12">
        <f>IF('Data Entry'!A1353="","",'Data Entry'!F1353)</f>
        <v/>
      </c>
      <c r="G1353" s="13">
        <f>IF('Data Entry'!A1353="","",'Data Entry'!G1353)</f>
        <v/>
      </c>
      <c r="H1353" s="10">
        <f>IF('Data Entry'!A1353="","",'Data Entry'!H1353)</f>
        <v/>
      </c>
      <c r="I1353" s="10">
        <f>IF('Data Entry'!A1353="","",'Data Entry'!I1353)</f>
        <v/>
      </c>
      <c r="J1353" s="12">
        <f>IF('Data Entry'!A1353="","",IF('Data Entry'!D1353&lt;&gt;"",'Data Entry'!D1353,'Data Entry'!E1353))</f>
        <v/>
      </c>
      <c r="K1353" s="10">
        <f>IF('Data Entry'!A1353="","",IFERROR(SUMIFS($H$5:$H$2001,$J$5:$J$2001,$J1353,$B$5:$B$2001,$B1353,$A$5:$A$2001,(MAXIFS($A$5:$A$2001,$J$5:$J$2001,$J1353,$B$5:$B$2001,$B1353,$A$5:$A$2001,"&lt;"&amp;$A1353))),""))</f>
        <v/>
      </c>
      <c r="L1353" s="14">
        <f>IF(OR('Data Entry'!A1353="",$K1353=""),"",$H1353-$K1353)</f>
        <v/>
      </c>
      <c r="M1353" s="15">
        <f>IF(OR('Data Entry'!A1353="",$K1353="",$K1353=0),"",$L1353/$K1353)</f>
        <v/>
      </c>
      <c r="N1353" s="12">
        <f>IF('Data Entry'!A1353="","",IF($L1353="","New item",IF($L1353&gt;0,"UP",IF($L1353&lt;0,"down","same"))))</f>
        <v/>
      </c>
    </row>
    <row r="1354">
      <c r="A1354" s="11">
        <f>IF('Data Entry'!A1354="","",'Data Entry'!A1354)</f>
        <v/>
      </c>
      <c r="B1354" s="12">
        <f>IF('Data Entry'!A1354="","",'Data Entry'!B1354)</f>
        <v/>
      </c>
      <c r="C1354" s="12">
        <f>IF('Data Entry'!A1354="","",'Data Entry'!C1354)</f>
        <v/>
      </c>
      <c r="D1354" s="12">
        <f>IF('Data Entry'!A1354="","",'Data Entry'!D1354)</f>
        <v/>
      </c>
      <c r="E1354" s="12">
        <f>IF('Data Entry'!A1354="","",'Data Entry'!E1354)</f>
        <v/>
      </c>
      <c r="F1354" s="12">
        <f>IF('Data Entry'!A1354="","",'Data Entry'!F1354)</f>
        <v/>
      </c>
      <c r="G1354" s="13">
        <f>IF('Data Entry'!A1354="","",'Data Entry'!G1354)</f>
        <v/>
      </c>
      <c r="H1354" s="10">
        <f>IF('Data Entry'!A1354="","",'Data Entry'!H1354)</f>
        <v/>
      </c>
      <c r="I1354" s="10">
        <f>IF('Data Entry'!A1354="","",'Data Entry'!I1354)</f>
        <v/>
      </c>
      <c r="J1354" s="12">
        <f>IF('Data Entry'!A1354="","",IF('Data Entry'!D1354&lt;&gt;"",'Data Entry'!D1354,'Data Entry'!E1354))</f>
        <v/>
      </c>
      <c r="K1354" s="10">
        <f>IF('Data Entry'!A1354="","",IFERROR(SUMIFS($H$5:$H$2001,$J$5:$J$2001,$J1354,$B$5:$B$2001,$B1354,$A$5:$A$2001,(MAXIFS($A$5:$A$2001,$J$5:$J$2001,$J1354,$B$5:$B$2001,$B1354,$A$5:$A$2001,"&lt;"&amp;$A1354))),""))</f>
        <v/>
      </c>
      <c r="L1354" s="14">
        <f>IF(OR('Data Entry'!A1354="",$K1354=""),"",$H1354-$K1354)</f>
        <v/>
      </c>
      <c r="M1354" s="15">
        <f>IF(OR('Data Entry'!A1354="",$K1354="",$K1354=0),"",$L1354/$K1354)</f>
        <v/>
      </c>
      <c r="N1354" s="12">
        <f>IF('Data Entry'!A1354="","",IF($L1354="","New item",IF($L1354&gt;0,"UP",IF($L1354&lt;0,"down","same"))))</f>
        <v/>
      </c>
    </row>
    <row r="1355">
      <c r="A1355" s="11">
        <f>IF('Data Entry'!A1355="","",'Data Entry'!A1355)</f>
        <v/>
      </c>
      <c r="B1355" s="12">
        <f>IF('Data Entry'!A1355="","",'Data Entry'!B1355)</f>
        <v/>
      </c>
      <c r="C1355" s="12">
        <f>IF('Data Entry'!A1355="","",'Data Entry'!C1355)</f>
        <v/>
      </c>
      <c r="D1355" s="12">
        <f>IF('Data Entry'!A1355="","",'Data Entry'!D1355)</f>
        <v/>
      </c>
      <c r="E1355" s="12">
        <f>IF('Data Entry'!A1355="","",'Data Entry'!E1355)</f>
        <v/>
      </c>
      <c r="F1355" s="12">
        <f>IF('Data Entry'!A1355="","",'Data Entry'!F1355)</f>
        <v/>
      </c>
      <c r="G1355" s="13">
        <f>IF('Data Entry'!A1355="","",'Data Entry'!G1355)</f>
        <v/>
      </c>
      <c r="H1355" s="10">
        <f>IF('Data Entry'!A1355="","",'Data Entry'!H1355)</f>
        <v/>
      </c>
      <c r="I1355" s="10">
        <f>IF('Data Entry'!A1355="","",'Data Entry'!I1355)</f>
        <v/>
      </c>
      <c r="J1355" s="12">
        <f>IF('Data Entry'!A1355="","",IF('Data Entry'!D1355&lt;&gt;"",'Data Entry'!D1355,'Data Entry'!E1355))</f>
        <v/>
      </c>
      <c r="K1355" s="10">
        <f>IF('Data Entry'!A1355="","",IFERROR(SUMIFS($H$5:$H$2001,$J$5:$J$2001,$J1355,$B$5:$B$2001,$B1355,$A$5:$A$2001,(MAXIFS($A$5:$A$2001,$J$5:$J$2001,$J1355,$B$5:$B$2001,$B1355,$A$5:$A$2001,"&lt;"&amp;$A1355))),""))</f>
        <v/>
      </c>
      <c r="L1355" s="14">
        <f>IF(OR('Data Entry'!A1355="",$K1355=""),"",$H1355-$K1355)</f>
        <v/>
      </c>
      <c r="M1355" s="15">
        <f>IF(OR('Data Entry'!A1355="",$K1355="",$K1355=0),"",$L1355/$K1355)</f>
        <v/>
      </c>
      <c r="N1355" s="12">
        <f>IF('Data Entry'!A1355="","",IF($L1355="","New item",IF($L1355&gt;0,"UP",IF($L1355&lt;0,"down","same"))))</f>
        <v/>
      </c>
    </row>
    <row r="1356">
      <c r="A1356" s="11">
        <f>IF('Data Entry'!A1356="","",'Data Entry'!A1356)</f>
        <v/>
      </c>
      <c r="B1356" s="12">
        <f>IF('Data Entry'!A1356="","",'Data Entry'!B1356)</f>
        <v/>
      </c>
      <c r="C1356" s="12">
        <f>IF('Data Entry'!A1356="","",'Data Entry'!C1356)</f>
        <v/>
      </c>
      <c r="D1356" s="12">
        <f>IF('Data Entry'!A1356="","",'Data Entry'!D1356)</f>
        <v/>
      </c>
      <c r="E1356" s="12">
        <f>IF('Data Entry'!A1356="","",'Data Entry'!E1356)</f>
        <v/>
      </c>
      <c r="F1356" s="12">
        <f>IF('Data Entry'!A1356="","",'Data Entry'!F1356)</f>
        <v/>
      </c>
      <c r="G1356" s="13">
        <f>IF('Data Entry'!A1356="","",'Data Entry'!G1356)</f>
        <v/>
      </c>
      <c r="H1356" s="10">
        <f>IF('Data Entry'!A1356="","",'Data Entry'!H1356)</f>
        <v/>
      </c>
      <c r="I1356" s="10">
        <f>IF('Data Entry'!A1356="","",'Data Entry'!I1356)</f>
        <v/>
      </c>
      <c r="J1356" s="12">
        <f>IF('Data Entry'!A1356="","",IF('Data Entry'!D1356&lt;&gt;"",'Data Entry'!D1356,'Data Entry'!E1356))</f>
        <v/>
      </c>
      <c r="K1356" s="10">
        <f>IF('Data Entry'!A1356="","",IFERROR(SUMIFS($H$5:$H$2001,$J$5:$J$2001,$J1356,$B$5:$B$2001,$B1356,$A$5:$A$2001,(MAXIFS($A$5:$A$2001,$J$5:$J$2001,$J1356,$B$5:$B$2001,$B1356,$A$5:$A$2001,"&lt;"&amp;$A1356))),""))</f>
        <v/>
      </c>
      <c r="L1356" s="14">
        <f>IF(OR('Data Entry'!A1356="",$K1356=""),"",$H1356-$K1356)</f>
        <v/>
      </c>
      <c r="M1356" s="15">
        <f>IF(OR('Data Entry'!A1356="",$K1356="",$K1356=0),"",$L1356/$K1356)</f>
        <v/>
      </c>
      <c r="N1356" s="12">
        <f>IF('Data Entry'!A1356="","",IF($L1356="","New item",IF($L1356&gt;0,"UP",IF($L1356&lt;0,"down","same"))))</f>
        <v/>
      </c>
    </row>
    <row r="1357">
      <c r="A1357" s="11">
        <f>IF('Data Entry'!A1357="","",'Data Entry'!A1357)</f>
        <v/>
      </c>
      <c r="B1357" s="12">
        <f>IF('Data Entry'!A1357="","",'Data Entry'!B1357)</f>
        <v/>
      </c>
      <c r="C1357" s="12">
        <f>IF('Data Entry'!A1357="","",'Data Entry'!C1357)</f>
        <v/>
      </c>
      <c r="D1357" s="12">
        <f>IF('Data Entry'!A1357="","",'Data Entry'!D1357)</f>
        <v/>
      </c>
      <c r="E1357" s="12">
        <f>IF('Data Entry'!A1357="","",'Data Entry'!E1357)</f>
        <v/>
      </c>
      <c r="F1357" s="12">
        <f>IF('Data Entry'!A1357="","",'Data Entry'!F1357)</f>
        <v/>
      </c>
      <c r="G1357" s="13">
        <f>IF('Data Entry'!A1357="","",'Data Entry'!G1357)</f>
        <v/>
      </c>
      <c r="H1357" s="10">
        <f>IF('Data Entry'!A1357="","",'Data Entry'!H1357)</f>
        <v/>
      </c>
      <c r="I1357" s="10">
        <f>IF('Data Entry'!A1357="","",'Data Entry'!I1357)</f>
        <v/>
      </c>
      <c r="J1357" s="12">
        <f>IF('Data Entry'!A1357="","",IF('Data Entry'!D1357&lt;&gt;"",'Data Entry'!D1357,'Data Entry'!E1357))</f>
        <v/>
      </c>
      <c r="K1357" s="10">
        <f>IF('Data Entry'!A1357="","",IFERROR(SUMIFS($H$5:$H$2001,$J$5:$J$2001,$J1357,$B$5:$B$2001,$B1357,$A$5:$A$2001,(MAXIFS($A$5:$A$2001,$J$5:$J$2001,$J1357,$B$5:$B$2001,$B1357,$A$5:$A$2001,"&lt;"&amp;$A1357))),""))</f>
        <v/>
      </c>
      <c r="L1357" s="14">
        <f>IF(OR('Data Entry'!A1357="",$K1357=""),"",$H1357-$K1357)</f>
        <v/>
      </c>
      <c r="M1357" s="15">
        <f>IF(OR('Data Entry'!A1357="",$K1357="",$K1357=0),"",$L1357/$K1357)</f>
        <v/>
      </c>
      <c r="N1357" s="12">
        <f>IF('Data Entry'!A1357="","",IF($L1357="","New item",IF($L1357&gt;0,"UP",IF($L1357&lt;0,"down","same"))))</f>
        <v/>
      </c>
    </row>
    <row r="1358">
      <c r="A1358" s="11">
        <f>IF('Data Entry'!A1358="","",'Data Entry'!A1358)</f>
        <v/>
      </c>
      <c r="B1358" s="12">
        <f>IF('Data Entry'!A1358="","",'Data Entry'!B1358)</f>
        <v/>
      </c>
      <c r="C1358" s="12">
        <f>IF('Data Entry'!A1358="","",'Data Entry'!C1358)</f>
        <v/>
      </c>
      <c r="D1358" s="12">
        <f>IF('Data Entry'!A1358="","",'Data Entry'!D1358)</f>
        <v/>
      </c>
      <c r="E1358" s="12">
        <f>IF('Data Entry'!A1358="","",'Data Entry'!E1358)</f>
        <v/>
      </c>
      <c r="F1358" s="12">
        <f>IF('Data Entry'!A1358="","",'Data Entry'!F1358)</f>
        <v/>
      </c>
      <c r="G1358" s="13">
        <f>IF('Data Entry'!A1358="","",'Data Entry'!G1358)</f>
        <v/>
      </c>
      <c r="H1358" s="10">
        <f>IF('Data Entry'!A1358="","",'Data Entry'!H1358)</f>
        <v/>
      </c>
      <c r="I1358" s="10">
        <f>IF('Data Entry'!A1358="","",'Data Entry'!I1358)</f>
        <v/>
      </c>
      <c r="J1358" s="12">
        <f>IF('Data Entry'!A1358="","",IF('Data Entry'!D1358&lt;&gt;"",'Data Entry'!D1358,'Data Entry'!E1358))</f>
        <v/>
      </c>
      <c r="K1358" s="10">
        <f>IF('Data Entry'!A1358="","",IFERROR(SUMIFS($H$5:$H$2001,$J$5:$J$2001,$J1358,$B$5:$B$2001,$B1358,$A$5:$A$2001,(MAXIFS($A$5:$A$2001,$J$5:$J$2001,$J1358,$B$5:$B$2001,$B1358,$A$5:$A$2001,"&lt;"&amp;$A1358))),""))</f>
        <v/>
      </c>
      <c r="L1358" s="14">
        <f>IF(OR('Data Entry'!A1358="",$K1358=""),"",$H1358-$K1358)</f>
        <v/>
      </c>
      <c r="M1358" s="15">
        <f>IF(OR('Data Entry'!A1358="",$K1358="",$K1358=0),"",$L1358/$K1358)</f>
        <v/>
      </c>
      <c r="N1358" s="12">
        <f>IF('Data Entry'!A1358="","",IF($L1358="","New item",IF($L1358&gt;0,"UP",IF($L1358&lt;0,"down","same"))))</f>
        <v/>
      </c>
    </row>
    <row r="1359">
      <c r="A1359" s="11">
        <f>IF('Data Entry'!A1359="","",'Data Entry'!A1359)</f>
        <v/>
      </c>
      <c r="B1359" s="12">
        <f>IF('Data Entry'!A1359="","",'Data Entry'!B1359)</f>
        <v/>
      </c>
      <c r="C1359" s="12">
        <f>IF('Data Entry'!A1359="","",'Data Entry'!C1359)</f>
        <v/>
      </c>
      <c r="D1359" s="12">
        <f>IF('Data Entry'!A1359="","",'Data Entry'!D1359)</f>
        <v/>
      </c>
      <c r="E1359" s="12">
        <f>IF('Data Entry'!A1359="","",'Data Entry'!E1359)</f>
        <v/>
      </c>
      <c r="F1359" s="12">
        <f>IF('Data Entry'!A1359="","",'Data Entry'!F1359)</f>
        <v/>
      </c>
      <c r="G1359" s="13">
        <f>IF('Data Entry'!A1359="","",'Data Entry'!G1359)</f>
        <v/>
      </c>
      <c r="H1359" s="10">
        <f>IF('Data Entry'!A1359="","",'Data Entry'!H1359)</f>
        <v/>
      </c>
      <c r="I1359" s="10">
        <f>IF('Data Entry'!A1359="","",'Data Entry'!I1359)</f>
        <v/>
      </c>
      <c r="J1359" s="12">
        <f>IF('Data Entry'!A1359="","",IF('Data Entry'!D1359&lt;&gt;"",'Data Entry'!D1359,'Data Entry'!E1359))</f>
        <v/>
      </c>
      <c r="K1359" s="10">
        <f>IF('Data Entry'!A1359="","",IFERROR(SUMIFS($H$5:$H$2001,$J$5:$J$2001,$J1359,$B$5:$B$2001,$B1359,$A$5:$A$2001,(MAXIFS($A$5:$A$2001,$J$5:$J$2001,$J1359,$B$5:$B$2001,$B1359,$A$5:$A$2001,"&lt;"&amp;$A1359))),""))</f>
        <v/>
      </c>
      <c r="L1359" s="14">
        <f>IF(OR('Data Entry'!A1359="",$K1359=""),"",$H1359-$K1359)</f>
        <v/>
      </c>
      <c r="M1359" s="15">
        <f>IF(OR('Data Entry'!A1359="",$K1359="",$K1359=0),"",$L1359/$K1359)</f>
        <v/>
      </c>
      <c r="N1359" s="12">
        <f>IF('Data Entry'!A1359="","",IF($L1359="","New item",IF($L1359&gt;0,"UP",IF($L1359&lt;0,"down","same"))))</f>
        <v/>
      </c>
    </row>
    <row r="1360">
      <c r="A1360" s="11">
        <f>IF('Data Entry'!A1360="","",'Data Entry'!A1360)</f>
        <v/>
      </c>
      <c r="B1360" s="12">
        <f>IF('Data Entry'!A1360="","",'Data Entry'!B1360)</f>
        <v/>
      </c>
      <c r="C1360" s="12">
        <f>IF('Data Entry'!A1360="","",'Data Entry'!C1360)</f>
        <v/>
      </c>
      <c r="D1360" s="12">
        <f>IF('Data Entry'!A1360="","",'Data Entry'!D1360)</f>
        <v/>
      </c>
      <c r="E1360" s="12">
        <f>IF('Data Entry'!A1360="","",'Data Entry'!E1360)</f>
        <v/>
      </c>
      <c r="F1360" s="12">
        <f>IF('Data Entry'!A1360="","",'Data Entry'!F1360)</f>
        <v/>
      </c>
      <c r="G1360" s="13">
        <f>IF('Data Entry'!A1360="","",'Data Entry'!G1360)</f>
        <v/>
      </c>
      <c r="H1360" s="10">
        <f>IF('Data Entry'!A1360="","",'Data Entry'!H1360)</f>
        <v/>
      </c>
      <c r="I1360" s="10">
        <f>IF('Data Entry'!A1360="","",'Data Entry'!I1360)</f>
        <v/>
      </c>
      <c r="J1360" s="12">
        <f>IF('Data Entry'!A1360="","",IF('Data Entry'!D1360&lt;&gt;"",'Data Entry'!D1360,'Data Entry'!E1360))</f>
        <v/>
      </c>
      <c r="K1360" s="10">
        <f>IF('Data Entry'!A1360="","",IFERROR(SUMIFS($H$5:$H$2001,$J$5:$J$2001,$J1360,$B$5:$B$2001,$B1360,$A$5:$A$2001,(MAXIFS($A$5:$A$2001,$J$5:$J$2001,$J1360,$B$5:$B$2001,$B1360,$A$5:$A$2001,"&lt;"&amp;$A1360))),""))</f>
        <v/>
      </c>
      <c r="L1360" s="14">
        <f>IF(OR('Data Entry'!A1360="",$K1360=""),"",$H1360-$K1360)</f>
        <v/>
      </c>
      <c r="M1360" s="15">
        <f>IF(OR('Data Entry'!A1360="",$K1360="",$K1360=0),"",$L1360/$K1360)</f>
        <v/>
      </c>
      <c r="N1360" s="12">
        <f>IF('Data Entry'!A1360="","",IF($L1360="","New item",IF($L1360&gt;0,"UP",IF($L1360&lt;0,"down","same"))))</f>
        <v/>
      </c>
    </row>
    <row r="1361">
      <c r="A1361" s="11">
        <f>IF('Data Entry'!A1361="","",'Data Entry'!A1361)</f>
        <v/>
      </c>
      <c r="B1361" s="12">
        <f>IF('Data Entry'!A1361="","",'Data Entry'!B1361)</f>
        <v/>
      </c>
      <c r="C1361" s="12">
        <f>IF('Data Entry'!A1361="","",'Data Entry'!C1361)</f>
        <v/>
      </c>
      <c r="D1361" s="12">
        <f>IF('Data Entry'!A1361="","",'Data Entry'!D1361)</f>
        <v/>
      </c>
      <c r="E1361" s="12">
        <f>IF('Data Entry'!A1361="","",'Data Entry'!E1361)</f>
        <v/>
      </c>
      <c r="F1361" s="12">
        <f>IF('Data Entry'!A1361="","",'Data Entry'!F1361)</f>
        <v/>
      </c>
      <c r="G1361" s="13">
        <f>IF('Data Entry'!A1361="","",'Data Entry'!G1361)</f>
        <v/>
      </c>
      <c r="H1361" s="10">
        <f>IF('Data Entry'!A1361="","",'Data Entry'!H1361)</f>
        <v/>
      </c>
      <c r="I1361" s="10">
        <f>IF('Data Entry'!A1361="","",'Data Entry'!I1361)</f>
        <v/>
      </c>
      <c r="J1361" s="12">
        <f>IF('Data Entry'!A1361="","",IF('Data Entry'!D1361&lt;&gt;"",'Data Entry'!D1361,'Data Entry'!E1361))</f>
        <v/>
      </c>
      <c r="K1361" s="10">
        <f>IF('Data Entry'!A1361="","",IFERROR(SUMIFS($H$5:$H$2001,$J$5:$J$2001,$J1361,$B$5:$B$2001,$B1361,$A$5:$A$2001,(MAXIFS($A$5:$A$2001,$J$5:$J$2001,$J1361,$B$5:$B$2001,$B1361,$A$5:$A$2001,"&lt;"&amp;$A1361))),""))</f>
        <v/>
      </c>
      <c r="L1361" s="14">
        <f>IF(OR('Data Entry'!A1361="",$K1361=""),"",$H1361-$K1361)</f>
        <v/>
      </c>
      <c r="M1361" s="15">
        <f>IF(OR('Data Entry'!A1361="",$K1361="",$K1361=0),"",$L1361/$K1361)</f>
        <v/>
      </c>
      <c r="N1361" s="12">
        <f>IF('Data Entry'!A1361="","",IF($L1361="","New item",IF($L1361&gt;0,"UP",IF($L1361&lt;0,"down","same"))))</f>
        <v/>
      </c>
    </row>
    <row r="1362">
      <c r="A1362" s="11">
        <f>IF('Data Entry'!A1362="","",'Data Entry'!A1362)</f>
        <v/>
      </c>
      <c r="B1362" s="12">
        <f>IF('Data Entry'!A1362="","",'Data Entry'!B1362)</f>
        <v/>
      </c>
      <c r="C1362" s="12">
        <f>IF('Data Entry'!A1362="","",'Data Entry'!C1362)</f>
        <v/>
      </c>
      <c r="D1362" s="12">
        <f>IF('Data Entry'!A1362="","",'Data Entry'!D1362)</f>
        <v/>
      </c>
      <c r="E1362" s="12">
        <f>IF('Data Entry'!A1362="","",'Data Entry'!E1362)</f>
        <v/>
      </c>
      <c r="F1362" s="12">
        <f>IF('Data Entry'!A1362="","",'Data Entry'!F1362)</f>
        <v/>
      </c>
      <c r="G1362" s="13">
        <f>IF('Data Entry'!A1362="","",'Data Entry'!G1362)</f>
        <v/>
      </c>
      <c r="H1362" s="10">
        <f>IF('Data Entry'!A1362="","",'Data Entry'!H1362)</f>
        <v/>
      </c>
      <c r="I1362" s="10">
        <f>IF('Data Entry'!A1362="","",'Data Entry'!I1362)</f>
        <v/>
      </c>
      <c r="J1362" s="12">
        <f>IF('Data Entry'!A1362="","",IF('Data Entry'!D1362&lt;&gt;"",'Data Entry'!D1362,'Data Entry'!E1362))</f>
        <v/>
      </c>
      <c r="K1362" s="10">
        <f>IF('Data Entry'!A1362="","",IFERROR(SUMIFS($H$5:$H$2001,$J$5:$J$2001,$J1362,$B$5:$B$2001,$B1362,$A$5:$A$2001,(MAXIFS($A$5:$A$2001,$J$5:$J$2001,$J1362,$B$5:$B$2001,$B1362,$A$5:$A$2001,"&lt;"&amp;$A1362))),""))</f>
        <v/>
      </c>
      <c r="L1362" s="14">
        <f>IF(OR('Data Entry'!A1362="",$K1362=""),"",$H1362-$K1362)</f>
        <v/>
      </c>
      <c r="M1362" s="15">
        <f>IF(OR('Data Entry'!A1362="",$K1362="",$K1362=0),"",$L1362/$K1362)</f>
        <v/>
      </c>
      <c r="N1362" s="12">
        <f>IF('Data Entry'!A1362="","",IF($L1362="","New item",IF($L1362&gt;0,"UP",IF($L1362&lt;0,"down","same"))))</f>
        <v/>
      </c>
    </row>
    <row r="1363">
      <c r="A1363" s="11">
        <f>IF('Data Entry'!A1363="","",'Data Entry'!A1363)</f>
        <v/>
      </c>
      <c r="B1363" s="12">
        <f>IF('Data Entry'!A1363="","",'Data Entry'!B1363)</f>
        <v/>
      </c>
      <c r="C1363" s="12">
        <f>IF('Data Entry'!A1363="","",'Data Entry'!C1363)</f>
        <v/>
      </c>
      <c r="D1363" s="12">
        <f>IF('Data Entry'!A1363="","",'Data Entry'!D1363)</f>
        <v/>
      </c>
      <c r="E1363" s="12">
        <f>IF('Data Entry'!A1363="","",'Data Entry'!E1363)</f>
        <v/>
      </c>
      <c r="F1363" s="12">
        <f>IF('Data Entry'!A1363="","",'Data Entry'!F1363)</f>
        <v/>
      </c>
      <c r="G1363" s="13">
        <f>IF('Data Entry'!A1363="","",'Data Entry'!G1363)</f>
        <v/>
      </c>
      <c r="H1363" s="10">
        <f>IF('Data Entry'!A1363="","",'Data Entry'!H1363)</f>
        <v/>
      </c>
      <c r="I1363" s="10">
        <f>IF('Data Entry'!A1363="","",'Data Entry'!I1363)</f>
        <v/>
      </c>
      <c r="J1363" s="12">
        <f>IF('Data Entry'!A1363="","",IF('Data Entry'!D1363&lt;&gt;"",'Data Entry'!D1363,'Data Entry'!E1363))</f>
        <v/>
      </c>
      <c r="K1363" s="10">
        <f>IF('Data Entry'!A1363="","",IFERROR(SUMIFS($H$5:$H$2001,$J$5:$J$2001,$J1363,$B$5:$B$2001,$B1363,$A$5:$A$2001,(MAXIFS($A$5:$A$2001,$J$5:$J$2001,$J1363,$B$5:$B$2001,$B1363,$A$5:$A$2001,"&lt;"&amp;$A1363))),""))</f>
        <v/>
      </c>
      <c r="L1363" s="14">
        <f>IF(OR('Data Entry'!A1363="",$K1363=""),"",$H1363-$K1363)</f>
        <v/>
      </c>
      <c r="M1363" s="15">
        <f>IF(OR('Data Entry'!A1363="",$K1363="",$K1363=0),"",$L1363/$K1363)</f>
        <v/>
      </c>
      <c r="N1363" s="12">
        <f>IF('Data Entry'!A1363="","",IF($L1363="","New item",IF($L1363&gt;0,"UP",IF($L1363&lt;0,"down","same"))))</f>
        <v/>
      </c>
    </row>
    <row r="1364">
      <c r="A1364" s="11">
        <f>IF('Data Entry'!A1364="","",'Data Entry'!A1364)</f>
        <v/>
      </c>
      <c r="B1364" s="12">
        <f>IF('Data Entry'!A1364="","",'Data Entry'!B1364)</f>
        <v/>
      </c>
      <c r="C1364" s="12">
        <f>IF('Data Entry'!A1364="","",'Data Entry'!C1364)</f>
        <v/>
      </c>
      <c r="D1364" s="12">
        <f>IF('Data Entry'!A1364="","",'Data Entry'!D1364)</f>
        <v/>
      </c>
      <c r="E1364" s="12">
        <f>IF('Data Entry'!A1364="","",'Data Entry'!E1364)</f>
        <v/>
      </c>
      <c r="F1364" s="12">
        <f>IF('Data Entry'!A1364="","",'Data Entry'!F1364)</f>
        <v/>
      </c>
      <c r="G1364" s="13">
        <f>IF('Data Entry'!A1364="","",'Data Entry'!G1364)</f>
        <v/>
      </c>
      <c r="H1364" s="10">
        <f>IF('Data Entry'!A1364="","",'Data Entry'!H1364)</f>
        <v/>
      </c>
      <c r="I1364" s="10">
        <f>IF('Data Entry'!A1364="","",'Data Entry'!I1364)</f>
        <v/>
      </c>
      <c r="J1364" s="12">
        <f>IF('Data Entry'!A1364="","",IF('Data Entry'!D1364&lt;&gt;"",'Data Entry'!D1364,'Data Entry'!E1364))</f>
        <v/>
      </c>
      <c r="K1364" s="10">
        <f>IF('Data Entry'!A1364="","",IFERROR(SUMIFS($H$5:$H$2001,$J$5:$J$2001,$J1364,$B$5:$B$2001,$B1364,$A$5:$A$2001,(MAXIFS($A$5:$A$2001,$J$5:$J$2001,$J1364,$B$5:$B$2001,$B1364,$A$5:$A$2001,"&lt;"&amp;$A1364))),""))</f>
        <v/>
      </c>
      <c r="L1364" s="14">
        <f>IF(OR('Data Entry'!A1364="",$K1364=""),"",$H1364-$K1364)</f>
        <v/>
      </c>
      <c r="M1364" s="15">
        <f>IF(OR('Data Entry'!A1364="",$K1364="",$K1364=0),"",$L1364/$K1364)</f>
        <v/>
      </c>
      <c r="N1364" s="12">
        <f>IF('Data Entry'!A1364="","",IF($L1364="","New item",IF($L1364&gt;0,"UP",IF($L1364&lt;0,"down","same"))))</f>
        <v/>
      </c>
    </row>
    <row r="1365">
      <c r="A1365" s="11">
        <f>IF('Data Entry'!A1365="","",'Data Entry'!A1365)</f>
        <v/>
      </c>
      <c r="B1365" s="12">
        <f>IF('Data Entry'!A1365="","",'Data Entry'!B1365)</f>
        <v/>
      </c>
      <c r="C1365" s="12">
        <f>IF('Data Entry'!A1365="","",'Data Entry'!C1365)</f>
        <v/>
      </c>
      <c r="D1365" s="12">
        <f>IF('Data Entry'!A1365="","",'Data Entry'!D1365)</f>
        <v/>
      </c>
      <c r="E1365" s="12">
        <f>IF('Data Entry'!A1365="","",'Data Entry'!E1365)</f>
        <v/>
      </c>
      <c r="F1365" s="12">
        <f>IF('Data Entry'!A1365="","",'Data Entry'!F1365)</f>
        <v/>
      </c>
      <c r="G1365" s="13">
        <f>IF('Data Entry'!A1365="","",'Data Entry'!G1365)</f>
        <v/>
      </c>
      <c r="H1365" s="10">
        <f>IF('Data Entry'!A1365="","",'Data Entry'!H1365)</f>
        <v/>
      </c>
      <c r="I1365" s="10">
        <f>IF('Data Entry'!A1365="","",'Data Entry'!I1365)</f>
        <v/>
      </c>
      <c r="J1365" s="12">
        <f>IF('Data Entry'!A1365="","",IF('Data Entry'!D1365&lt;&gt;"",'Data Entry'!D1365,'Data Entry'!E1365))</f>
        <v/>
      </c>
      <c r="K1365" s="10">
        <f>IF('Data Entry'!A1365="","",IFERROR(SUMIFS($H$5:$H$2001,$J$5:$J$2001,$J1365,$B$5:$B$2001,$B1365,$A$5:$A$2001,(MAXIFS($A$5:$A$2001,$J$5:$J$2001,$J1365,$B$5:$B$2001,$B1365,$A$5:$A$2001,"&lt;"&amp;$A1365))),""))</f>
        <v/>
      </c>
      <c r="L1365" s="14">
        <f>IF(OR('Data Entry'!A1365="",$K1365=""),"",$H1365-$K1365)</f>
        <v/>
      </c>
      <c r="M1365" s="15">
        <f>IF(OR('Data Entry'!A1365="",$K1365="",$K1365=0),"",$L1365/$K1365)</f>
        <v/>
      </c>
      <c r="N1365" s="12">
        <f>IF('Data Entry'!A1365="","",IF($L1365="","New item",IF($L1365&gt;0,"UP",IF($L1365&lt;0,"down","same"))))</f>
        <v/>
      </c>
    </row>
    <row r="1366">
      <c r="A1366" s="11">
        <f>IF('Data Entry'!A1366="","",'Data Entry'!A1366)</f>
        <v/>
      </c>
      <c r="B1366" s="12">
        <f>IF('Data Entry'!A1366="","",'Data Entry'!B1366)</f>
        <v/>
      </c>
      <c r="C1366" s="12">
        <f>IF('Data Entry'!A1366="","",'Data Entry'!C1366)</f>
        <v/>
      </c>
      <c r="D1366" s="12">
        <f>IF('Data Entry'!A1366="","",'Data Entry'!D1366)</f>
        <v/>
      </c>
      <c r="E1366" s="12">
        <f>IF('Data Entry'!A1366="","",'Data Entry'!E1366)</f>
        <v/>
      </c>
      <c r="F1366" s="12">
        <f>IF('Data Entry'!A1366="","",'Data Entry'!F1366)</f>
        <v/>
      </c>
      <c r="G1366" s="13">
        <f>IF('Data Entry'!A1366="","",'Data Entry'!G1366)</f>
        <v/>
      </c>
      <c r="H1366" s="10">
        <f>IF('Data Entry'!A1366="","",'Data Entry'!H1366)</f>
        <v/>
      </c>
      <c r="I1366" s="10">
        <f>IF('Data Entry'!A1366="","",'Data Entry'!I1366)</f>
        <v/>
      </c>
      <c r="J1366" s="12">
        <f>IF('Data Entry'!A1366="","",IF('Data Entry'!D1366&lt;&gt;"",'Data Entry'!D1366,'Data Entry'!E1366))</f>
        <v/>
      </c>
      <c r="K1366" s="10">
        <f>IF('Data Entry'!A1366="","",IFERROR(SUMIFS($H$5:$H$2001,$J$5:$J$2001,$J1366,$B$5:$B$2001,$B1366,$A$5:$A$2001,(MAXIFS($A$5:$A$2001,$J$5:$J$2001,$J1366,$B$5:$B$2001,$B1366,$A$5:$A$2001,"&lt;"&amp;$A1366))),""))</f>
        <v/>
      </c>
      <c r="L1366" s="14">
        <f>IF(OR('Data Entry'!A1366="",$K1366=""),"",$H1366-$K1366)</f>
        <v/>
      </c>
      <c r="M1366" s="15">
        <f>IF(OR('Data Entry'!A1366="",$K1366="",$K1366=0),"",$L1366/$K1366)</f>
        <v/>
      </c>
      <c r="N1366" s="12">
        <f>IF('Data Entry'!A1366="","",IF($L1366="","New item",IF($L1366&gt;0,"UP",IF($L1366&lt;0,"down","same"))))</f>
        <v/>
      </c>
    </row>
    <row r="1367">
      <c r="A1367" s="11">
        <f>IF('Data Entry'!A1367="","",'Data Entry'!A1367)</f>
        <v/>
      </c>
      <c r="B1367" s="12">
        <f>IF('Data Entry'!A1367="","",'Data Entry'!B1367)</f>
        <v/>
      </c>
      <c r="C1367" s="12">
        <f>IF('Data Entry'!A1367="","",'Data Entry'!C1367)</f>
        <v/>
      </c>
      <c r="D1367" s="12">
        <f>IF('Data Entry'!A1367="","",'Data Entry'!D1367)</f>
        <v/>
      </c>
      <c r="E1367" s="12">
        <f>IF('Data Entry'!A1367="","",'Data Entry'!E1367)</f>
        <v/>
      </c>
      <c r="F1367" s="12">
        <f>IF('Data Entry'!A1367="","",'Data Entry'!F1367)</f>
        <v/>
      </c>
      <c r="G1367" s="13">
        <f>IF('Data Entry'!A1367="","",'Data Entry'!G1367)</f>
        <v/>
      </c>
      <c r="H1367" s="10">
        <f>IF('Data Entry'!A1367="","",'Data Entry'!H1367)</f>
        <v/>
      </c>
      <c r="I1367" s="10">
        <f>IF('Data Entry'!A1367="","",'Data Entry'!I1367)</f>
        <v/>
      </c>
      <c r="J1367" s="12">
        <f>IF('Data Entry'!A1367="","",IF('Data Entry'!D1367&lt;&gt;"",'Data Entry'!D1367,'Data Entry'!E1367))</f>
        <v/>
      </c>
      <c r="K1367" s="10">
        <f>IF('Data Entry'!A1367="","",IFERROR(SUMIFS($H$5:$H$2001,$J$5:$J$2001,$J1367,$B$5:$B$2001,$B1367,$A$5:$A$2001,(MAXIFS($A$5:$A$2001,$J$5:$J$2001,$J1367,$B$5:$B$2001,$B1367,$A$5:$A$2001,"&lt;"&amp;$A1367))),""))</f>
        <v/>
      </c>
      <c r="L1367" s="14">
        <f>IF(OR('Data Entry'!A1367="",$K1367=""),"",$H1367-$K1367)</f>
        <v/>
      </c>
      <c r="M1367" s="15">
        <f>IF(OR('Data Entry'!A1367="",$K1367="",$K1367=0),"",$L1367/$K1367)</f>
        <v/>
      </c>
      <c r="N1367" s="12">
        <f>IF('Data Entry'!A1367="","",IF($L1367="","New item",IF($L1367&gt;0,"UP",IF($L1367&lt;0,"down","same"))))</f>
        <v/>
      </c>
    </row>
    <row r="1368">
      <c r="A1368" s="11">
        <f>IF('Data Entry'!A1368="","",'Data Entry'!A1368)</f>
        <v/>
      </c>
      <c r="B1368" s="12">
        <f>IF('Data Entry'!A1368="","",'Data Entry'!B1368)</f>
        <v/>
      </c>
      <c r="C1368" s="12">
        <f>IF('Data Entry'!A1368="","",'Data Entry'!C1368)</f>
        <v/>
      </c>
      <c r="D1368" s="12">
        <f>IF('Data Entry'!A1368="","",'Data Entry'!D1368)</f>
        <v/>
      </c>
      <c r="E1368" s="12">
        <f>IF('Data Entry'!A1368="","",'Data Entry'!E1368)</f>
        <v/>
      </c>
      <c r="F1368" s="12">
        <f>IF('Data Entry'!A1368="","",'Data Entry'!F1368)</f>
        <v/>
      </c>
      <c r="G1368" s="13">
        <f>IF('Data Entry'!A1368="","",'Data Entry'!G1368)</f>
        <v/>
      </c>
      <c r="H1368" s="10">
        <f>IF('Data Entry'!A1368="","",'Data Entry'!H1368)</f>
        <v/>
      </c>
      <c r="I1368" s="10">
        <f>IF('Data Entry'!A1368="","",'Data Entry'!I1368)</f>
        <v/>
      </c>
      <c r="J1368" s="12">
        <f>IF('Data Entry'!A1368="","",IF('Data Entry'!D1368&lt;&gt;"",'Data Entry'!D1368,'Data Entry'!E1368))</f>
        <v/>
      </c>
      <c r="K1368" s="10">
        <f>IF('Data Entry'!A1368="","",IFERROR(SUMIFS($H$5:$H$2001,$J$5:$J$2001,$J1368,$B$5:$B$2001,$B1368,$A$5:$A$2001,(MAXIFS($A$5:$A$2001,$J$5:$J$2001,$J1368,$B$5:$B$2001,$B1368,$A$5:$A$2001,"&lt;"&amp;$A1368))),""))</f>
        <v/>
      </c>
      <c r="L1368" s="14">
        <f>IF(OR('Data Entry'!A1368="",$K1368=""),"",$H1368-$K1368)</f>
        <v/>
      </c>
      <c r="M1368" s="15">
        <f>IF(OR('Data Entry'!A1368="",$K1368="",$K1368=0),"",$L1368/$K1368)</f>
        <v/>
      </c>
      <c r="N1368" s="12">
        <f>IF('Data Entry'!A1368="","",IF($L1368="","New item",IF($L1368&gt;0,"UP",IF($L1368&lt;0,"down","same"))))</f>
        <v/>
      </c>
    </row>
    <row r="1369">
      <c r="A1369" s="11">
        <f>IF('Data Entry'!A1369="","",'Data Entry'!A1369)</f>
        <v/>
      </c>
      <c r="B1369" s="12">
        <f>IF('Data Entry'!A1369="","",'Data Entry'!B1369)</f>
        <v/>
      </c>
      <c r="C1369" s="12">
        <f>IF('Data Entry'!A1369="","",'Data Entry'!C1369)</f>
        <v/>
      </c>
      <c r="D1369" s="12">
        <f>IF('Data Entry'!A1369="","",'Data Entry'!D1369)</f>
        <v/>
      </c>
      <c r="E1369" s="12">
        <f>IF('Data Entry'!A1369="","",'Data Entry'!E1369)</f>
        <v/>
      </c>
      <c r="F1369" s="12">
        <f>IF('Data Entry'!A1369="","",'Data Entry'!F1369)</f>
        <v/>
      </c>
      <c r="G1369" s="13">
        <f>IF('Data Entry'!A1369="","",'Data Entry'!G1369)</f>
        <v/>
      </c>
      <c r="H1369" s="10">
        <f>IF('Data Entry'!A1369="","",'Data Entry'!H1369)</f>
        <v/>
      </c>
      <c r="I1369" s="10">
        <f>IF('Data Entry'!A1369="","",'Data Entry'!I1369)</f>
        <v/>
      </c>
      <c r="J1369" s="12">
        <f>IF('Data Entry'!A1369="","",IF('Data Entry'!D1369&lt;&gt;"",'Data Entry'!D1369,'Data Entry'!E1369))</f>
        <v/>
      </c>
      <c r="K1369" s="10">
        <f>IF('Data Entry'!A1369="","",IFERROR(SUMIFS($H$5:$H$2001,$J$5:$J$2001,$J1369,$B$5:$B$2001,$B1369,$A$5:$A$2001,(MAXIFS($A$5:$A$2001,$J$5:$J$2001,$J1369,$B$5:$B$2001,$B1369,$A$5:$A$2001,"&lt;"&amp;$A1369))),""))</f>
        <v/>
      </c>
      <c r="L1369" s="14">
        <f>IF(OR('Data Entry'!A1369="",$K1369=""),"",$H1369-$K1369)</f>
        <v/>
      </c>
      <c r="M1369" s="15">
        <f>IF(OR('Data Entry'!A1369="",$K1369="",$K1369=0),"",$L1369/$K1369)</f>
        <v/>
      </c>
      <c r="N1369" s="12">
        <f>IF('Data Entry'!A1369="","",IF($L1369="","New item",IF($L1369&gt;0,"UP",IF($L1369&lt;0,"down","same"))))</f>
        <v/>
      </c>
    </row>
    <row r="1370">
      <c r="A1370" s="11">
        <f>IF('Data Entry'!A1370="","",'Data Entry'!A1370)</f>
        <v/>
      </c>
      <c r="B1370" s="12">
        <f>IF('Data Entry'!A1370="","",'Data Entry'!B1370)</f>
        <v/>
      </c>
      <c r="C1370" s="12">
        <f>IF('Data Entry'!A1370="","",'Data Entry'!C1370)</f>
        <v/>
      </c>
      <c r="D1370" s="12">
        <f>IF('Data Entry'!A1370="","",'Data Entry'!D1370)</f>
        <v/>
      </c>
      <c r="E1370" s="12">
        <f>IF('Data Entry'!A1370="","",'Data Entry'!E1370)</f>
        <v/>
      </c>
      <c r="F1370" s="12">
        <f>IF('Data Entry'!A1370="","",'Data Entry'!F1370)</f>
        <v/>
      </c>
      <c r="G1370" s="13">
        <f>IF('Data Entry'!A1370="","",'Data Entry'!G1370)</f>
        <v/>
      </c>
      <c r="H1370" s="10">
        <f>IF('Data Entry'!A1370="","",'Data Entry'!H1370)</f>
        <v/>
      </c>
      <c r="I1370" s="10">
        <f>IF('Data Entry'!A1370="","",'Data Entry'!I1370)</f>
        <v/>
      </c>
      <c r="J1370" s="12">
        <f>IF('Data Entry'!A1370="","",IF('Data Entry'!D1370&lt;&gt;"",'Data Entry'!D1370,'Data Entry'!E1370))</f>
        <v/>
      </c>
      <c r="K1370" s="10">
        <f>IF('Data Entry'!A1370="","",IFERROR(SUMIFS($H$5:$H$2001,$J$5:$J$2001,$J1370,$B$5:$B$2001,$B1370,$A$5:$A$2001,(MAXIFS($A$5:$A$2001,$J$5:$J$2001,$J1370,$B$5:$B$2001,$B1370,$A$5:$A$2001,"&lt;"&amp;$A1370))),""))</f>
        <v/>
      </c>
      <c r="L1370" s="14">
        <f>IF(OR('Data Entry'!A1370="",$K1370=""),"",$H1370-$K1370)</f>
        <v/>
      </c>
      <c r="M1370" s="15">
        <f>IF(OR('Data Entry'!A1370="",$K1370="",$K1370=0),"",$L1370/$K1370)</f>
        <v/>
      </c>
      <c r="N1370" s="12">
        <f>IF('Data Entry'!A1370="","",IF($L1370="","New item",IF($L1370&gt;0,"UP",IF($L1370&lt;0,"down","same"))))</f>
        <v/>
      </c>
    </row>
    <row r="1371">
      <c r="A1371" s="11">
        <f>IF('Data Entry'!A1371="","",'Data Entry'!A1371)</f>
        <v/>
      </c>
      <c r="B1371" s="12">
        <f>IF('Data Entry'!A1371="","",'Data Entry'!B1371)</f>
        <v/>
      </c>
      <c r="C1371" s="12">
        <f>IF('Data Entry'!A1371="","",'Data Entry'!C1371)</f>
        <v/>
      </c>
      <c r="D1371" s="12">
        <f>IF('Data Entry'!A1371="","",'Data Entry'!D1371)</f>
        <v/>
      </c>
      <c r="E1371" s="12">
        <f>IF('Data Entry'!A1371="","",'Data Entry'!E1371)</f>
        <v/>
      </c>
      <c r="F1371" s="12">
        <f>IF('Data Entry'!A1371="","",'Data Entry'!F1371)</f>
        <v/>
      </c>
      <c r="G1371" s="13">
        <f>IF('Data Entry'!A1371="","",'Data Entry'!G1371)</f>
        <v/>
      </c>
      <c r="H1371" s="10">
        <f>IF('Data Entry'!A1371="","",'Data Entry'!H1371)</f>
        <v/>
      </c>
      <c r="I1371" s="10">
        <f>IF('Data Entry'!A1371="","",'Data Entry'!I1371)</f>
        <v/>
      </c>
      <c r="J1371" s="12">
        <f>IF('Data Entry'!A1371="","",IF('Data Entry'!D1371&lt;&gt;"",'Data Entry'!D1371,'Data Entry'!E1371))</f>
        <v/>
      </c>
      <c r="K1371" s="10">
        <f>IF('Data Entry'!A1371="","",IFERROR(SUMIFS($H$5:$H$2001,$J$5:$J$2001,$J1371,$B$5:$B$2001,$B1371,$A$5:$A$2001,(MAXIFS($A$5:$A$2001,$J$5:$J$2001,$J1371,$B$5:$B$2001,$B1371,$A$5:$A$2001,"&lt;"&amp;$A1371))),""))</f>
        <v/>
      </c>
      <c r="L1371" s="14">
        <f>IF(OR('Data Entry'!A1371="",$K1371=""),"",$H1371-$K1371)</f>
        <v/>
      </c>
      <c r="M1371" s="15">
        <f>IF(OR('Data Entry'!A1371="",$K1371="",$K1371=0),"",$L1371/$K1371)</f>
        <v/>
      </c>
      <c r="N1371" s="12">
        <f>IF('Data Entry'!A1371="","",IF($L1371="","New item",IF($L1371&gt;0,"UP",IF($L1371&lt;0,"down","same"))))</f>
        <v/>
      </c>
    </row>
    <row r="1372">
      <c r="A1372" s="11">
        <f>IF('Data Entry'!A1372="","",'Data Entry'!A1372)</f>
        <v/>
      </c>
      <c r="B1372" s="12">
        <f>IF('Data Entry'!A1372="","",'Data Entry'!B1372)</f>
        <v/>
      </c>
      <c r="C1372" s="12">
        <f>IF('Data Entry'!A1372="","",'Data Entry'!C1372)</f>
        <v/>
      </c>
      <c r="D1372" s="12">
        <f>IF('Data Entry'!A1372="","",'Data Entry'!D1372)</f>
        <v/>
      </c>
      <c r="E1372" s="12">
        <f>IF('Data Entry'!A1372="","",'Data Entry'!E1372)</f>
        <v/>
      </c>
      <c r="F1372" s="12">
        <f>IF('Data Entry'!A1372="","",'Data Entry'!F1372)</f>
        <v/>
      </c>
      <c r="G1372" s="13">
        <f>IF('Data Entry'!A1372="","",'Data Entry'!G1372)</f>
        <v/>
      </c>
      <c r="H1372" s="10">
        <f>IF('Data Entry'!A1372="","",'Data Entry'!H1372)</f>
        <v/>
      </c>
      <c r="I1372" s="10">
        <f>IF('Data Entry'!A1372="","",'Data Entry'!I1372)</f>
        <v/>
      </c>
      <c r="J1372" s="12">
        <f>IF('Data Entry'!A1372="","",IF('Data Entry'!D1372&lt;&gt;"",'Data Entry'!D1372,'Data Entry'!E1372))</f>
        <v/>
      </c>
      <c r="K1372" s="10">
        <f>IF('Data Entry'!A1372="","",IFERROR(SUMIFS($H$5:$H$2001,$J$5:$J$2001,$J1372,$B$5:$B$2001,$B1372,$A$5:$A$2001,(MAXIFS($A$5:$A$2001,$J$5:$J$2001,$J1372,$B$5:$B$2001,$B1372,$A$5:$A$2001,"&lt;"&amp;$A1372))),""))</f>
        <v/>
      </c>
      <c r="L1372" s="14">
        <f>IF(OR('Data Entry'!A1372="",$K1372=""),"",$H1372-$K1372)</f>
        <v/>
      </c>
      <c r="M1372" s="15">
        <f>IF(OR('Data Entry'!A1372="",$K1372="",$K1372=0),"",$L1372/$K1372)</f>
        <v/>
      </c>
      <c r="N1372" s="12">
        <f>IF('Data Entry'!A1372="","",IF($L1372="","New item",IF($L1372&gt;0,"UP",IF($L1372&lt;0,"down","same"))))</f>
        <v/>
      </c>
    </row>
    <row r="1373">
      <c r="A1373" s="11">
        <f>IF('Data Entry'!A1373="","",'Data Entry'!A1373)</f>
        <v/>
      </c>
      <c r="B1373" s="12">
        <f>IF('Data Entry'!A1373="","",'Data Entry'!B1373)</f>
        <v/>
      </c>
      <c r="C1373" s="12">
        <f>IF('Data Entry'!A1373="","",'Data Entry'!C1373)</f>
        <v/>
      </c>
      <c r="D1373" s="12">
        <f>IF('Data Entry'!A1373="","",'Data Entry'!D1373)</f>
        <v/>
      </c>
      <c r="E1373" s="12">
        <f>IF('Data Entry'!A1373="","",'Data Entry'!E1373)</f>
        <v/>
      </c>
      <c r="F1373" s="12">
        <f>IF('Data Entry'!A1373="","",'Data Entry'!F1373)</f>
        <v/>
      </c>
      <c r="G1373" s="13">
        <f>IF('Data Entry'!A1373="","",'Data Entry'!G1373)</f>
        <v/>
      </c>
      <c r="H1373" s="10">
        <f>IF('Data Entry'!A1373="","",'Data Entry'!H1373)</f>
        <v/>
      </c>
      <c r="I1373" s="10">
        <f>IF('Data Entry'!A1373="","",'Data Entry'!I1373)</f>
        <v/>
      </c>
      <c r="J1373" s="12">
        <f>IF('Data Entry'!A1373="","",IF('Data Entry'!D1373&lt;&gt;"",'Data Entry'!D1373,'Data Entry'!E1373))</f>
        <v/>
      </c>
      <c r="K1373" s="10">
        <f>IF('Data Entry'!A1373="","",IFERROR(SUMIFS($H$5:$H$2001,$J$5:$J$2001,$J1373,$B$5:$B$2001,$B1373,$A$5:$A$2001,(MAXIFS($A$5:$A$2001,$J$5:$J$2001,$J1373,$B$5:$B$2001,$B1373,$A$5:$A$2001,"&lt;"&amp;$A1373))),""))</f>
        <v/>
      </c>
      <c r="L1373" s="14">
        <f>IF(OR('Data Entry'!A1373="",$K1373=""),"",$H1373-$K1373)</f>
        <v/>
      </c>
      <c r="M1373" s="15">
        <f>IF(OR('Data Entry'!A1373="",$K1373="",$K1373=0),"",$L1373/$K1373)</f>
        <v/>
      </c>
      <c r="N1373" s="12">
        <f>IF('Data Entry'!A1373="","",IF($L1373="","New item",IF($L1373&gt;0,"UP",IF($L1373&lt;0,"down","same"))))</f>
        <v/>
      </c>
    </row>
    <row r="1374">
      <c r="A1374" s="11">
        <f>IF('Data Entry'!A1374="","",'Data Entry'!A1374)</f>
        <v/>
      </c>
      <c r="B1374" s="12">
        <f>IF('Data Entry'!A1374="","",'Data Entry'!B1374)</f>
        <v/>
      </c>
      <c r="C1374" s="12">
        <f>IF('Data Entry'!A1374="","",'Data Entry'!C1374)</f>
        <v/>
      </c>
      <c r="D1374" s="12">
        <f>IF('Data Entry'!A1374="","",'Data Entry'!D1374)</f>
        <v/>
      </c>
      <c r="E1374" s="12">
        <f>IF('Data Entry'!A1374="","",'Data Entry'!E1374)</f>
        <v/>
      </c>
      <c r="F1374" s="12">
        <f>IF('Data Entry'!A1374="","",'Data Entry'!F1374)</f>
        <v/>
      </c>
      <c r="G1374" s="13">
        <f>IF('Data Entry'!A1374="","",'Data Entry'!G1374)</f>
        <v/>
      </c>
      <c r="H1374" s="10">
        <f>IF('Data Entry'!A1374="","",'Data Entry'!H1374)</f>
        <v/>
      </c>
      <c r="I1374" s="10">
        <f>IF('Data Entry'!A1374="","",'Data Entry'!I1374)</f>
        <v/>
      </c>
      <c r="J1374" s="12">
        <f>IF('Data Entry'!A1374="","",IF('Data Entry'!D1374&lt;&gt;"",'Data Entry'!D1374,'Data Entry'!E1374))</f>
        <v/>
      </c>
      <c r="K1374" s="10">
        <f>IF('Data Entry'!A1374="","",IFERROR(SUMIFS($H$5:$H$2001,$J$5:$J$2001,$J1374,$B$5:$B$2001,$B1374,$A$5:$A$2001,(MAXIFS($A$5:$A$2001,$J$5:$J$2001,$J1374,$B$5:$B$2001,$B1374,$A$5:$A$2001,"&lt;"&amp;$A1374))),""))</f>
        <v/>
      </c>
      <c r="L1374" s="14">
        <f>IF(OR('Data Entry'!A1374="",$K1374=""),"",$H1374-$K1374)</f>
        <v/>
      </c>
      <c r="M1374" s="15">
        <f>IF(OR('Data Entry'!A1374="",$K1374="",$K1374=0),"",$L1374/$K1374)</f>
        <v/>
      </c>
      <c r="N1374" s="12">
        <f>IF('Data Entry'!A1374="","",IF($L1374="","New item",IF($L1374&gt;0,"UP",IF($L1374&lt;0,"down","same"))))</f>
        <v/>
      </c>
    </row>
    <row r="1375">
      <c r="A1375" s="11">
        <f>IF('Data Entry'!A1375="","",'Data Entry'!A1375)</f>
        <v/>
      </c>
      <c r="B1375" s="12">
        <f>IF('Data Entry'!A1375="","",'Data Entry'!B1375)</f>
        <v/>
      </c>
      <c r="C1375" s="12">
        <f>IF('Data Entry'!A1375="","",'Data Entry'!C1375)</f>
        <v/>
      </c>
      <c r="D1375" s="12">
        <f>IF('Data Entry'!A1375="","",'Data Entry'!D1375)</f>
        <v/>
      </c>
      <c r="E1375" s="12">
        <f>IF('Data Entry'!A1375="","",'Data Entry'!E1375)</f>
        <v/>
      </c>
      <c r="F1375" s="12">
        <f>IF('Data Entry'!A1375="","",'Data Entry'!F1375)</f>
        <v/>
      </c>
      <c r="G1375" s="13">
        <f>IF('Data Entry'!A1375="","",'Data Entry'!G1375)</f>
        <v/>
      </c>
      <c r="H1375" s="10">
        <f>IF('Data Entry'!A1375="","",'Data Entry'!H1375)</f>
        <v/>
      </c>
      <c r="I1375" s="10">
        <f>IF('Data Entry'!A1375="","",'Data Entry'!I1375)</f>
        <v/>
      </c>
      <c r="J1375" s="12">
        <f>IF('Data Entry'!A1375="","",IF('Data Entry'!D1375&lt;&gt;"",'Data Entry'!D1375,'Data Entry'!E1375))</f>
        <v/>
      </c>
      <c r="K1375" s="10">
        <f>IF('Data Entry'!A1375="","",IFERROR(SUMIFS($H$5:$H$2001,$J$5:$J$2001,$J1375,$B$5:$B$2001,$B1375,$A$5:$A$2001,(MAXIFS($A$5:$A$2001,$J$5:$J$2001,$J1375,$B$5:$B$2001,$B1375,$A$5:$A$2001,"&lt;"&amp;$A1375))),""))</f>
        <v/>
      </c>
      <c r="L1375" s="14">
        <f>IF(OR('Data Entry'!A1375="",$K1375=""),"",$H1375-$K1375)</f>
        <v/>
      </c>
      <c r="M1375" s="15">
        <f>IF(OR('Data Entry'!A1375="",$K1375="",$K1375=0),"",$L1375/$K1375)</f>
        <v/>
      </c>
      <c r="N1375" s="12">
        <f>IF('Data Entry'!A1375="","",IF($L1375="","New item",IF($L1375&gt;0,"UP",IF($L1375&lt;0,"down","same"))))</f>
        <v/>
      </c>
    </row>
    <row r="1376">
      <c r="A1376" s="11">
        <f>IF('Data Entry'!A1376="","",'Data Entry'!A1376)</f>
        <v/>
      </c>
      <c r="B1376" s="12">
        <f>IF('Data Entry'!A1376="","",'Data Entry'!B1376)</f>
        <v/>
      </c>
      <c r="C1376" s="12">
        <f>IF('Data Entry'!A1376="","",'Data Entry'!C1376)</f>
        <v/>
      </c>
      <c r="D1376" s="12">
        <f>IF('Data Entry'!A1376="","",'Data Entry'!D1376)</f>
        <v/>
      </c>
      <c r="E1376" s="12">
        <f>IF('Data Entry'!A1376="","",'Data Entry'!E1376)</f>
        <v/>
      </c>
      <c r="F1376" s="12">
        <f>IF('Data Entry'!A1376="","",'Data Entry'!F1376)</f>
        <v/>
      </c>
      <c r="G1376" s="13">
        <f>IF('Data Entry'!A1376="","",'Data Entry'!G1376)</f>
        <v/>
      </c>
      <c r="H1376" s="10">
        <f>IF('Data Entry'!A1376="","",'Data Entry'!H1376)</f>
        <v/>
      </c>
      <c r="I1376" s="10">
        <f>IF('Data Entry'!A1376="","",'Data Entry'!I1376)</f>
        <v/>
      </c>
      <c r="J1376" s="12">
        <f>IF('Data Entry'!A1376="","",IF('Data Entry'!D1376&lt;&gt;"",'Data Entry'!D1376,'Data Entry'!E1376))</f>
        <v/>
      </c>
      <c r="K1376" s="10">
        <f>IF('Data Entry'!A1376="","",IFERROR(SUMIFS($H$5:$H$2001,$J$5:$J$2001,$J1376,$B$5:$B$2001,$B1376,$A$5:$A$2001,(MAXIFS($A$5:$A$2001,$J$5:$J$2001,$J1376,$B$5:$B$2001,$B1376,$A$5:$A$2001,"&lt;"&amp;$A1376))),""))</f>
        <v/>
      </c>
      <c r="L1376" s="14">
        <f>IF(OR('Data Entry'!A1376="",$K1376=""),"",$H1376-$K1376)</f>
        <v/>
      </c>
      <c r="M1376" s="15">
        <f>IF(OR('Data Entry'!A1376="",$K1376="",$K1376=0),"",$L1376/$K1376)</f>
        <v/>
      </c>
      <c r="N1376" s="12">
        <f>IF('Data Entry'!A1376="","",IF($L1376="","New item",IF($L1376&gt;0,"UP",IF($L1376&lt;0,"down","same"))))</f>
        <v/>
      </c>
    </row>
    <row r="1377">
      <c r="A1377" s="11">
        <f>IF('Data Entry'!A1377="","",'Data Entry'!A1377)</f>
        <v/>
      </c>
      <c r="B1377" s="12">
        <f>IF('Data Entry'!A1377="","",'Data Entry'!B1377)</f>
        <v/>
      </c>
      <c r="C1377" s="12">
        <f>IF('Data Entry'!A1377="","",'Data Entry'!C1377)</f>
        <v/>
      </c>
      <c r="D1377" s="12">
        <f>IF('Data Entry'!A1377="","",'Data Entry'!D1377)</f>
        <v/>
      </c>
      <c r="E1377" s="12">
        <f>IF('Data Entry'!A1377="","",'Data Entry'!E1377)</f>
        <v/>
      </c>
      <c r="F1377" s="12">
        <f>IF('Data Entry'!A1377="","",'Data Entry'!F1377)</f>
        <v/>
      </c>
      <c r="G1377" s="13">
        <f>IF('Data Entry'!A1377="","",'Data Entry'!G1377)</f>
        <v/>
      </c>
      <c r="H1377" s="10">
        <f>IF('Data Entry'!A1377="","",'Data Entry'!H1377)</f>
        <v/>
      </c>
      <c r="I1377" s="10">
        <f>IF('Data Entry'!A1377="","",'Data Entry'!I1377)</f>
        <v/>
      </c>
      <c r="J1377" s="12">
        <f>IF('Data Entry'!A1377="","",IF('Data Entry'!D1377&lt;&gt;"",'Data Entry'!D1377,'Data Entry'!E1377))</f>
        <v/>
      </c>
      <c r="K1377" s="10">
        <f>IF('Data Entry'!A1377="","",IFERROR(SUMIFS($H$5:$H$2001,$J$5:$J$2001,$J1377,$B$5:$B$2001,$B1377,$A$5:$A$2001,(MAXIFS($A$5:$A$2001,$J$5:$J$2001,$J1377,$B$5:$B$2001,$B1377,$A$5:$A$2001,"&lt;"&amp;$A1377))),""))</f>
        <v/>
      </c>
      <c r="L1377" s="14">
        <f>IF(OR('Data Entry'!A1377="",$K1377=""),"",$H1377-$K1377)</f>
        <v/>
      </c>
      <c r="M1377" s="15">
        <f>IF(OR('Data Entry'!A1377="",$K1377="",$K1377=0),"",$L1377/$K1377)</f>
        <v/>
      </c>
      <c r="N1377" s="12">
        <f>IF('Data Entry'!A1377="","",IF($L1377="","New item",IF($L1377&gt;0,"UP",IF($L1377&lt;0,"down","same"))))</f>
        <v/>
      </c>
    </row>
    <row r="1378">
      <c r="A1378" s="11">
        <f>IF('Data Entry'!A1378="","",'Data Entry'!A1378)</f>
        <v/>
      </c>
      <c r="B1378" s="12">
        <f>IF('Data Entry'!A1378="","",'Data Entry'!B1378)</f>
        <v/>
      </c>
      <c r="C1378" s="12">
        <f>IF('Data Entry'!A1378="","",'Data Entry'!C1378)</f>
        <v/>
      </c>
      <c r="D1378" s="12">
        <f>IF('Data Entry'!A1378="","",'Data Entry'!D1378)</f>
        <v/>
      </c>
      <c r="E1378" s="12">
        <f>IF('Data Entry'!A1378="","",'Data Entry'!E1378)</f>
        <v/>
      </c>
      <c r="F1378" s="12">
        <f>IF('Data Entry'!A1378="","",'Data Entry'!F1378)</f>
        <v/>
      </c>
      <c r="G1378" s="13">
        <f>IF('Data Entry'!A1378="","",'Data Entry'!G1378)</f>
        <v/>
      </c>
      <c r="H1378" s="10">
        <f>IF('Data Entry'!A1378="","",'Data Entry'!H1378)</f>
        <v/>
      </c>
      <c r="I1378" s="10">
        <f>IF('Data Entry'!A1378="","",'Data Entry'!I1378)</f>
        <v/>
      </c>
      <c r="J1378" s="12">
        <f>IF('Data Entry'!A1378="","",IF('Data Entry'!D1378&lt;&gt;"",'Data Entry'!D1378,'Data Entry'!E1378))</f>
        <v/>
      </c>
      <c r="K1378" s="10">
        <f>IF('Data Entry'!A1378="","",IFERROR(SUMIFS($H$5:$H$2001,$J$5:$J$2001,$J1378,$B$5:$B$2001,$B1378,$A$5:$A$2001,(MAXIFS($A$5:$A$2001,$J$5:$J$2001,$J1378,$B$5:$B$2001,$B1378,$A$5:$A$2001,"&lt;"&amp;$A1378))),""))</f>
        <v/>
      </c>
      <c r="L1378" s="14">
        <f>IF(OR('Data Entry'!A1378="",$K1378=""),"",$H1378-$K1378)</f>
        <v/>
      </c>
      <c r="M1378" s="15">
        <f>IF(OR('Data Entry'!A1378="",$K1378="",$K1378=0),"",$L1378/$K1378)</f>
        <v/>
      </c>
      <c r="N1378" s="12">
        <f>IF('Data Entry'!A1378="","",IF($L1378="","New item",IF($L1378&gt;0,"UP",IF($L1378&lt;0,"down","same"))))</f>
        <v/>
      </c>
    </row>
    <row r="1379">
      <c r="A1379" s="11">
        <f>IF('Data Entry'!A1379="","",'Data Entry'!A1379)</f>
        <v/>
      </c>
      <c r="B1379" s="12">
        <f>IF('Data Entry'!A1379="","",'Data Entry'!B1379)</f>
        <v/>
      </c>
      <c r="C1379" s="12">
        <f>IF('Data Entry'!A1379="","",'Data Entry'!C1379)</f>
        <v/>
      </c>
      <c r="D1379" s="12">
        <f>IF('Data Entry'!A1379="","",'Data Entry'!D1379)</f>
        <v/>
      </c>
      <c r="E1379" s="12">
        <f>IF('Data Entry'!A1379="","",'Data Entry'!E1379)</f>
        <v/>
      </c>
      <c r="F1379" s="12">
        <f>IF('Data Entry'!A1379="","",'Data Entry'!F1379)</f>
        <v/>
      </c>
      <c r="G1379" s="13">
        <f>IF('Data Entry'!A1379="","",'Data Entry'!G1379)</f>
        <v/>
      </c>
      <c r="H1379" s="10">
        <f>IF('Data Entry'!A1379="","",'Data Entry'!H1379)</f>
        <v/>
      </c>
      <c r="I1379" s="10">
        <f>IF('Data Entry'!A1379="","",'Data Entry'!I1379)</f>
        <v/>
      </c>
      <c r="J1379" s="12">
        <f>IF('Data Entry'!A1379="","",IF('Data Entry'!D1379&lt;&gt;"",'Data Entry'!D1379,'Data Entry'!E1379))</f>
        <v/>
      </c>
      <c r="K1379" s="10">
        <f>IF('Data Entry'!A1379="","",IFERROR(SUMIFS($H$5:$H$2001,$J$5:$J$2001,$J1379,$B$5:$B$2001,$B1379,$A$5:$A$2001,(MAXIFS($A$5:$A$2001,$J$5:$J$2001,$J1379,$B$5:$B$2001,$B1379,$A$5:$A$2001,"&lt;"&amp;$A1379))),""))</f>
        <v/>
      </c>
      <c r="L1379" s="14">
        <f>IF(OR('Data Entry'!A1379="",$K1379=""),"",$H1379-$K1379)</f>
        <v/>
      </c>
      <c r="M1379" s="15">
        <f>IF(OR('Data Entry'!A1379="",$K1379="",$K1379=0),"",$L1379/$K1379)</f>
        <v/>
      </c>
      <c r="N1379" s="12">
        <f>IF('Data Entry'!A1379="","",IF($L1379="","New item",IF($L1379&gt;0,"UP",IF($L1379&lt;0,"down","same"))))</f>
        <v/>
      </c>
    </row>
    <row r="1380">
      <c r="A1380" s="11">
        <f>IF('Data Entry'!A1380="","",'Data Entry'!A1380)</f>
        <v/>
      </c>
      <c r="B1380" s="12">
        <f>IF('Data Entry'!A1380="","",'Data Entry'!B1380)</f>
        <v/>
      </c>
      <c r="C1380" s="12">
        <f>IF('Data Entry'!A1380="","",'Data Entry'!C1380)</f>
        <v/>
      </c>
      <c r="D1380" s="12">
        <f>IF('Data Entry'!A1380="","",'Data Entry'!D1380)</f>
        <v/>
      </c>
      <c r="E1380" s="12">
        <f>IF('Data Entry'!A1380="","",'Data Entry'!E1380)</f>
        <v/>
      </c>
      <c r="F1380" s="12">
        <f>IF('Data Entry'!A1380="","",'Data Entry'!F1380)</f>
        <v/>
      </c>
      <c r="G1380" s="13">
        <f>IF('Data Entry'!A1380="","",'Data Entry'!G1380)</f>
        <v/>
      </c>
      <c r="H1380" s="10">
        <f>IF('Data Entry'!A1380="","",'Data Entry'!H1380)</f>
        <v/>
      </c>
      <c r="I1380" s="10">
        <f>IF('Data Entry'!A1380="","",'Data Entry'!I1380)</f>
        <v/>
      </c>
      <c r="J1380" s="12">
        <f>IF('Data Entry'!A1380="","",IF('Data Entry'!D1380&lt;&gt;"",'Data Entry'!D1380,'Data Entry'!E1380))</f>
        <v/>
      </c>
      <c r="K1380" s="10">
        <f>IF('Data Entry'!A1380="","",IFERROR(SUMIFS($H$5:$H$2001,$J$5:$J$2001,$J1380,$B$5:$B$2001,$B1380,$A$5:$A$2001,(MAXIFS($A$5:$A$2001,$J$5:$J$2001,$J1380,$B$5:$B$2001,$B1380,$A$5:$A$2001,"&lt;"&amp;$A1380))),""))</f>
        <v/>
      </c>
      <c r="L1380" s="14">
        <f>IF(OR('Data Entry'!A1380="",$K1380=""),"",$H1380-$K1380)</f>
        <v/>
      </c>
      <c r="M1380" s="15">
        <f>IF(OR('Data Entry'!A1380="",$K1380="",$K1380=0),"",$L1380/$K1380)</f>
        <v/>
      </c>
      <c r="N1380" s="12">
        <f>IF('Data Entry'!A1380="","",IF($L1380="","New item",IF($L1380&gt;0,"UP",IF($L1380&lt;0,"down","same"))))</f>
        <v/>
      </c>
    </row>
    <row r="1381">
      <c r="A1381" s="11">
        <f>IF('Data Entry'!A1381="","",'Data Entry'!A1381)</f>
        <v/>
      </c>
      <c r="B1381" s="12">
        <f>IF('Data Entry'!A1381="","",'Data Entry'!B1381)</f>
        <v/>
      </c>
      <c r="C1381" s="12">
        <f>IF('Data Entry'!A1381="","",'Data Entry'!C1381)</f>
        <v/>
      </c>
      <c r="D1381" s="12">
        <f>IF('Data Entry'!A1381="","",'Data Entry'!D1381)</f>
        <v/>
      </c>
      <c r="E1381" s="12">
        <f>IF('Data Entry'!A1381="","",'Data Entry'!E1381)</f>
        <v/>
      </c>
      <c r="F1381" s="12">
        <f>IF('Data Entry'!A1381="","",'Data Entry'!F1381)</f>
        <v/>
      </c>
      <c r="G1381" s="13">
        <f>IF('Data Entry'!A1381="","",'Data Entry'!G1381)</f>
        <v/>
      </c>
      <c r="H1381" s="10">
        <f>IF('Data Entry'!A1381="","",'Data Entry'!H1381)</f>
        <v/>
      </c>
      <c r="I1381" s="10">
        <f>IF('Data Entry'!A1381="","",'Data Entry'!I1381)</f>
        <v/>
      </c>
      <c r="J1381" s="12">
        <f>IF('Data Entry'!A1381="","",IF('Data Entry'!D1381&lt;&gt;"",'Data Entry'!D1381,'Data Entry'!E1381))</f>
        <v/>
      </c>
      <c r="K1381" s="10">
        <f>IF('Data Entry'!A1381="","",IFERROR(SUMIFS($H$5:$H$2001,$J$5:$J$2001,$J1381,$B$5:$B$2001,$B1381,$A$5:$A$2001,(MAXIFS($A$5:$A$2001,$J$5:$J$2001,$J1381,$B$5:$B$2001,$B1381,$A$5:$A$2001,"&lt;"&amp;$A1381))),""))</f>
        <v/>
      </c>
      <c r="L1381" s="14">
        <f>IF(OR('Data Entry'!A1381="",$K1381=""),"",$H1381-$K1381)</f>
        <v/>
      </c>
      <c r="M1381" s="15">
        <f>IF(OR('Data Entry'!A1381="",$K1381="",$K1381=0),"",$L1381/$K1381)</f>
        <v/>
      </c>
      <c r="N1381" s="12">
        <f>IF('Data Entry'!A1381="","",IF($L1381="","New item",IF($L1381&gt;0,"UP",IF($L1381&lt;0,"down","same"))))</f>
        <v/>
      </c>
    </row>
    <row r="1382">
      <c r="A1382" s="11">
        <f>IF('Data Entry'!A1382="","",'Data Entry'!A1382)</f>
        <v/>
      </c>
      <c r="B1382" s="12">
        <f>IF('Data Entry'!A1382="","",'Data Entry'!B1382)</f>
        <v/>
      </c>
      <c r="C1382" s="12">
        <f>IF('Data Entry'!A1382="","",'Data Entry'!C1382)</f>
        <v/>
      </c>
      <c r="D1382" s="12">
        <f>IF('Data Entry'!A1382="","",'Data Entry'!D1382)</f>
        <v/>
      </c>
      <c r="E1382" s="12">
        <f>IF('Data Entry'!A1382="","",'Data Entry'!E1382)</f>
        <v/>
      </c>
      <c r="F1382" s="12">
        <f>IF('Data Entry'!A1382="","",'Data Entry'!F1382)</f>
        <v/>
      </c>
      <c r="G1382" s="13">
        <f>IF('Data Entry'!A1382="","",'Data Entry'!G1382)</f>
        <v/>
      </c>
      <c r="H1382" s="10">
        <f>IF('Data Entry'!A1382="","",'Data Entry'!H1382)</f>
        <v/>
      </c>
      <c r="I1382" s="10">
        <f>IF('Data Entry'!A1382="","",'Data Entry'!I1382)</f>
        <v/>
      </c>
      <c r="J1382" s="12">
        <f>IF('Data Entry'!A1382="","",IF('Data Entry'!D1382&lt;&gt;"",'Data Entry'!D1382,'Data Entry'!E1382))</f>
        <v/>
      </c>
      <c r="K1382" s="10">
        <f>IF('Data Entry'!A1382="","",IFERROR(SUMIFS($H$5:$H$2001,$J$5:$J$2001,$J1382,$B$5:$B$2001,$B1382,$A$5:$A$2001,(MAXIFS($A$5:$A$2001,$J$5:$J$2001,$J1382,$B$5:$B$2001,$B1382,$A$5:$A$2001,"&lt;"&amp;$A1382))),""))</f>
        <v/>
      </c>
      <c r="L1382" s="14">
        <f>IF(OR('Data Entry'!A1382="",$K1382=""),"",$H1382-$K1382)</f>
        <v/>
      </c>
      <c r="M1382" s="15">
        <f>IF(OR('Data Entry'!A1382="",$K1382="",$K1382=0),"",$L1382/$K1382)</f>
        <v/>
      </c>
      <c r="N1382" s="12">
        <f>IF('Data Entry'!A1382="","",IF($L1382="","New item",IF($L1382&gt;0,"UP",IF($L1382&lt;0,"down","same"))))</f>
        <v/>
      </c>
    </row>
    <row r="1383">
      <c r="A1383" s="11">
        <f>IF('Data Entry'!A1383="","",'Data Entry'!A1383)</f>
        <v/>
      </c>
      <c r="B1383" s="12">
        <f>IF('Data Entry'!A1383="","",'Data Entry'!B1383)</f>
        <v/>
      </c>
      <c r="C1383" s="12">
        <f>IF('Data Entry'!A1383="","",'Data Entry'!C1383)</f>
        <v/>
      </c>
      <c r="D1383" s="12">
        <f>IF('Data Entry'!A1383="","",'Data Entry'!D1383)</f>
        <v/>
      </c>
      <c r="E1383" s="12">
        <f>IF('Data Entry'!A1383="","",'Data Entry'!E1383)</f>
        <v/>
      </c>
      <c r="F1383" s="12">
        <f>IF('Data Entry'!A1383="","",'Data Entry'!F1383)</f>
        <v/>
      </c>
      <c r="G1383" s="13">
        <f>IF('Data Entry'!A1383="","",'Data Entry'!G1383)</f>
        <v/>
      </c>
      <c r="H1383" s="10">
        <f>IF('Data Entry'!A1383="","",'Data Entry'!H1383)</f>
        <v/>
      </c>
      <c r="I1383" s="10">
        <f>IF('Data Entry'!A1383="","",'Data Entry'!I1383)</f>
        <v/>
      </c>
      <c r="J1383" s="12">
        <f>IF('Data Entry'!A1383="","",IF('Data Entry'!D1383&lt;&gt;"",'Data Entry'!D1383,'Data Entry'!E1383))</f>
        <v/>
      </c>
      <c r="K1383" s="10">
        <f>IF('Data Entry'!A1383="","",IFERROR(SUMIFS($H$5:$H$2001,$J$5:$J$2001,$J1383,$B$5:$B$2001,$B1383,$A$5:$A$2001,(MAXIFS($A$5:$A$2001,$J$5:$J$2001,$J1383,$B$5:$B$2001,$B1383,$A$5:$A$2001,"&lt;"&amp;$A1383))),""))</f>
        <v/>
      </c>
      <c r="L1383" s="14">
        <f>IF(OR('Data Entry'!A1383="",$K1383=""),"",$H1383-$K1383)</f>
        <v/>
      </c>
      <c r="M1383" s="15">
        <f>IF(OR('Data Entry'!A1383="",$K1383="",$K1383=0),"",$L1383/$K1383)</f>
        <v/>
      </c>
      <c r="N1383" s="12">
        <f>IF('Data Entry'!A1383="","",IF($L1383="","New item",IF($L1383&gt;0,"UP",IF($L1383&lt;0,"down","same"))))</f>
        <v/>
      </c>
    </row>
    <row r="1384">
      <c r="A1384" s="11">
        <f>IF('Data Entry'!A1384="","",'Data Entry'!A1384)</f>
        <v/>
      </c>
      <c r="B1384" s="12">
        <f>IF('Data Entry'!A1384="","",'Data Entry'!B1384)</f>
        <v/>
      </c>
      <c r="C1384" s="12">
        <f>IF('Data Entry'!A1384="","",'Data Entry'!C1384)</f>
        <v/>
      </c>
      <c r="D1384" s="12">
        <f>IF('Data Entry'!A1384="","",'Data Entry'!D1384)</f>
        <v/>
      </c>
      <c r="E1384" s="12">
        <f>IF('Data Entry'!A1384="","",'Data Entry'!E1384)</f>
        <v/>
      </c>
      <c r="F1384" s="12">
        <f>IF('Data Entry'!A1384="","",'Data Entry'!F1384)</f>
        <v/>
      </c>
      <c r="G1384" s="13">
        <f>IF('Data Entry'!A1384="","",'Data Entry'!G1384)</f>
        <v/>
      </c>
      <c r="H1384" s="10">
        <f>IF('Data Entry'!A1384="","",'Data Entry'!H1384)</f>
        <v/>
      </c>
      <c r="I1384" s="10">
        <f>IF('Data Entry'!A1384="","",'Data Entry'!I1384)</f>
        <v/>
      </c>
      <c r="J1384" s="12">
        <f>IF('Data Entry'!A1384="","",IF('Data Entry'!D1384&lt;&gt;"",'Data Entry'!D1384,'Data Entry'!E1384))</f>
        <v/>
      </c>
      <c r="K1384" s="10">
        <f>IF('Data Entry'!A1384="","",IFERROR(SUMIFS($H$5:$H$2001,$J$5:$J$2001,$J1384,$B$5:$B$2001,$B1384,$A$5:$A$2001,(MAXIFS($A$5:$A$2001,$J$5:$J$2001,$J1384,$B$5:$B$2001,$B1384,$A$5:$A$2001,"&lt;"&amp;$A1384))),""))</f>
        <v/>
      </c>
      <c r="L1384" s="14">
        <f>IF(OR('Data Entry'!A1384="",$K1384=""),"",$H1384-$K1384)</f>
        <v/>
      </c>
      <c r="M1384" s="15">
        <f>IF(OR('Data Entry'!A1384="",$K1384="",$K1384=0),"",$L1384/$K1384)</f>
        <v/>
      </c>
      <c r="N1384" s="12">
        <f>IF('Data Entry'!A1384="","",IF($L1384="","New item",IF($L1384&gt;0,"UP",IF($L1384&lt;0,"down","same"))))</f>
        <v/>
      </c>
    </row>
    <row r="1385">
      <c r="A1385" s="11">
        <f>IF('Data Entry'!A1385="","",'Data Entry'!A1385)</f>
        <v/>
      </c>
      <c r="B1385" s="12">
        <f>IF('Data Entry'!A1385="","",'Data Entry'!B1385)</f>
        <v/>
      </c>
      <c r="C1385" s="12">
        <f>IF('Data Entry'!A1385="","",'Data Entry'!C1385)</f>
        <v/>
      </c>
      <c r="D1385" s="12">
        <f>IF('Data Entry'!A1385="","",'Data Entry'!D1385)</f>
        <v/>
      </c>
      <c r="E1385" s="12">
        <f>IF('Data Entry'!A1385="","",'Data Entry'!E1385)</f>
        <v/>
      </c>
      <c r="F1385" s="12">
        <f>IF('Data Entry'!A1385="","",'Data Entry'!F1385)</f>
        <v/>
      </c>
      <c r="G1385" s="13">
        <f>IF('Data Entry'!A1385="","",'Data Entry'!G1385)</f>
        <v/>
      </c>
      <c r="H1385" s="10">
        <f>IF('Data Entry'!A1385="","",'Data Entry'!H1385)</f>
        <v/>
      </c>
      <c r="I1385" s="10">
        <f>IF('Data Entry'!A1385="","",'Data Entry'!I1385)</f>
        <v/>
      </c>
      <c r="J1385" s="12">
        <f>IF('Data Entry'!A1385="","",IF('Data Entry'!D1385&lt;&gt;"",'Data Entry'!D1385,'Data Entry'!E1385))</f>
        <v/>
      </c>
      <c r="K1385" s="10">
        <f>IF('Data Entry'!A1385="","",IFERROR(SUMIFS($H$5:$H$2001,$J$5:$J$2001,$J1385,$B$5:$B$2001,$B1385,$A$5:$A$2001,(MAXIFS($A$5:$A$2001,$J$5:$J$2001,$J1385,$B$5:$B$2001,$B1385,$A$5:$A$2001,"&lt;"&amp;$A1385))),""))</f>
        <v/>
      </c>
      <c r="L1385" s="14">
        <f>IF(OR('Data Entry'!A1385="",$K1385=""),"",$H1385-$K1385)</f>
        <v/>
      </c>
      <c r="M1385" s="15">
        <f>IF(OR('Data Entry'!A1385="",$K1385="",$K1385=0),"",$L1385/$K1385)</f>
        <v/>
      </c>
      <c r="N1385" s="12">
        <f>IF('Data Entry'!A1385="","",IF($L1385="","New item",IF($L1385&gt;0,"UP",IF($L1385&lt;0,"down","same"))))</f>
        <v/>
      </c>
    </row>
    <row r="1386">
      <c r="A1386" s="11">
        <f>IF('Data Entry'!A1386="","",'Data Entry'!A1386)</f>
        <v/>
      </c>
      <c r="B1386" s="12">
        <f>IF('Data Entry'!A1386="","",'Data Entry'!B1386)</f>
        <v/>
      </c>
      <c r="C1386" s="12">
        <f>IF('Data Entry'!A1386="","",'Data Entry'!C1386)</f>
        <v/>
      </c>
      <c r="D1386" s="12">
        <f>IF('Data Entry'!A1386="","",'Data Entry'!D1386)</f>
        <v/>
      </c>
      <c r="E1386" s="12">
        <f>IF('Data Entry'!A1386="","",'Data Entry'!E1386)</f>
        <v/>
      </c>
      <c r="F1386" s="12">
        <f>IF('Data Entry'!A1386="","",'Data Entry'!F1386)</f>
        <v/>
      </c>
      <c r="G1386" s="13">
        <f>IF('Data Entry'!A1386="","",'Data Entry'!G1386)</f>
        <v/>
      </c>
      <c r="H1386" s="10">
        <f>IF('Data Entry'!A1386="","",'Data Entry'!H1386)</f>
        <v/>
      </c>
      <c r="I1386" s="10">
        <f>IF('Data Entry'!A1386="","",'Data Entry'!I1386)</f>
        <v/>
      </c>
      <c r="J1386" s="12">
        <f>IF('Data Entry'!A1386="","",IF('Data Entry'!D1386&lt;&gt;"",'Data Entry'!D1386,'Data Entry'!E1386))</f>
        <v/>
      </c>
      <c r="K1386" s="10">
        <f>IF('Data Entry'!A1386="","",IFERROR(SUMIFS($H$5:$H$2001,$J$5:$J$2001,$J1386,$B$5:$B$2001,$B1386,$A$5:$A$2001,(MAXIFS($A$5:$A$2001,$J$5:$J$2001,$J1386,$B$5:$B$2001,$B1386,$A$5:$A$2001,"&lt;"&amp;$A1386))),""))</f>
        <v/>
      </c>
      <c r="L1386" s="14">
        <f>IF(OR('Data Entry'!A1386="",$K1386=""),"",$H1386-$K1386)</f>
        <v/>
      </c>
      <c r="M1386" s="15">
        <f>IF(OR('Data Entry'!A1386="",$K1386="",$K1386=0),"",$L1386/$K1386)</f>
        <v/>
      </c>
      <c r="N1386" s="12">
        <f>IF('Data Entry'!A1386="","",IF($L1386="","New item",IF($L1386&gt;0,"UP",IF($L1386&lt;0,"down","same"))))</f>
        <v/>
      </c>
    </row>
    <row r="1387">
      <c r="A1387" s="11">
        <f>IF('Data Entry'!A1387="","",'Data Entry'!A1387)</f>
        <v/>
      </c>
      <c r="B1387" s="12">
        <f>IF('Data Entry'!A1387="","",'Data Entry'!B1387)</f>
        <v/>
      </c>
      <c r="C1387" s="12">
        <f>IF('Data Entry'!A1387="","",'Data Entry'!C1387)</f>
        <v/>
      </c>
      <c r="D1387" s="12">
        <f>IF('Data Entry'!A1387="","",'Data Entry'!D1387)</f>
        <v/>
      </c>
      <c r="E1387" s="12">
        <f>IF('Data Entry'!A1387="","",'Data Entry'!E1387)</f>
        <v/>
      </c>
      <c r="F1387" s="12">
        <f>IF('Data Entry'!A1387="","",'Data Entry'!F1387)</f>
        <v/>
      </c>
      <c r="G1387" s="13">
        <f>IF('Data Entry'!A1387="","",'Data Entry'!G1387)</f>
        <v/>
      </c>
      <c r="H1387" s="10">
        <f>IF('Data Entry'!A1387="","",'Data Entry'!H1387)</f>
        <v/>
      </c>
      <c r="I1387" s="10">
        <f>IF('Data Entry'!A1387="","",'Data Entry'!I1387)</f>
        <v/>
      </c>
      <c r="J1387" s="12">
        <f>IF('Data Entry'!A1387="","",IF('Data Entry'!D1387&lt;&gt;"",'Data Entry'!D1387,'Data Entry'!E1387))</f>
        <v/>
      </c>
      <c r="K1387" s="10">
        <f>IF('Data Entry'!A1387="","",IFERROR(SUMIFS($H$5:$H$2001,$J$5:$J$2001,$J1387,$B$5:$B$2001,$B1387,$A$5:$A$2001,(MAXIFS($A$5:$A$2001,$J$5:$J$2001,$J1387,$B$5:$B$2001,$B1387,$A$5:$A$2001,"&lt;"&amp;$A1387))),""))</f>
        <v/>
      </c>
      <c r="L1387" s="14">
        <f>IF(OR('Data Entry'!A1387="",$K1387=""),"",$H1387-$K1387)</f>
        <v/>
      </c>
      <c r="M1387" s="15">
        <f>IF(OR('Data Entry'!A1387="",$K1387="",$K1387=0),"",$L1387/$K1387)</f>
        <v/>
      </c>
      <c r="N1387" s="12">
        <f>IF('Data Entry'!A1387="","",IF($L1387="","New item",IF($L1387&gt;0,"UP",IF($L1387&lt;0,"down","same"))))</f>
        <v/>
      </c>
    </row>
    <row r="1388">
      <c r="A1388" s="11">
        <f>IF('Data Entry'!A1388="","",'Data Entry'!A1388)</f>
        <v/>
      </c>
      <c r="B1388" s="12">
        <f>IF('Data Entry'!A1388="","",'Data Entry'!B1388)</f>
        <v/>
      </c>
      <c r="C1388" s="12">
        <f>IF('Data Entry'!A1388="","",'Data Entry'!C1388)</f>
        <v/>
      </c>
      <c r="D1388" s="12">
        <f>IF('Data Entry'!A1388="","",'Data Entry'!D1388)</f>
        <v/>
      </c>
      <c r="E1388" s="12">
        <f>IF('Data Entry'!A1388="","",'Data Entry'!E1388)</f>
        <v/>
      </c>
      <c r="F1388" s="12">
        <f>IF('Data Entry'!A1388="","",'Data Entry'!F1388)</f>
        <v/>
      </c>
      <c r="G1388" s="13">
        <f>IF('Data Entry'!A1388="","",'Data Entry'!G1388)</f>
        <v/>
      </c>
      <c r="H1388" s="10">
        <f>IF('Data Entry'!A1388="","",'Data Entry'!H1388)</f>
        <v/>
      </c>
      <c r="I1388" s="10">
        <f>IF('Data Entry'!A1388="","",'Data Entry'!I1388)</f>
        <v/>
      </c>
      <c r="J1388" s="12">
        <f>IF('Data Entry'!A1388="","",IF('Data Entry'!D1388&lt;&gt;"",'Data Entry'!D1388,'Data Entry'!E1388))</f>
        <v/>
      </c>
      <c r="K1388" s="10">
        <f>IF('Data Entry'!A1388="","",IFERROR(SUMIFS($H$5:$H$2001,$J$5:$J$2001,$J1388,$B$5:$B$2001,$B1388,$A$5:$A$2001,(MAXIFS($A$5:$A$2001,$J$5:$J$2001,$J1388,$B$5:$B$2001,$B1388,$A$5:$A$2001,"&lt;"&amp;$A1388))),""))</f>
        <v/>
      </c>
      <c r="L1388" s="14">
        <f>IF(OR('Data Entry'!A1388="",$K1388=""),"",$H1388-$K1388)</f>
        <v/>
      </c>
      <c r="M1388" s="15">
        <f>IF(OR('Data Entry'!A1388="",$K1388="",$K1388=0),"",$L1388/$K1388)</f>
        <v/>
      </c>
      <c r="N1388" s="12">
        <f>IF('Data Entry'!A1388="","",IF($L1388="","New item",IF($L1388&gt;0,"UP",IF($L1388&lt;0,"down","same"))))</f>
        <v/>
      </c>
    </row>
    <row r="1389">
      <c r="A1389" s="11">
        <f>IF('Data Entry'!A1389="","",'Data Entry'!A1389)</f>
        <v/>
      </c>
      <c r="B1389" s="12">
        <f>IF('Data Entry'!A1389="","",'Data Entry'!B1389)</f>
        <v/>
      </c>
      <c r="C1389" s="12">
        <f>IF('Data Entry'!A1389="","",'Data Entry'!C1389)</f>
        <v/>
      </c>
      <c r="D1389" s="12">
        <f>IF('Data Entry'!A1389="","",'Data Entry'!D1389)</f>
        <v/>
      </c>
      <c r="E1389" s="12">
        <f>IF('Data Entry'!A1389="","",'Data Entry'!E1389)</f>
        <v/>
      </c>
      <c r="F1389" s="12">
        <f>IF('Data Entry'!A1389="","",'Data Entry'!F1389)</f>
        <v/>
      </c>
      <c r="G1389" s="13">
        <f>IF('Data Entry'!A1389="","",'Data Entry'!G1389)</f>
        <v/>
      </c>
      <c r="H1389" s="10">
        <f>IF('Data Entry'!A1389="","",'Data Entry'!H1389)</f>
        <v/>
      </c>
      <c r="I1389" s="10">
        <f>IF('Data Entry'!A1389="","",'Data Entry'!I1389)</f>
        <v/>
      </c>
      <c r="J1389" s="12">
        <f>IF('Data Entry'!A1389="","",IF('Data Entry'!D1389&lt;&gt;"",'Data Entry'!D1389,'Data Entry'!E1389))</f>
        <v/>
      </c>
      <c r="K1389" s="10">
        <f>IF('Data Entry'!A1389="","",IFERROR(SUMIFS($H$5:$H$2001,$J$5:$J$2001,$J1389,$B$5:$B$2001,$B1389,$A$5:$A$2001,(MAXIFS($A$5:$A$2001,$J$5:$J$2001,$J1389,$B$5:$B$2001,$B1389,$A$5:$A$2001,"&lt;"&amp;$A1389))),""))</f>
        <v/>
      </c>
      <c r="L1389" s="14">
        <f>IF(OR('Data Entry'!A1389="",$K1389=""),"",$H1389-$K1389)</f>
        <v/>
      </c>
      <c r="M1389" s="15">
        <f>IF(OR('Data Entry'!A1389="",$K1389="",$K1389=0),"",$L1389/$K1389)</f>
        <v/>
      </c>
      <c r="N1389" s="12">
        <f>IF('Data Entry'!A1389="","",IF($L1389="","New item",IF($L1389&gt;0,"UP",IF($L1389&lt;0,"down","same"))))</f>
        <v/>
      </c>
    </row>
    <row r="1390">
      <c r="A1390" s="11">
        <f>IF('Data Entry'!A1390="","",'Data Entry'!A1390)</f>
        <v/>
      </c>
      <c r="B1390" s="12">
        <f>IF('Data Entry'!A1390="","",'Data Entry'!B1390)</f>
        <v/>
      </c>
      <c r="C1390" s="12">
        <f>IF('Data Entry'!A1390="","",'Data Entry'!C1390)</f>
        <v/>
      </c>
      <c r="D1390" s="12">
        <f>IF('Data Entry'!A1390="","",'Data Entry'!D1390)</f>
        <v/>
      </c>
      <c r="E1390" s="12">
        <f>IF('Data Entry'!A1390="","",'Data Entry'!E1390)</f>
        <v/>
      </c>
      <c r="F1390" s="12">
        <f>IF('Data Entry'!A1390="","",'Data Entry'!F1390)</f>
        <v/>
      </c>
      <c r="G1390" s="13">
        <f>IF('Data Entry'!A1390="","",'Data Entry'!G1390)</f>
        <v/>
      </c>
      <c r="H1390" s="10">
        <f>IF('Data Entry'!A1390="","",'Data Entry'!H1390)</f>
        <v/>
      </c>
      <c r="I1390" s="10">
        <f>IF('Data Entry'!A1390="","",'Data Entry'!I1390)</f>
        <v/>
      </c>
      <c r="J1390" s="12">
        <f>IF('Data Entry'!A1390="","",IF('Data Entry'!D1390&lt;&gt;"",'Data Entry'!D1390,'Data Entry'!E1390))</f>
        <v/>
      </c>
      <c r="K1390" s="10">
        <f>IF('Data Entry'!A1390="","",IFERROR(SUMIFS($H$5:$H$2001,$J$5:$J$2001,$J1390,$B$5:$B$2001,$B1390,$A$5:$A$2001,(MAXIFS($A$5:$A$2001,$J$5:$J$2001,$J1390,$B$5:$B$2001,$B1390,$A$5:$A$2001,"&lt;"&amp;$A1390))),""))</f>
        <v/>
      </c>
      <c r="L1390" s="14">
        <f>IF(OR('Data Entry'!A1390="",$K1390=""),"",$H1390-$K1390)</f>
        <v/>
      </c>
      <c r="M1390" s="15">
        <f>IF(OR('Data Entry'!A1390="",$K1390="",$K1390=0),"",$L1390/$K1390)</f>
        <v/>
      </c>
      <c r="N1390" s="12">
        <f>IF('Data Entry'!A1390="","",IF($L1390="","New item",IF($L1390&gt;0,"UP",IF($L1390&lt;0,"down","same"))))</f>
        <v/>
      </c>
    </row>
    <row r="1391">
      <c r="A1391" s="11">
        <f>IF('Data Entry'!A1391="","",'Data Entry'!A1391)</f>
        <v/>
      </c>
      <c r="B1391" s="12">
        <f>IF('Data Entry'!A1391="","",'Data Entry'!B1391)</f>
        <v/>
      </c>
      <c r="C1391" s="12">
        <f>IF('Data Entry'!A1391="","",'Data Entry'!C1391)</f>
        <v/>
      </c>
      <c r="D1391" s="12">
        <f>IF('Data Entry'!A1391="","",'Data Entry'!D1391)</f>
        <v/>
      </c>
      <c r="E1391" s="12">
        <f>IF('Data Entry'!A1391="","",'Data Entry'!E1391)</f>
        <v/>
      </c>
      <c r="F1391" s="12">
        <f>IF('Data Entry'!A1391="","",'Data Entry'!F1391)</f>
        <v/>
      </c>
      <c r="G1391" s="13">
        <f>IF('Data Entry'!A1391="","",'Data Entry'!G1391)</f>
        <v/>
      </c>
      <c r="H1391" s="10">
        <f>IF('Data Entry'!A1391="","",'Data Entry'!H1391)</f>
        <v/>
      </c>
      <c r="I1391" s="10">
        <f>IF('Data Entry'!A1391="","",'Data Entry'!I1391)</f>
        <v/>
      </c>
      <c r="J1391" s="12">
        <f>IF('Data Entry'!A1391="","",IF('Data Entry'!D1391&lt;&gt;"",'Data Entry'!D1391,'Data Entry'!E1391))</f>
        <v/>
      </c>
      <c r="K1391" s="10">
        <f>IF('Data Entry'!A1391="","",IFERROR(SUMIFS($H$5:$H$2001,$J$5:$J$2001,$J1391,$B$5:$B$2001,$B1391,$A$5:$A$2001,(MAXIFS($A$5:$A$2001,$J$5:$J$2001,$J1391,$B$5:$B$2001,$B1391,$A$5:$A$2001,"&lt;"&amp;$A1391))),""))</f>
        <v/>
      </c>
      <c r="L1391" s="14">
        <f>IF(OR('Data Entry'!A1391="",$K1391=""),"",$H1391-$K1391)</f>
        <v/>
      </c>
      <c r="M1391" s="15">
        <f>IF(OR('Data Entry'!A1391="",$K1391="",$K1391=0),"",$L1391/$K1391)</f>
        <v/>
      </c>
      <c r="N1391" s="12">
        <f>IF('Data Entry'!A1391="","",IF($L1391="","New item",IF($L1391&gt;0,"UP",IF($L1391&lt;0,"down","same"))))</f>
        <v/>
      </c>
    </row>
    <row r="1392">
      <c r="A1392" s="11">
        <f>IF('Data Entry'!A1392="","",'Data Entry'!A1392)</f>
        <v/>
      </c>
      <c r="B1392" s="12">
        <f>IF('Data Entry'!A1392="","",'Data Entry'!B1392)</f>
        <v/>
      </c>
      <c r="C1392" s="12">
        <f>IF('Data Entry'!A1392="","",'Data Entry'!C1392)</f>
        <v/>
      </c>
      <c r="D1392" s="12">
        <f>IF('Data Entry'!A1392="","",'Data Entry'!D1392)</f>
        <v/>
      </c>
      <c r="E1392" s="12">
        <f>IF('Data Entry'!A1392="","",'Data Entry'!E1392)</f>
        <v/>
      </c>
      <c r="F1392" s="12">
        <f>IF('Data Entry'!A1392="","",'Data Entry'!F1392)</f>
        <v/>
      </c>
      <c r="G1392" s="13">
        <f>IF('Data Entry'!A1392="","",'Data Entry'!G1392)</f>
        <v/>
      </c>
      <c r="H1392" s="10">
        <f>IF('Data Entry'!A1392="","",'Data Entry'!H1392)</f>
        <v/>
      </c>
      <c r="I1392" s="10">
        <f>IF('Data Entry'!A1392="","",'Data Entry'!I1392)</f>
        <v/>
      </c>
      <c r="J1392" s="12">
        <f>IF('Data Entry'!A1392="","",IF('Data Entry'!D1392&lt;&gt;"",'Data Entry'!D1392,'Data Entry'!E1392))</f>
        <v/>
      </c>
      <c r="K1392" s="10">
        <f>IF('Data Entry'!A1392="","",IFERROR(SUMIFS($H$5:$H$2001,$J$5:$J$2001,$J1392,$B$5:$B$2001,$B1392,$A$5:$A$2001,(MAXIFS($A$5:$A$2001,$J$5:$J$2001,$J1392,$B$5:$B$2001,$B1392,$A$5:$A$2001,"&lt;"&amp;$A1392))),""))</f>
        <v/>
      </c>
      <c r="L1392" s="14">
        <f>IF(OR('Data Entry'!A1392="",$K1392=""),"",$H1392-$K1392)</f>
        <v/>
      </c>
      <c r="M1392" s="15">
        <f>IF(OR('Data Entry'!A1392="",$K1392="",$K1392=0),"",$L1392/$K1392)</f>
        <v/>
      </c>
      <c r="N1392" s="12">
        <f>IF('Data Entry'!A1392="","",IF($L1392="","New item",IF($L1392&gt;0,"UP",IF($L1392&lt;0,"down","same"))))</f>
        <v/>
      </c>
    </row>
    <row r="1393">
      <c r="A1393" s="11">
        <f>IF('Data Entry'!A1393="","",'Data Entry'!A1393)</f>
        <v/>
      </c>
      <c r="B1393" s="12">
        <f>IF('Data Entry'!A1393="","",'Data Entry'!B1393)</f>
        <v/>
      </c>
      <c r="C1393" s="12">
        <f>IF('Data Entry'!A1393="","",'Data Entry'!C1393)</f>
        <v/>
      </c>
      <c r="D1393" s="12">
        <f>IF('Data Entry'!A1393="","",'Data Entry'!D1393)</f>
        <v/>
      </c>
      <c r="E1393" s="12">
        <f>IF('Data Entry'!A1393="","",'Data Entry'!E1393)</f>
        <v/>
      </c>
      <c r="F1393" s="12">
        <f>IF('Data Entry'!A1393="","",'Data Entry'!F1393)</f>
        <v/>
      </c>
      <c r="G1393" s="13">
        <f>IF('Data Entry'!A1393="","",'Data Entry'!G1393)</f>
        <v/>
      </c>
      <c r="H1393" s="10">
        <f>IF('Data Entry'!A1393="","",'Data Entry'!H1393)</f>
        <v/>
      </c>
      <c r="I1393" s="10">
        <f>IF('Data Entry'!A1393="","",'Data Entry'!I1393)</f>
        <v/>
      </c>
      <c r="J1393" s="12">
        <f>IF('Data Entry'!A1393="","",IF('Data Entry'!D1393&lt;&gt;"",'Data Entry'!D1393,'Data Entry'!E1393))</f>
        <v/>
      </c>
      <c r="K1393" s="10">
        <f>IF('Data Entry'!A1393="","",IFERROR(SUMIFS($H$5:$H$2001,$J$5:$J$2001,$J1393,$B$5:$B$2001,$B1393,$A$5:$A$2001,(MAXIFS($A$5:$A$2001,$J$5:$J$2001,$J1393,$B$5:$B$2001,$B1393,$A$5:$A$2001,"&lt;"&amp;$A1393))),""))</f>
        <v/>
      </c>
      <c r="L1393" s="14">
        <f>IF(OR('Data Entry'!A1393="",$K1393=""),"",$H1393-$K1393)</f>
        <v/>
      </c>
      <c r="M1393" s="15">
        <f>IF(OR('Data Entry'!A1393="",$K1393="",$K1393=0),"",$L1393/$K1393)</f>
        <v/>
      </c>
      <c r="N1393" s="12">
        <f>IF('Data Entry'!A1393="","",IF($L1393="","New item",IF($L1393&gt;0,"UP",IF($L1393&lt;0,"down","same"))))</f>
        <v/>
      </c>
    </row>
    <row r="1394">
      <c r="A1394" s="11">
        <f>IF('Data Entry'!A1394="","",'Data Entry'!A1394)</f>
        <v/>
      </c>
      <c r="B1394" s="12">
        <f>IF('Data Entry'!A1394="","",'Data Entry'!B1394)</f>
        <v/>
      </c>
      <c r="C1394" s="12">
        <f>IF('Data Entry'!A1394="","",'Data Entry'!C1394)</f>
        <v/>
      </c>
      <c r="D1394" s="12">
        <f>IF('Data Entry'!A1394="","",'Data Entry'!D1394)</f>
        <v/>
      </c>
      <c r="E1394" s="12">
        <f>IF('Data Entry'!A1394="","",'Data Entry'!E1394)</f>
        <v/>
      </c>
      <c r="F1394" s="12">
        <f>IF('Data Entry'!A1394="","",'Data Entry'!F1394)</f>
        <v/>
      </c>
      <c r="G1394" s="13">
        <f>IF('Data Entry'!A1394="","",'Data Entry'!G1394)</f>
        <v/>
      </c>
      <c r="H1394" s="10">
        <f>IF('Data Entry'!A1394="","",'Data Entry'!H1394)</f>
        <v/>
      </c>
      <c r="I1394" s="10">
        <f>IF('Data Entry'!A1394="","",'Data Entry'!I1394)</f>
        <v/>
      </c>
      <c r="J1394" s="12">
        <f>IF('Data Entry'!A1394="","",IF('Data Entry'!D1394&lt;&gt;"",'Data Entry'!D1394,'Data Entry'!E1394))</f>
        <v/>
      </c>
      <c r="K1394" s="10">
        <f>IF('Data Entry'!A1394="","",IFERROR(SUMIFS($H$5:$H$2001,$J$5:$J$2001,$J1394,$B$5:$B$2001,$B1394,$A$5:$A$2001,(MAXIFS($A$5:$A$2001,$J$5:$J$2001,$J1394,$B$5:$B$2001,$B1394,$A$5:$A$2001,"&lt;"&amp;$A1394))),""))</f>
        <v/>
      </c>
      <c r="L1394" s="14">
        <f>IF(OR('Data Entry'!A1394="",$K1394=""),"",$H1394-$K1394)</f>
        <v/>
      </c>
      <c r="M1394" s="15">
        <f>IF(OR('Data Entry'!A1394="",$K1394="",$K1394=0),"",$L1394/$K1394)</f>
        <v/>
      </c>
      <c r="N1394" s="12">
        <f>IF('Data Entry'!A1394="","",IF($L1394="","New item",IF($L1394&gt;0,"UP",IF($L1394&lt;0,"down","same"))))</f>
        <v/>
      </c>
    </row>
    <row r="1395">
      <c r="A1395" s="11">
        <f>IF('Data Entry'!A1395="","",'Data Entry'!A1395)</f>
        <v/>
      </c>
      <c r="B1395" s="12">
        <f>IF('Data Entry'!A1395="","",'Data Entry'!B1395)</f>
        <v/>
      </c>
      <c r="C1395" s="12">
        <f>IF('Data Entry'!A1395="","",'Data Entry'!C1395)</f>
        <v/>
      </c>
      <c r="D1395" s="12">
        <f>IF('Data Entry'!A1395="","",'Data Entry'!D1395)</f>
        <v/>
      </c>
      <c r="E1395" s="12">
        <f>IF('Data Entry'!A1395="","",'Data Entry'!E1395)</f>
        <v/>
      </c>
      <c r="F1395" s="12">
        <f>IF('Data Entry'!A1395="","",'Data Entry'!F1395)</f>
        <v/>
      </c>
      <c r="G1395" s="13">
        <f>IF('Data Entry'!A1395="","",'Data Entry'!G1395)</f>
        <v/>
      </c>
      <c r="H1395" s="10">
        <f>IF('Data Entry'!A1395="","",'Data Entry'!H1395)</f>
        <v/>
      </c>
      <c r="I1395" s="10">
        <f>IF('Data Entry'!A1395="","",'Data Entry'!I1395)</f>
        <v/>
      </c>
      <c r="J1395" s="12">
        <f>IF('Data Entry'!A1395="","",IF('Data Entry'!D1395&lt;&gt;"",'Data Entry'!D1395,'Data Entry'!E1395))</f>
        <v/>
      </c>
      <c r="K1395" s="10">
        <f>IF('Data Entry'!A1395="","",IFERROR(SUMIFS($H$5:$H$2001,$J$5:$J$2001,$J1395,$B$5:$B$2001,$B1395,$A$5:$A$2001,(MAXIFS($A$5:$A$2001,$J$5:$J$2001,$J1395,$B$5:$B$2001,$B1395,$A$5:$A$2001,"&lt;"&amp;$A1395))),""))</f>
        <v/>
      </c>
      <c r="L1395" s="14">
        <f>IF(OR('Data Entry'!A1395="",$K1395=""),"",$H1395-$K1395)</f>
        <v/>
      </c>
      <c r="M1395" s="15">
        <f>IF(OR('Data Entry'!A1395="",$K1395="",$K1395=0),"",$L1395/$K1395)</f>
        <v/>
      </c>
      <c r="N1395" s="12">
        <f>IF('Data Entry'!A1395="","",IF($L1395="","New item",IF($L1395&gt;0,"UP",IF($L1395&lt;0,"down","same"))))</f>
        <v/>
      </c>
    </row>
    <row r="1396">
      <c r="A1396" s="11">
        <f>IF('Data Entry'!A1396="","",'Data Entry'!A1396)</f>
        <v/>
      </c>
      <c r="B1396" s="12">
        <f>IF('Data Entry'!A1396="","",'Data Entry'!B1396)</f>
        <v/>
      </c>
      <c r="C1396" s="12">
        <f>IF('Data Entry'!A1396="","",'Data Entry'!C1396)</f>
        <v/>
      </c>
      <c r="D1396" s="12">
        <f>IF('Data Entry'!A1396="","",'Data Entry'!D1396)</f>
        <v/>
      </c>
      <c r="E1396" s="12">
        <f>IF('Data Entry'!A1396="","",'Data Entry'!E1396)</f>
        <v/>
      </c>
      <c r="F1396" s="12">
        <f>IF('Data Entry'!A1396="","",'Data Entry'!F1396)</f>
        <v/>
      </c>
      <c r="G1396" s="13">
        <f>IF('Data Entry'!A1396="","",'Data Entry'!G1396)</f>
        <v/>
      </c>
      <c r="H1396" s="10">
        <f>IF('Data Entry'!A1396="","",'Data Entry'!H1396)</f>
        <v/>
      </c>
      <c r="I1396" s="10">
        <f>IF('Data Entry'!A1396="","",'Data Entry'!I1396)</f>
        <v/>
      </c>
      <c r="J1396" s="12">
        <f>IF('Data Entry'!A1396="","",IF('Data Entry'!D1396&lt;&gt;"",'Data Entry'!D1396,'Data Entry'!E1396))</f>
        <v/>
      </c>
      <c r="K1396" s="10">
        <f>IF('Data Entry'!A1396="","",IFERROR(SUMIFS($H$5:$H$2001,$J$5:$J$2001,$J1396,$B$5:$B$2001,$B1396,$A$5:$A$2001,(MAXIFS($A$5:$A$2001,$J$5:$J$2001,$J1396,$B$5:$B$2001,$B1396,$A$5:$A$2001,"&lt;"&amp;$A1396))),""))</f>
        <v/>
      </c>
      <c r="L1396" s="14">
        <f>IF(OR('Data Entry'!A1396="",$K1396=""),"",$H1396-$K1396)</f>
        <v/>
      </c>
      <c r="M1396" s="15">
        <f>IF(OR('Data Entry'!A1396="",$K1396="",$K1396=0),"",$L1396/$K1396)</f>
        <v/>
      </c>
      <c r="N1396" s="12">
        <f>IF('Data Entry'!A1396="","",IF($L1396="","New item",IF($L1396&gt;0,"UP",IF($L1396&lt;0,"down","same"))))</f>
        <v/>
      </c>
    </row>
    <row r="1397">
      <c r="A1397" s="11">
        <f>IF('Data Entry'!A1397="","",'Data Entry'!A1397)</f>
        <v/>
      </c>
      <c r="B1397" s="12">
        <f>IF('Data Entry'!A1397="","",'Data Entry'!B1397)</f>
        <v/>
      </c>
      <c r="C1397" s="12">
        <f>IF('Data Entry'!A1397="","",'Data Entry'!C1397)</f>
        <v/>
      </c>
      <c r="D1397" s="12">
        <f>IF('Data Entry'!A1397="","",'Data Entry'!D1397)</f>
        <v/>
      </c>
      <c r="E1397" s="12">
        <f>IF('Data Entry'!A1397="","",'Data Entry'!E1397)</f>
        <v/>
      </c>
      <c r="F1397" s="12">
        <f>IF('Data Entry'!A1397="","",'Data Entry'!F1397)</f>
        <v/>
      </c>
      <c r="G1397" s="13">
        <f>IF('Data Entry'!A1397="","",'Data Entry'!G1397)</f>
        <v/>
      </c>
      <c r="H1397" s="10">
        <f>IF('Data Entry'!A1397="","",'Data Entry'!H1397)</f>
        <v/>
      </c>
      <c r="I1397" s="10">
        <f>IF('Data Entry'!A1397="","",'Data Entry'!I1397)</f>
        <v/>
      </c>
      <c r="J1397" s="12">
        <f>IF('Data Entry'!A1397="","",IF('Data Entry'!D1397&lt;&gt;"",'Data Entry'!D1397,'Data Entry'!E1397))</f>
        <v/>
      </c>
      <c r="K1397" s="10">
        <f>IF('Data Entry'!A1397="","",IFERROR(SUMIFS($H$5:$H$2001,$J$5:$J$2001,$J1397,$B$5:$B$2001,$B1397,$A$5:$A$2001,(MAXIFS($A$5:$A$2001,$J$5:$J$2001,$J1397,$B$5:$B$2001,$B1397,$A$5:$A$2001,"&lt;"&amp;$A1397))),""))</f>
        <v/>
      </c>
      <c r="L1397" s="14">
        <f>IF(OR('Data Entry'!A1397="",$K1397=""),"",$H1397-$K1397)</f>
        <v/>
      </c>
      <c r="M1397" s="15">
        <f>IF(OR('Data Entry'!A1397="",$K1397="",$K1397=0),"",$L1397/$K1397)</f>
        <v/>
      </c>
      <c r="N1397" s="12">
        <f>IF('Data Entry'!A1397="","",IF($L1397="","New item",IF($L1397&gt;0,"UP",IF($L1397&lt;0,"down","same"))))</f>
        <v/>
      </c>
    </row>
    <row r="1398">
      <c r="A1398" s="11">
        <f>IF('Data Entry'!A1398="","",'Data Entry'!A1398)</f>
        <v/>
      </c>
      <c r="B1398" s="12">
        <f>IF('Data Entry'!A1398="","",'Data Entry'!B1398)</f>
        <v/>
      </c>
      <c r="C1398" s="12">
        <f>IF('Data Entry'!A1398="","",'Data Entry'!C1398)</f>
        <v/>
      </c>
      <c r="D1398" s="12">
        <f>IF('Data Entry'!A1398="","",'Data Entry'!D1398)</f>
        <v/>
      </c>
      <c r="E1398" s="12">
        <f>IF('Data Entry'!A1398="","",'Data Entry'!E1398)</f>
        <v/>
      </c>
      <c r="F1398" s="12">
        <f>IF('Data Entry'!A1398="","",'Data Entry'!F1398)</f>
        <v/>
      </c>
      <c r="G1398" s="13">
        <f>IF('Data Entry'!A1398="","",'Data Entry'!G1398)</f>
        <v/>
      </c>
      <c r="H1398" s="10">
        <f>IF('Data Entry'!A1398="","",'Data Entry'!H1398)</f>
        <v/>
      </c>
      <c r="I1398" s="10">
        <f>IF('Data Entry'!A1398="","",'Data Entry'!I1398)</f>
        <v/>
      </c>
      <c r="J1398" s="12">
        <f>IF('Data Entry'!A1398="","",IF('Data Entry'!D1398&lt;&gt;"",'Data Entry'!D1398,'Data Entry'!E1398))</f>
        <v/>
      </c>
      <c r="K1398" s="10">
        <f>IF('Data Entry'!A1398="","",IFERROR(SUMIFS($H$5:$H$2001,$J$5:$J$2001,$J1398,$B$5:$B$2001,$B1398,$A$5:$A$2001,(MAXIFS($A$5:$A$2001,$J$5:$J$2001,$J1398,$B$5:$B$2001,$B1398,$A$5:$A$2001,"&lt;"&amp;$A1398))),""))</f>
        <v/>
      </c>
      <c r="L1398" s="14">
        <f>IF(OR('Data Entry'!A1398="",$K1398=""),"",$H1398-$K1398)</f>
        <v/>
      </c>
      <c r="M1398" s="15">
        <f>IF(OR('Data Entry'!A1398="",$K1398="",$K1398=0),"",$L1398/$K1398)</f>
        <v/>
      </c>
      <c r="N1398" s="12">
        <f>IF('Data Entry'!A1398="","",IF($L1398="","New item",IF($L1398&gt;0,"UP",IF($L1398&lt;0,"down","same"))))</f>
        <v/>
      </c>
    </row>
    <row r="1399">
      <c r="A1399" s="11">
        <f>IF('Data Entry'!A1399="","",'Data Entry'!A1399)</f>
        <v/>
      </c>
      <c r="B1399" s="12">
        <f>IF('Data Entry'!A1399="","",'Data Entry'!B1399)</f>
        <v/>
      </c>
      <c r="C1399" s="12">
        <f>IF('Data Entry'!A1399="","",'Data Entry'!C1399)</f>
        <v/>
      </c>
      <c r="D1399" s="12">
        <f>IF('Data Entry'!A1399="","",'Data Entry'!D1399)</f>
        <v/>
      </c>
      <c r="E1399" s="12">
        <f>IF('Data Entry'!A1399="","",'Data Entry'!E1399)</f>
        <v/>
      </c>
      <c r="F1399" s="12">
        <f>IF('Data Entry'!A1399="","",'Data Entry'!F1399)</f>
        <v/>
      </c>
      <c r="G1399" s="13">
        <f>IF('Data Entry'!A1399="","",'Data Entry'!G1399)</f>
        <v/>
      </c>
      <c r="H1399" s="10">
        <f>IF('Data Entry'!A1399="","",'Data Entry'!H1399)</f>
        <v/>
      </c>
      <c r="I1399" s="10">
        <f>IF('Data Entry'!A1399="","",'Data Entry'!I1399)</f>
        <v/>
      </c>
      <c r="J1399" s="12">
        <f>IF('Data Entry'!A1399="","",IF('Data Entry'!D1399&lt;&gt;"",'Data Entry'!D1399,'Data Entry'!E1399))</f>
        <v/>
      </c>
      <c r="K1399" s="10">
        <f>IF('Data Entry'!A1399="","",IFERROR(SUMIFS($H$5:$H$2001,$J$5:$J$2001,$J1399,$B$5:$B$2001,$B1399,$A$5:$A$2001,(MAXIFS($A$5:$A$2001,$J$5:$J$2001,$J1399,$B$5:$B$2001,$B1399,$A$5:$A$2001,"&lt;"&amp;$A1399))),""))</f>
        <v/>
      </c>
      <c r="L1399" s="14">
        <f>IF(OR('Data Entry'!A1399="",$K1399=""),"",$H1399-$K1399)</f>
        <v/>
      </c>
      <c r="M1399" s="15">
        <f>IF(OR('Data Entry'!A1399="",$K1399="",$K1399=0),"",$L1399/$K1399)</f>
        <v/>
      </c>
      <c r="N1399" s="12">
        <f>IF('Data Entry'!A1399="","",IF($L1399="","New item",IF($L1399&gt;0,"UP",IF($L1399&lt;0,"down","same"))))</f>
        <v/>
      </c>
    </row>
    <row r="1400">
      <c r="A1400" s="11">
        <f>IF('Data Entry'!A1400="","",'Data Entry'!A1400)</f>
        <v/>
      </c>
      <c r="B1400" s="12">
        <f>IF('Data Entry'!A1400="","",'Data Entry'!B1400)</f>
        <v/>
      </c>
      <c r="C1400" s="12">
        <f>IF('Data Entry'!A1400="","",'Data Entry'!C1400)</f>
        <v/>
      </c>
      <c r="D1400" s="12">
        <f>IF('Data Entry'!A1400="","",'Data Entry'!D1400)</f>
        <v/>
      </c>
      <c r="E1400" s="12">
        <f>IF('Data Entry'!A1400="","",'Data Entry'!E1400)</f>
        <v/>
      </c>
      <c r="F1400" s="12">
        <f>IF('Data Entry'!A1400="","",'Data Entry'!F1400)</f>
        <v/>
      </c>
      <c r="G1400" s="13">
        <f>IF('Data Entry'!A1400="","",'Data Entry'!G1400)</f>
        <v/>
      </c>
      <c r="H1400" s="10">
        <f>IF('Data Entry'!A1400="","",'Data Entry'!H1400)</f>
        <v/>
      </c>
      <c r="I1400" s="10">
        <f>IF('Data Entry'!A1400="","",'Data Entry'!I1400)</f>
        <v/>
      </c>
      <c r="J1400" s="12">
        <f>IF('Data Entry'!A1400="","",IF('Data Entry'!D1400&lt;&gt;"",'Data Entry'!D1400,'Data Entry'!E1400))</f>
        <v/>
      </c>
      <c r="K1400" s="10">
        <f>IF('Data Entry'!A1400="","",IFERROR(SUMIFS($H$5:$H$2001,$J$5:$J$2001,$J1400,$B$5:$B$2001,$B1400,$A$5:$A$2001,(MAXIFS($A$5:$A$2001,$J$5:$J$2001,$J1400,$B$5:$B$2001,$B1400,$A$5:$A$2001,"&lt;"&amp;$A1400))),""))</f>
        <v/>
      </c>
      <c r="L1400" s="14">
        <f>IF(OR('Data Entry'!A1400="",$K1400=""),"",$H1400-$K1400)</f>
        <v/>
      </c>
      <c r="M1400" s="15">
        <f>IF(OR('Data Entry'!A1400="",$K1400="",$K1400=0),"",$L1400/$K1400)</f>
        <v/>
      </c>
      <c r="N1400" s="12">
        <f>IF('Data Entry'!A1400="","",IF($L1400="","New item",IF($L1400&gt;0,"UP",IF($L1400&lt;0,"down","same"))))</f>
        <v/>
      </c>
    </row>
    <row r="1401">
      <c r="A1401" s="11">
        <f>IF('Data Entry'!A1401="","",'Data Entry'!A1401)</f>
        <v/>
      </c>
      <c r="B1401" s="12">
        <f>IF('Data Entry'!A1401="","",'Data Entry'!B1401)</f>
        <v/>
      </c>
      <c r="C1401" s="12">
        <f>IF('Data Entry'!A1401="","",'Data Entry'!C1401)</f>
        <v/>
      </c>
      <c r="D1401" s="12">
        <f>IF('Data Entry'!A1401="","",'Data Entry'!D1401)</f>
        <v/>
      </c>
      <c r="E1401" s="12">
        <f>IF('Data Entry'!A1401="","",'Data Entry'!E1401)</f>
        <v/>
      </c>
      <c r="F1401" s="12">
        <f>IF('Data Entry'!A1401="","",'Data Entry'!F1401)</f>
        <v/>
      </c>
      <c r="G1401" s="13">
        <f>IF('Data Entry'!A1401="","",'Data Entry'!G1401)</f>
        <v/>
      </c>
      <c r="H1401" s="10">
        <f>IF('Data Entry'!A1401="","",'Data Entry'!H1401)</f>
        <v/>
      </c>
      <c r="I1401" s="10">
        <f>IF('Data Entry'!A1401="","",'Data Entry'!I1401)</f>
        <v/>
      </c>
      <c r="J1401" s="12">
        <f>IF('Data Entry'!A1401="","",IF('Data Entry'!D1401&lt;&gt;"",'Data Entry'!D1401,'Data Entry'!E1401))</f>
        <v/>
      </c>
      <c r="K1401" s="10">
        <f>IF('Data Entry'!A1401="","",IFERROR(SUMIFS($H$5:$H$2001,$J$5:$J$2001,$J1401,$B$5:$B$2001,$B1401,$A$5:$A$2001,(MAXIFS($A$5:$A$2001,$J$5:$J$2001,$J1401,$B$5:$B$2001,$B1401,$A$5:$A$2001,"&lt;"&amp;$A1401))),""))</f>
        <v/>
      </c>
      <c r="L1401" s="14">
        <f>IF(OR('Data Entry'!A1401="",$K1401=""),"",$H1401-$K1401)</f>
        <v/>
      </c>
      <c r="M1401" s="15">
        <f>IF(OR('Data Entry'!A1401="",$K1401="",$K1401=0),"",$L1401/$K1401)</f>
        <v/>
      </c>
      <c r="N1401" s="12">
        <f>IF('Data Entry'!A1401="","",IF($L1401="","New item",IF($L1401&gt;0,"UP",IF($L1401&lt;0,"down","same"))))</f>
        <v/>
      </c>
    </row>
    <row r="1402">
      <c r="A1402" s="11">
        <f>IF('Data Entry'!A1402="","",'Data Entry'!A1402)</f>
        <v/>
      </c>
      <c r="B1402" s="12">
        <f>IF('Data Entry'!A1402="","",'Data Entry'!B1402)</f>
        <v/>
      </c>
      <c r="C1402" s="12">
        <f>IF('Data Entry'!A1402="","",'Data Entry'!C1402)</f>
        <v/>
      </c>
      <c r="D1402" s="12">
        <f>IF('Data Entry'!A1402="","",'Data Entry'!D1402)</f>
        <v/>
      </c>
      <c r="E1402" s="12">
        <f>IF('Data Entry'!A1402="","",'Data Entry'!E1402)</f>
        <v/>
      </c>
      <c r="F1402" s="12">
        <f>IF('Data Entry'!A1402="","",'Data Entry'!F1402)</f>
        <v/>
      </c>
      <c r="G1402" s="13">
        <f>IF('Data Entry'!A1402="","",'Data Entry'!G1402)</f>
        <v/>
      </c>
      <c r="H1402" s="10">
        <f>IF('Data Entry'!A1402="","",'Data Entry'!H1402)</f>
        <v/>
      </c>
      <c r="I1402" s="10">
        <f>IF('Data Entry'!A1402="","",'Data Entry'!I1402)</f>
        <v/>
      </c>
      <c r="J1402" s="12">
        <f>IF('Data Entry'!A1402="","",IF('Data Entry'!D1402&lt;&gt;"",'Data Entry'!D1402,'Data Entry'!E1402))</f>
        <v/>
      </c>
      <c r="K1402" s="10">
        <f>IF('Data Entry'!A1402="","",IFERROR(SUMIFS($H$5:$H$2001,$J$5:$J$2001,$J1402,$B$5:$B$2001,$B1402,$A$5:$A$2001,(MAXIFS($A$5:$A$2001,$J$5:$J$2001,$J1402,$B$5:$B$2001,$B1402,$A$5:$A$2001,"&lt;"&amp;$A1402))),""))</f>
        <v/>
      </c>
      <c r="L1402" s="14">
        <f>IF(OR('Data Entry'!A1402="",$K1402=""),"",$H1402-$K1402)</f>
        <v/>
      </c>
      <c r="M1402" s="15">
        <f>IF(OR('Data Entry'!A1402="",$K1402="",$K1402=0),"",$L1402/$K1402)</f>
        <v/>
      </c>
      <c r="N1402" s="12">
        <f>IF('Data Entry'!A1402="","",IF($L1402="","New item",IF($L1402&gt;0,"UP",IF($L1402&lt;0,"down","same"))))</f>
        <v/>
      </c>
    </row>
    <row r="1403">
      <c r="A1403" s="11">
        <f>IF('Data Entry'!A1403="","",'Data Entry'!A1403)</f>
        <v/>
      </c>
      <c r="B1403" s="12">
        <f>IF('Data Entry'!A1403="","",'Data Entry'!B1403)</f>
        <v/>
      </c>
      <c r="C1403" s="12">
        <f>IF('Data Entry'!A1403="","",'Data Entry'!C1403)</f>
        <v/>
      </c>
      <c r="D1403" s="12">
        <f>IF('Data Entry'!A1403="","",'Data Entry'!D1403)</f>
        <v/>
      </c>
      <c r="E1403" s="12">
        <f>IF('Data Entry'!A1403="","",'Data Entry'!E1403)</f>
        <v/>
      </c>
      <c r="F1403" s="12">
        <f>IF('Data Entry'!A1403="","",'Data Entry'!F1403)</f>
        <v/>
      </c>
      <c r="G1403" s="13">
        <f>IF('Data Entry'!A1403="","",'Data Entry'!G1403)</f>
        <v/>
      </c>
      <c r="H1403" s="10">
        <f>IF('Data Entry'!A1403="","",'Data Entry'!H1403)</f>
        <v/>
      </c>
      <c r="I1403" s="10">
        <f>IF('Data Entry'!A1403="","",'Data Entry'!I1403)</f>
        <v/>
      </c>
      <c r="J1403" s="12">
        <f>IF('Data Entry'!A1403="","",IF('Data Entry'!D1403&lt;&gt;"",'Data Entry'!D1403,'Data Entry'!E1403))</f>
        <v/>
      </c>
      <c r="K1403" s="10">
        <f>IF('Data Entry'!A1403="","",IFERROR(SUMIFS($H$5:$H$2001,$J$5:$J$2001,$J1403,$B$5:$B$2001,$B1403,$A$5:$A$2001,(MAXIFS($A$5:$A$2001,$J$5:$J$2001,$J1403,$B$5:$B$2001,$B1403,$A$5:$A$2001,"&lt;"&amp;$A1403))),""))</f>
        <v/>
      </c>
      <c r="L1403" s="14">
        <f>IF(OR('Data Entry'!A1403="",$K1403=""),"",$H1403-$K1403)</f>
        <v/>
      </c>
      <c r="M1403" s="15">
        <f>IF(OR('Data Entry'!A1403="",$K1403="",$K1403=0),"",$L1403/$K1403)</f>
        <v/>
      </c>
      <c r="N1403" s="12">
        <f>IF('Data Entry'!A1403="","",IF($L1403="","New item",IF($L1403&gt;0,"UP",IF($L1403&lt;0,"down","same"))))</f>
        <v/>
      </c>
    </row>
    <row r="1404">
      <c r="A1404" s="11">
        <f>IF('Data Entry'!A1404="","",'Data Entry'!A1404)</f>
        <v/>
      </c>
      <c r="B1404" s="12">
        <f>IF('Data Entry'!A1404="","",'Data Entry'!B1404)</f>
        <v/>
      </c>
      <c r="C1404" s="12">
        <f>IF('Data Entry'!A1404="","",'Data Entry'!C1404)</f>
        <v/>
      </c>
      <c r="D1404" s="12">
        <f>IF('Data Entry'!A1404="","",'Data Entry'!D1404)</f>
        <v/>
      </c>
      <c r="E1404" s="12">
        <f>IF('Data Entry'!A1404="","",'Data Entry'!E1404)</f>
        <v/>
      </c>
      <c r="F1404" s="12">
        <f>IF('Data Entry'!A1404="","",'Data Entry'!F1404)</f>
        <v/>
      </c>
      <c r="G1404" s="13">
        <f>IF('Data Entry'!A1404="","",'Data Entry'!G1404)</f>
        <v/>
      </c>
      <c r="H1404" s="10">
        <f>IF('Data Entry'!A1404="","",'Data Entry'!H1404)</f>
        <v/>
      </c>
      <c r="I1404" s="10">
        <f>IF('Data Entry'!A1404="","",'Data Entry'!I1404)</f>
        <v/>
      </c>
      <c r="J1404" s="12">
        <f>IF('Data Entry'!A1404="","",IF('Data Entry'!D1404&lt;&gt;"",'Data Entry'!D1404,'Data Entry'!E1404))</f>
        <v/>
      </c>
      <c r="K1404" s="10">
        <f>IF('Data Entry'!A1404="","",IFERROR(SUMIFS($H$5:$H$2001,$J$5:$J$2001,$J1404,$B$5:$B$2001,$B1404,$A$5:$A$2001,(MAXIFS($A$5:$A$2001,$J$5:$J$2001,$J1404,$B$5:$B$2001,$B1404,$A$5:$A$2001,"&lt;"&amp;$A1404))),""))</f>
        <v/>
      </c>
      <c r="L1404" s="14">
        <f>IF(OR('Data Entry'!A1404="",$K1404=""),"",$H1404-$K1404)</f>
        <v/>
      </c>
      <c r="M1404" s="15">
        <f>IF(OR('Data Entry'!A1404="",$K1404="",$K1404=0),"",$L1404/$K1404)</f>
        <v/>
      </c>
      <c r="N1404" s="12">
        <f>IF('Data Entry'!A1404="","",IF($L1404="","New item",IF($L1404&gt;0,"UP",IF($L1404&lt;0,"down","same"))))</f>
        <v/>
      </c>
    </row>
    <row r="1405">
      <c r="A1405" s="11">
        <f>IF('Data Entry'!A1405="","",'Data Entry'!A1405)</f>
        <v/>
      </c>
      <c r="B1405" s="12">
        <f>IF('Data Entry'!A1405="","",'Data Entry'!B1405)</f>
        <v/>
      </c>
      <c r="C1405" s="12">
        <f>IF('Data Entry'!A1405="","",'Data Entry'!C1405)</f>
        <v/>
      </c>
      <c r="D1405" s="12">
        <f>IF('Data Entry'!A1405="","",'Data Entry'!D1405)</f>
        <v/>
      </c>
      <c r="E1405" s="12">
        <f>IF('Data Entry'!A1405="","",'Data Entry'!E1405)</f>
        <v/>
      </c>
      <c r="F1405" s="12">
        <f>IF('Data Entry'!A1405="","",'Data Entry'!F1405)</f>
        <v/>
      </c>
      <c r="G1405" s="13">
        <f>IF('Data Entry'!A1405="","",'Data Entry'!G1405)</f>
        <v/>
      </c>
      <c r="H1405" s="10">
        <f>IF('Data Entry'!A1405="","",'Data Entry'!H1405)</f>
        <v/>
      </c>
      <c r="I1405" s="10">
        <f>IF('Data Entry'!A1405="","",'Data Entry'!I1405)</f>
        <v/>
      </c>
      <c r="J1405" s="12">
        <f>IF('Data Entry'!A1405="","",IF('Data Entry'!D1405&lt;&gt;"",'Data Entry'!D1405,'Data Entry'!E1405))</f>
        <v/>
      </c>
      <c r="K1405" s="10">
        <f>IF('Data Entry'!A1405="","",IFERROR(SUMIFS($H$5:$H$2001,$J$5:$J$2001,$J1405,$B$5:$B$2001,$B1405,$A$5:$A$2001,(MAXIFS($A$5:$A$2001,$J$5:$J$2001,$J1405,$B$5:$B$2001,$B1405,$A$5:$A$2001,"&lt;"&amp;$A1405))),""))</f>
        <v/>
      </c>
      <c r="L1405" s="14">
        <f>IF(OR('Data Entry'!A1405="",$K1405=""),"",$H1405-$K1405)</f>
        <v/>
      </c>
      <c r="M1405" s="15">
        <f>IF(OR('Data Entry'!A1405="",$K1405="",$K1405=0),"",$L1405/$K1405)</f>
        <v/>
      </c>
      <c r="N1405" s="12">
        <f>IF('Data Entry'!A1405="","",IF($L1405="","New item",IF($L1405&gt;0,"UP",IF($L1405&lt;0,"down","same"))))</f>
        <v/>
      </c>
    </row>
    <row r="1406">
      <c r="A1406" s="11">
        <f>IF('Data Entry'!A1406="","",'Data Entry'!A1406)</f>
        <v/>
      </c>
      <c r="B1406" s="12">
        <f>IF('Data Entry'!A1406="","",'Data Entry'!B1406)</f>
        <v/>
      </c>
      <c r="C1406" s="12">
        <f>IF('Data Entry'!A1406="","",'Data Entry'!C1406)</f>
        <v/>
      </c>
      <c r="D1406" s="12">
        <f>IF('Data Entry'!A1406="","",'Data Entry'!D1406)</f>
        <v/>
      </c>
      <c r="E1406" s="12">
        <f>IF('Data Entry'!A1406="","",'Data Entry'!E1406)</f>
        <v/>
      </c>
      <c r="F1406" s="12">
        <f>IF('Data Entry'!A1406="","",'Data Entry'!F1406)</f>
        <v/>
      </c>
      <c r="G1406" s="13">
        <f>IF('Data Entry'!A1406="","",'Data Entry'!G1406)</f>
        <v/>
      </c>
      <c r="H1406" s="10">
        <f>IF('Data Entry'!A1406="","",'Data Entry'!H1406)</f>
        <v/>
      </c>
      <c r="I1406" s="10">
        <f>IF('Data Entry'!A1406="","",'Data Entry'!I1406)</f>
        <v/>
      </c>
      <c r="J1406" s="12">
        <f>IF('Data Entry'!A1406="","",IF('Data Entry'!D1406&lt;&gt;"",'Data Entry'!D1406,'Data Entry'!E1406))</f>
        <v/>
      </c>
      <c r="K1406" s="10">
        <f>IF('Data Entry'!A1406="","",IFERROR(SUMIFS($H$5:$H$2001,$J$5:$J$2001,$J1406,$B$5:$B$2001,$B1406,$A$5:$A$2001,(MAXIFS($A$5:$A$2001,$J$5:$J$2001,$J1406,$B$5:$B$2001,$B1406,$A$5:$A$2001,"&lt;"&amp;$A1406))),""))</f>
        <v/>
      </c>
      <c r="L1406" s="14">
        <f>IF(OR('Data Entry'!A1406="",$K1406=""),"",$H1406-$K1406)</f>
        <v/>
      </c>
      <c r="M1406" s="15">
        <f>IF(OR('Data Entry'!A1406="",$K1406="",$K1406=0),"",$L1406/$K1406)</f>
        <v/>
      </c>
      <c r="N1406" s="12">
        <f>IF('Data Entry'!A1406="","",IF($L1406="","New item",IF($L1406&gt;0,"UP",IF($L1406&lt;0,"down","same"))))</f>
        <v/>
      </c>
    </row>
    <row r="1407">
      <c r="A1407" s="11">
        <f>IF('Data Entry'!A1407="","",'Data Entry'!A1407)</f>
        <v/>
      </c>
      <c r="B1407" s="12">
        <f>IF('Data Entry'!A1407="","",'Data Entry'!B1407)</f>
        <v/>
      </c>
      <c r="C1407" s="12">
        <f>IF('Data Entry'!A1407="","",'Data Entry'!C1407)</f>
        <v/>
      </c>
      <c r="D1407" s="12">
        <f>IF('Data Entry'!A1407="","",'Data Entry'!D1407)</f>
        <v/>
      </c>
      <c r="E1407" s="12">
        <f>IF('Data Entry'!A1407="","",'Data Entry'!E1407)</f>
        <v/>
      </c>
      <c r="F1407" s="12">
        <f>IF('Data Entry'!A1407="","",'Data Entry'!F1407)</f>
        <v/>
      </c>
      <c r="G1407" s="13">
        <f>IF('Data Entry'!A1407="","",'Data Entry'!G1407)</f>
        <v/>
      </c>
      <c r="H1407" s="10">
        <f>IF('Data Entry'!A1407="","",'Data Entry'!H1407)</f>
        <v/>
      </c>
      <c r="I1407" s="10">
        <f>IF('Data Entry'!A1407="","",'Data Entry'!I1407)</f>
        <v/>
      </c>
      <c r="J1407" s="12">
        <f>IF('Data Entry'!A1407="","",IF('Data Entry'!D1407&lt;&gt;"",'Data Entry'!D1407,'Data Entry'!E1407))</f>
        <v/>
      </c>
      <c r="K1407" s="10">
        <f>IF('Data Entry'!A1407="","",IFERROR(SUMIFS($H$5:$H$2001,$J$5:$J$2001,$J1407,$B$5:$B$2001,$B1407,$A$5:$A$2001,(MAXIFS($A$5:$A$2001,$J$5:$J$2001,$J1407,$B$5:$B$2001,$B1407,$A$5:$A$2001,"&lt;"&amp;$A1407))),""))</f>
        <v/>
      </c>
      <c r="L1407" s="14">
        <f>IF(OR('Data Entry'!A1407="",$K1407=""),"",$H1407-$K1407)</f>
        <v/>
      </c>
      <c r="M1407" s="15">
        <f>IF(OR('Data Entry'!A1407="",$K1407="",$K1407=0),"",$L1407/$K1407)</f>
        <v/>
      </c>
      <c r="N1407" s="12">
        <f>IF('Data Entry'!A1407="","",IF($L1407="","New item",IF($L1407&gt;0,"UP",IF($L1407&lt;0,"down","same"))))</f>
        <v/>
      </c>
    </row>
    <row r="1408">
      <c r="A1408" s="11">
        <f>IF('Data Entry'!A1408="","",'Data Entry'!A1408)</f>
        <v/>
      </c>
      <c r="B1408" s="12">
        <f>IF('Data Entry'!A1408="","",'Data Entry'!B1408)</f>
        <v/>
      </c>
      <c r="C1408" s="12">
        <f>IF('Data Entry'!A1408="","",'Data Entry'!C1408)</f>
        <v/>
      </c>
      <c r="D1408" s="12">
        <f>IF('Data Entry'!A1408="","",'Data Entry'!D1408)</f>
        <v/>
      </c>
      <c r="E1408" s="12">
        <f>IF('Data Entry'!A1408="","",'Data Entry'!E1408)</f>
        <v/>
      </c>
      <c r="F1408" s="12">
        <f>IF('Data Entry'!A1408="","",'Data Entry'!F1408)</f>
        <v/>
      </c>
      <c r="G1408" s="13">
        <f>IF('Data Entry'!A1408="","",'Data Entry'!G1408)</f>
        <v/>
      </c>
      <c r="H1408" s="10">
        <f>IF('Data Entry'!A1408="","",'Data Entry'!H1408)</f>
        <v/>
      </c>
      <c r="I1408" s="10">
        <f>IF('Data Entry'!A1408="","",'Data Entry'!I1408)</f>
        <v/>
      </c>
      <c r="J1408" s="12">
        <f>IF('Data Entry'!A1408="","",IF('Data Entry'!D1408&lt;&gt;"",'Data Entry'!D1408,'Data Entry'!E1408))</f>
        <v/>
      </c>
      <c r="K1408" s="10">
        <f>IF('Data Entry'!A1408="","",IFERROR(SUMIFS($H$5:$H$2001,$J$5:$J$2001,$J1408,$B$5:$B$2001,$B1408,$A$5:$A$2001,(MAXIFS($A$5:$A$2001,$J$5:$J$2001,$J1408,$B$5:$B$2001,$B1408,$A$5:$A$2001,"&lt;"&amp;$A1408))),""))</f>
        <v/>
      </c>
      <c r="L1408" s="14">
        <f>IF(OR('Data Entry'!A1408="",$K1408=""),"",$H1408-$K1408)</f>
        <v/>
      </c>
      <c r="M1408" s="15">
        <f>IF(OR('Data Entry'!A1408="",$K1408="",$K1408=0),"",$L1408/$K1408)</f>
        <v/>
      </c>
      <c r="N1408" s="12">
        <f>IF('Data Entry'!A1408="","",IF($L1408="","New item",IF($L1408&gt;0,"UP",IF($L1408&lt;0,"down","same"))))</f>
        <v/>
      </c>
    </row>
    <row r="1409">
      <c r="A1409" s="11">
        <f>IF('Data Entry'!A1409="","",'Data Entry'!A1409)</f>
        <v/>
      </c>
      <c r="B1409" s="12">
        <f>IF('Data Entry'!A1409="","",'Data Entry'!B1409)</f>
        <v/>
      </c>
      <c r="C1409" s="12">
        <f>IF('Data Entry'!A1409="","",'Data Entry'!C1409)</f>
        <v/>
      </c>
      <c r="D1409" s="12">
        <f>IF('Data Entry'!A1409="","",'Data Entry'!D1409)</f>
        <v/>
      </c>
      <c r="E1409" s="12">
        <f>IF('Data Entry'!A1409="","",'Data Entry'!E1409)</f>
        <v/>
      </c>
      <c r="F1409" s="12">
        <f>IF('Data Entry'!A1409="","",'Data Entry'!F1409)</f>
        <v/>
      </c>
      <c r="G1409" s="13">
        <f>IF('Data Entry'!A1409="","",'Data Entry'!G1409)</f>
        <v/>
      </c>
      <c r="H1409" s="10">
        <f>IF('Data Entry'!A1409="","",'Data Entry'!H1409)</f>
        <v/>
      </c>
      <c r="I1409" s="10">
        <f>IF('Data Entry'!A1409="","",'Data Entry'!I1409)</f>
        <v/>
      </c>
      <c r="J1409" s="12">
        <f>IF('Data Entry'!A1409="","",IF('Data Entry'!D1409&lt;&gt;"",'Data Entry'!D1409,'Data Entry'!E1409))</f>
        <v/>
      </c>
      <c r="K1409" s="10">
        <f>IF('Data Entry'!A1409="","",IFERROR(SUMIFS($H$5:$H$2001,$J$5:$J$2001,$J1409,$B$5:$B$2001,$B1409,$A$5:$A$2001,(MAXIFS($A$5:$A$2001,$J$5:$J$2001,$J1409,$B$5:$B$2001,$B1409,$A$5:$A$2001,"&lt;"&amp;$A1409))),""))</f>
        <v/>
      </c>
      <c r="L1409" s="14">
        <f>IF(OR('Data Entry'!A1409="",$K1409=""),"",$H1409-$K1409)</f>
        <v/>
      </c>
      <c r="M1409" s="15">
        <f>IF(OR('Data Entry'!A1409="",$K1409="",$K1409=0),"",$L1409/$K1409)</f>
        <v/>
      </c>
      <c r="N1409" s="12">
        <f>IF('Data Entry'!A1409="","",IF($L1409="","New item",IF($L1409&gt;0,"UP",IF($L1409&lt;0,"down","same"))))</f>
        <v/>
      </c>
    </row>
    <row r="1410">
      <c r="A1410" s="11">
        <f>IF('Data Entry'!A1410="","",'Data Entry'!A1410)</f>
        <v/>
      </c>
      <c r="B1410" s="12">
        <f>IF('Data Entry'!A1410="","",'Data Entry'!B1410)</f>
        <v/>
      </c>
      <c r="C1410" s="12">
        <f>IF('Data Entry'!A1410="","",'Data Entry'!C1410)</f>
        <v/>
      </c>
      <c r="D1410" s="12">
        <f>IF('Data Entry'!A1410="","",'Data Entry'!D1410)</f>
        <v/>
      </c>
      <c r="E1410" s="12">
        <f>IF('Data Entry'!A1410="","",'Data Entry'!E1410)</f>
        <v/>
      </c>
      <c r="F1410" s="12">
        <f>IF('Data Entry'!A1410="","",'Data Entry'!F1410)</f>
        <v/>
      </c>
      <c r="G1410" s="13">
        <f>IF('Data Entry'!A1410="","",'Data Entry'!G1410)</f>
        <v/>
      </c>
      <c r="H1410" s="10">
        <f>IF('Data Entry'!A1410="","",'Data Entry'!H1410)</f>
        <v/>
      </c>
      <c r="I1410" s="10">
        <f>IF('Data Entry'!A1410="","",'Data Entry'!I1410)</f>
        <v/>
      </c>
      <c r="J1410" s="12">
        <f>IF('Data Entry'!A1410="","",IF('Data Entry'!D1410&lt;&gt;"",'Data Entry'!D1410,'Data Entry'!E1410))</f>
        <v/>
      </c>
      <c r="K1410" s="10">
        <f>IF('Data Entry'!A1410="","",IFERROR(SUMIFS($H$5:$H$2001,$J$5:$J$2001,$J1410,$B$5:$B$2001,$B1410,$A$5:$A$2001,(MAXIFS($A$5:$A$2001,$J$5:$J$2001,$J1410,$B$5:$B$2001,$B1410,$A$5:$A$2001,"&lt;"&amp;$A1410))),""))</f>
        <v/>
      </c>
      <c r="L1410" s="14">
        <f>IF(OR('Data Entry'!A1410="",$K1410=""),"",$H1410-$K1410)</f>
        <v/>
      </c>
      <c r="M1410" s="15">
        <f>IF(OR('Data Entry'!A1410="",$K1410="",$K1410=0),"",$L1410/$K1410)</f>
        <v/>
      </c>
      <c r="N1410" s="12">
        <f>IF('Data Entry'!A1410="","",IF($L1410="","New item",IF($L1410&gt;0,"UP",IF($L1410&lt;0,"down","same"))))</f>
        <v/>
      </c>
    </row>
    <row r="1411">
      <c r="A1411" s="11">
        <f>IF('Data Entry'!A1411="","",'Data Entry'!A1411)</f>
        <v/>
      </c>
      <c r="B1411" s="12">
        <f>IF('Data Entry'!A1411="","",'Data Entry'!B1411)</f>
        <v/>
      </c>
      <c r="C1411" s="12">
        <f>IF('Data Entry'!A1411="","",'Data Entry'!C1411)</f>
        <v/>
      </c>
      <c r="D1411" s="12">
        <f>IF('Data Entry'!A1411="","",'Data Entry'!D1411)</f>
        <v/>
      </c>
      <c r="E1411" s="12">
        <f>IF('Data Entry'!A1411="","",'Data Entry'!E1411)</f>
        <v/>
      </c>
      <c r="F1411" s="12">
        <f>IF('Data Entry'!A1411="","",'Data Entry'!F1411)</f>
        <v/>
      </c>
      <c r="G1411" s="13">
        <f>IF('Data Entry'!A1411="","",'Data Entry'!G1411)</f>
        <v/>
      </c>
      <c r="H1411" s="10">
        <f>IF('Data Entry'!A1411="","",'Data Entry'!H1411)</f>
        <v/>
      </c>
      <c r="I1411" s="10">
        <f>IF('Data Entry'!A1411="","",'Data Entry'!I1411)</f>
        <v/>
      </c>
      <c r="J1411" s="12">
        <f>IF('Data Entry'!A1411="","",IF('Data Entry'!D1411&lt;&gt;"",'Data Entry'!D1411,'Data Entry'!E1411))</f>
        <v/>
      </c>
      <c r="K1411" s="10">
        <f>IF('Data Entry'!A1411="","",IFERROR(SUMIFS($H$5:$H$2001,$J$5:$J$2001,$J1411,$B$5:$B$2001,$B1411,$A$5:$A$2001,(MAXIFS($A$5:$A$2001,$J$5:$J$2001,$J1411,$B$5:$B$2001,$B1411,$A$5:$A$2001,"&lt;"&amp;$A1411))),""))</f>
        <v/>
      </c>
      <c r="L1411" s="14">
        <f>IF(OR('Data Entry'!A1411="",$K1411=""),"",$H1411-$K1411)</f>
        <v/>
      </c>
      <c r="M1411" s="15">
        <f>IF(OR('Data Entry'!A1411="",$K1411="",$K1411=0),"",$L1411/$K1411)</f>
        <v/>
      </c>
      <c r="N1411" s="12">
        <f>IF('Data Entry'!A1411="","",IF($L1411="","New item",IF($L1411&gt;0,"UP",IF($L1411&lt;0,"down","same"))))</f>
        <v/>
      </c>
    </row>
    <row r="1412">
      <c r="A1412" s="11">
        <f>IF('Data Entry'!A1412="","",'Data Entry'!A1412)</f>
        <v/>
      </c>
      <c r="B1412" s="12">
        <f>IF('Data Entry'!A1412="","",'Data Entry'!B1412)</f>
        <v/>
      </c>
      <c r="C1412" s="12">
        <f>IF('Data Entry'!A1412="","",'Data Entry'!C1412)</f>
        <v/>
      </c>
      <c r="D1412" s="12">
        <f>IF('Data Entry'!A1412="","",'Data Entry'!D1412)</f>
        <v/>
      </c>
      <c r="E1412" s="12">
        <f>IF('Data Entry'!A1412="","",'Data Entry'!E1412)</f>
        <v/>
      </c>
      <c r="F1412" s="12">
        <f>IF('Data Entry'!A1412="","",'Data Entry'!F1412)</f>
        <v/>
      </c>
      <c r="G1412" s="13">
        <f>IF('Data Entry'!A1412="","",'Data Entry'!G1412)</f>
        <v/>
      </c>
      <c r="H1412" s="10">
        <f>IF('Data Entry'!A1412="","",'Data Entry'!H1412)</f>
        <v/>
      </c>
      <c r="I1412" s="10">
        <f>IF('Data Entry'!A1412="","",'Data Entry'!I1412)</f>
        <v/>
      </c>
      <c r="J1412" s="12">
        <f>IF('Data Entry'!A1412="","",IF('Data Entry'!D1412&lt;&gt;"",'Data Entry'!D1412,'Data Entry'!E1412))</f>
        <v/>
      </c>
      <c r="K1412" s="10">
        <f>IF('Data Entry'!A1412="","",IFERROR(SUMIFS($H$5:$H$2001,$J$5:$J$2001,$J1412,$B$5:$B$2001,$B1412,$A$5:$A$2001,(MAXIFS($A$5:$A$2001,$J$5:$J$2001,$J1412,$B$5:$B$2001,$B1412,$A$5:$A$2001,"&lt;"&amp;$A1412))),""))</f>
        <v/>
      </c>
      <c r="L1412" s="14">
        <f>IF(OR('Data Entry'!A1412="",$K1412=""),"",$H1412-$K1412)</f>
        <v/>
      </c>
      <c r="M1412" s="15">
        <f>IF(OR('Data Entry'!A1412="",$K1412="",$K1412=0),"",$L1412/$K1412)</f>
        <v/>
      </c>
      <c r="N1412" s="12">
        <f>IF('Data Entry'!A1412="","",IF($L1412="","New item",IF($L1412&gt;0,"UP",IF($L1412&lt;0,"down","same"))))</f>
        <v/>
      </c>
    </row>
    <row r="1413">
      <c r="A1413" s="11">
        <f>IF('Data Entry'!A1413="","",'Data Entry'!A1413)</f>
        <v/>
      </c>
      <c r="B1413" s="12">
        <f>IF('Data Entry'!A1413="","",'Data Entry'!B1413)</f>
        <v/>
      </c>
      <c r="C1413" s="12">
        <f>IF('Data Entry'!A1413="","",'Data Entry'!C1413)</f>
        <v/>
      </c>
      <c r="D1413" s="12">
        <f>IF('Data Entry'!A1413="","",'Data Entry'!D1413)</f>
        <v/>
      </c>
      <c r="E1413" s="12">
        <f>IF('Data Entry'!A1413="","",'Data Entry'!E1413)</f>
        <v/>
      </c>
      <c r="F1413" s="12">
        <f>IF('Data Entry'!A1413="","",'Data Entry'!F1413)</f>
        <v/>
      </c>
      <c r="G1413" s="13">
        <f>IF('Data Entry'!A1413="","",'Data Entry'!G1413)</f>
        <v/>
      </c>
      <c r="H1413" s="10">
        <f>IF('Data Entry'!A1413="","",'Data Entry'!H1413)</f>
        <v/>
      </c>
      <c r="I1413" s="10">
        <f>IF('Data Entry'!A1413="","",'Data Entry'!I1413)</f>
        <v/>
      </c>
      <c r="J1413" s="12">
        <f>IF('Data Entry'!A1413="","",IF('Data Entry'!D1413&lt;&gt;"",'Data Entry'!D1413,'Data Entry'!E1413))</f>
        <v/>
      </c>
      <c r="K1413" s="10">
        <f>IF('Data Entry'!A1413="","",IFERROR(SUMIFS($H$5:$H$2001,$J$5:$J$2001,$J1413,$B$5:$B$2001,$B1413,$A$5:$A$2001,(MAXIFS($A$5:$A$2001,$J$5:$J$2001,$J1413,$B$5:$B$2001,$B1413,$A$5:$A$2001,"&lt;"&amp;$A1413))),""))</f>
        <v/>
      </c>
      <c r="L1413" s="14">
        <f>IF(OR('Data Entry'!A1413="",$K1413=""),"",$H1413-$K1413)</f>
        <v/>
      </c>
      <c r="M1413" s="15">
        <f>IF(OR('Data Entry'!A1413="",$K1413="",$K1413=0),"",$L1413/$K1413)</f>
        <v/>
      </c>
      <c r="N1413" s="12">
        <f>IF('Data Entry'!A1413="","",IF($L1413="","New item",IF($L1413&gt;0,"UP",IF($L1413&lt;0,"down","same"))))</f>
        <v/>
      </c>
    </row>
    <row r="1414">
      <c r="A1414" s="11">
        <f>IF('Data Entry'!A1414="","",'Data Entry'!A1414)</f>
        <v/>
      </c>
      <c r="B1414" s="12">
        <f>IF('Data Entry'!A1414="","",'Data Entry'!B1414)</f>
        <v/>
      </c>
      <c r="C1414" s="12">
        <f>IF('Data Entry'!A1414="","",'Data Entry'!C1414)</f>
        <v/>
      </c>
      <c r="D1414" s="12">
        <f>IF('Data Entry'!A1414="","",'Data Entry'!D1414)</f>
        <v/>
      </c>
      <c r="E1414" s="12">
        <f>IF('Data Entry'!A1414="","",'Data Entry'!E1414)</f>
        <v/>
      </c>
      <c r="F1414" s="12">
        <f>IF('Data Entry'!A1414="","",'Data Entry'!F1414)</f>
        <v/>
      </c>
      <c r="G1414" s="13">
        <f>IF('Data Entry'!A1414="","",'Data Entry'!G1414)</f>
        <v/>
      </c>
      <c r="H1414" s="10">
        <f>IF('Data Entry'!A1414="","",'Data Entry'!H1414)</f>
        <v/>
      </c>
      <c r="I1414" s="10">
        <f>IF('Data Entry'!A1414="","",'Data Entry'!I1414)</f>
        <v/>
      </c>
      <c r="J1414" s="12">
        <f>IF('Data Entry'!A1414="","",IF('Data Entry'!D1414&lt;&gt;"",'Data Entry'!D1414,'Data Entry'!E1414))</f>
        <v/>
      </c>
      <c r="K1414" s="10">
        <f>IF('Data Entry'!A1414="","",IFERROR(SUMIFS($H$5:$H$2001,$J$5:$J$2001,$J1414,$B$5:$B$2001,$B1414,$A$5:$A$2001,(MAXIFS($A$5:$A$2001,$J$5:$J$2001,$J1414,$B$5:$B$2001,$B1414,$A$5:$A$2001,"&lt;"&amp;$A1414))),""))</f>
        <v/>
      </c>
      <c r="L1414" s="14">
        <f>IF(OR('Data Entry'!A1414="",$K1414=""),"",$H1414-$K1414)</f>
        <v/>
      </c>
      <c r="M1414" s="15">
        <f>IF(OR('Data Entry'!A1414="",$K1414="",$K1414=0),"",$L1414/$K1414)</f>
        <v/>
      </c>
      <c r="N1414" s="12">
        <f>IF('Data Entry'!A1414="","",IF($L1414="","New item",IF($L1414&gt;0,"UP",IF($L1414&lt;0,"down","same"))))</f>
        <v/>
      </c>
    </row>
    <row r="1415">
      <c r="A1415" s="11">
        <f>IF('Data Entry'!A1415="","",'Data Entry'!A1415)</f>
        <v/>
      </c>
      <c r="B1415" s="12">
        <f>IF('Data Entry'!A1415="","",'Data Entry'!B1415)</f>
        <v/>
      </c>
      <c r="C1415" s="12">
        <f>IF('Data Entry'!A1415="","",'Data Entry'!C1415)</f>
        <v/>
      </c>
      <c r="D1415" s="12">
        <f>IF('Data Entry'!A1415="","",'Data Entry'!D1415)</f>
        <v/>
      </c>
      <c r="E1415" s="12">
        <f>IF('Data Entry'!A1415="","",'Data Entry'!E1415)</f>
        <v/>
      </c>
      <c r="F1415" s="12">
        <f>IF('Data Entry'!A1415="","",'Data Entry'!F1415)</f>
        <v/>
      </c>
      <c r="G1415" s="13">
        <f>IF('Data Entry'!A1415="","",'Data Entry'!G1415)</f>
        <v/>
      </c>
      <c r="H1415" s="10">
        <f>IF('Data Entry'!A1415="","",'Data Entry'!H1415)</f>
        <v/>
      </c>
      <c r="I1415" s="10">
        <f>IF('Data Entry'!A1415="","",'Data Entry'!I1415)</f>
        <v/>
      </c>
      <c r="J1415" s="12">
        <f>IF('Data Entry'!A1415="","",IF('Data Entry'!D1415&lt;&gt;"",'Data Entry'!D1415,'Data Entry'!E1415))</f>
        <v/>
      </c>
      <c r="K1415" s="10">
        <f>IF('Data Entry'!A1415="","",IFERROR(SUMIFS($H$5:$H$2001,$J$5:$J$2001,$J1415,$B$5:$B$2001,$B1415,$A$5:$A$2001,(MAXIFS($A$5:$A$2001,$J$5:$J$2001,$J1415,$B$5:$B$2001,$B1415,$A$5:$A$2001,"&lt;"&amp;$A1415))),""))</f>
        <v/>
      </c>
      <c r="L1415" s="14">
        <f>IF(OR('Data Entry'!A1415="",$K1415=""),"",$H1415-$K1415)</f>
        <v/>
      </c>
      <c r="M1415" s="15">
        <f>IF(OR('Data Entry'!A1415="",$K1415="",$K1415=0),"",$L1415/$K1415)</f>
        <v/>
      </c>
      <c r="N1415" s="12">
        <f>IF('Data Entry'!A1415="","",IF($L1415="","New item",IF($L1415&gt;0,"UP",IF($L1415&lt;0,"down","same"))))</f>
        <v/>
      </c>
    </row>
    <row r="1416">
      <c r="A1416" s="11">
        <f>IF('Data Entry'!A1416="","",'Data Entry'!A1416)</f>
        <v/>
      </c>
      <c r="B1416" s="12">
        <f>IF('Data Entry'!A1416="","",'Data Entry'!B1416)</f>
        <v/>
      </c>
      <c r="C1416" s="12">
        <f>IF('Data Entry'!A1416="","",'Data Entry'!C1416)</f>
        <v/>
      </c>
      <c r="D1416" s="12">
        <f>IF('Data Entry'!A1416="","",'Data Entry'!D1416)</f>
        <v/>
      </c>
      <c r="E1416" s="12">
        <f>IF('Data Entry'!A1416="","",'Data Entry'!E1416)</f>
        <v/>
      </c>
      <c r="F1416" s="12">
        <f>IF('Data Entry'!A1416="","",'Data Entry'!F1416)</f>
        <v/>
      </c>
      <c r="G1416" s="13">
        <f>IF('Data Entry'!A1416="","",'Data Entry'!G1416)</f>
        <v/>
      </c>
      <c r="H1416" s="10">
        <f>IF('Data Entry'!A1416="","",'Data Entry'!H1416)</f>
        <v/>
      </c>
      <c r="I1416" s="10">
        <f>IF('Data Entry'!A1416="","",'Data Entry'!I1416)</f>
        <v/>
      </c>
      <c r="J1416" s="12">
        <f>IF('Data Entry'!A1416="","",IF('Data Entry'!D1416&lt;&gt;"",'Data Entry'!D1416,'Data Entry'!E1416))</f>
        <v/>
      </c>
      <c r="K1416" s="10">
        <f>IF('Data Entry'!A1416="","",IFERROR(SUMIFS($H$5:$H$2001,$J$5:$J$2001,$J1416,$B$5:$B$2001,$B1416,$A$5:$A$2001,(MAXIFS($A$5:$A$2001,$J$5:$J$2001,$J1416,$B$5:$B$2001,$B1416,$A$5:$A$2001,"&lt;"&amp;$A1416))),""))</f>
        <v/>
      </c>
      <c r="L1416" s="14">
        <f>IF(OR('Data Entry'!A1416="",$K1416=""),"",$H1416-$K1416)</f>
        <v/>
      </c>
      <c r="M1416" s="15">
        <f>IF(OR('Data Entry'!A1416="",$K1416="",$K1416=0),"",$L1416/$K1416)</f>
        <v/>
      </c>
      <c r="N1416" s="12">
        <f>IF('Data Entry'!A1416="","",IF($L1416="","New item",IF($L1416&gt;0,"UP",IF($L1416&lt;0,"down","same"))))</f>
        <v/>
      </c>
    </row>
    <row r="1417">
      <c r="A1417" s="11">
        <f>IF('Data Entry'!A1417="","",'Data Entry'!A1417)</f>
        <v/>
      </c>
      <c r="B1417" s="12">
        <f>IF('Data Entry'!A1417="","",'Data Entry'!B1417)</f>
        <v/>
      </c>
      <c r="C1417" s="12">
        <f>IF('Data Entry'!A1417="","",'Data Entry'!C1417)</f>
        <v/>
      </c>
      <c r="D1417" s="12">
        <f>IF('Data Entry'!A1417="","",'Data Entry'!D1417)</f>
        <v/>
      </c>
      <c r="E1417" s="12">
        <f>IF('Data Entry'!A1417="","",'Data Entry'!E1417)</f>
        <v/>
      </c>
      <c r="F1417" s="12">
        <f>IF('Data Entry'!A1417="","",'Data Entry'!F1417)</f>
        <v/>
      </c>
      <c r="G1417" s="13">
        <f>IF('Data Entry'!A1417="","",'Data Entry'!G1417)</f>
        <v/>
      </c>
      <c r="H1417" s="10">
        <f>IF('Data Entry'!A1417="","",'Data Entry'!H1417)</f>
        <v/>
      </c>
      <c r="I1417" s="10">
        <f>IF('Data Entry'!A1417="","",'Data Entry'!I1417)</f>
        <v/>
      </c>
      <c r="J1417" s="12">
        <f>IF('Data Entry'!A1417="","",IF('Data Entry'!D1417&lt;&gt;"",'Data Entry'!D1417,'Data Entry'!E1417))</f>
        <v/>
      </c>
      <c r="K1417" s="10">
        <f>IF('Data Entry'!A1417="","",IFERROR(SUMIFS($H$5:$H$2001,$J$5:$J$2001,$J1417,$B$5:$B$2001,$B1417,$A$5:$A$2001,(MAXIFS($A$5:$A$2001,$J$5:$J$2001,$J1417,$B$5:$B$2001,$B1417,$A$5:$A$2001,"&lt;"&amp;$A1417))),""))</f>
        <v/>
      </c>
      <c r="L1417" s="14">
        <f>IF(OR('Data Entry'!A1417="",$K1417=""),"",$H1417-$K1417)</f>
        <v/>
      </c>
      <c r="M1417" s="15">
        <f>IF(OR('Data Entry'!A1417="",$K1417="",$K1417=0),"",$L1417/$K1417)</f>
        <v/>
      </c>
      <c r="N1417" s="12">
        <f>IF('Data Entry'!A1417="","",IF($L1417="","New item",IF($L1417&gt;0,"UP",IF($L1417&lt;0,"down","same"))))</f>
        <v/>
      </c>
    </row>
    <row r="1418">
      <c r="A1418" s="11">
        <f>IF('Data Entry'!A1418="","",'Data Entry'!A1418)</f>
        <v/>
      </c>
      <c r="B1418" s="12">
        <f>IF('Data Entry'!A1418="","",'Data Entry'!B1418)</f>
        <v/>
      </c>
      <c r="C1418" s="12">
        <f>IF('Data Entry'!A1418="","",'Data Entry'!C1418)</f>
        <v/>
      </c>
      <c r="D1418" s="12">
        <f>IF('Data Entry'!A1418="","",'Data Entry'!D1418)</f>
        <v/>
      </c>
      <c r="E1418" s="12">
        <f>IF('Data Entry'!A1418="","",'Data Entry'!E1418)</f>
        <v/>
      </c>
      <c r="F1418" s="12">
        <f>IF('Data Entry'!A1418="","",'Data Entry'!F1418)</f>
        <v/>
      </c>
      <c r="G1418" s="13">
        <f>IF('Data Entry'!A1418="","",'Data Entry'!G1418)</f>
        <v/>
      </c>
      <c r="H1418" s="10">
        <f>IF('Data Entry'!A1418="","",'Data Entry'!H1418)</f>
        <v/>
      </c>
      <c r="I1418" s="10">
        <f>IF('Data Entry'!A1418="","",'Data Entry'!I1418)</f>
        <v/>
      </c>
      <c r="J1418" s="12">
        <f>IF('Data Entry'!A1418="","",IF('Data Entry'!D1418&lt;&gt;"",'Data Entry'!D1418,'Data Entry'!E1418))</f>
        <v/>
      </c>
      <c r="K1418" s="10">
        <f>IF('Data Entry'!A1418="","",IFERROR(SUMIFS($H$5:$H$2001,$J$5:$J$2001,$J1418,$B$5:$B$2001,$B1418,$A$5:$A$2001,(MAXIFS($A$5:$A$2001,$J$5:$J$2001,$J1418,$B$5:$B$2001,$B1418,$A$5:$A$2001,"&lt;"&amp;$A1418))),""))</f>
        <v/>
      </c>
      <c r="L1418" s="14">
        <f>IF(OR('Data Entry'!A1418="",$K1418=""),"",$H1418-$K1418)</f>
        <v/>
      </c>
      <c r="M1418" s="15">
        <f>IF(OR('Data Entry'!A1418="",$K1418="",$K1418=0),"",$L1418/$K1418)</f>
        <v/>
      </c>
      <c r="N1418" s="12">
        <f>IF('Data Entry'!A1418="","",IF($L1418="","New item",IF($L1418&gt;0,"UP",IF($L1418&lt;0,"down","same"))))</f>
        <v/>
      </c>
    </row>
    <row r="1419">
      <c r="A1419" s="11">
        <f>IF('Data Entry'!A1419="","",'Data Entry'!A1419)</f>
        <v/>
      </c>
      <c r="B1419" s="12">
        <f>IF('Data Entry'!A1419="","",'Data Entry'!B1419)</f>
        <v/>
      </c>
      <c r="C1419" s="12">
        <f>IF('Data Entry'!A1419="","",'Data Entry'!C1419)</f>
        <v/>
      </c>
      <c r="D1419" s="12">
        <f>IF('Data Entry'!A1419="","",'Data Entry'!D1419)</f>
        <v/>
      </c>
      <c r="E1419" s="12">
        <f>IF('Data Entry'!A1419="","",'Data Entry'!E1419)</f>
        <v/>
      </c>
      <c r="F1419" s="12">
        <f>IF('Data Entry'!A1419="","",'Data Entry'!F1419)</f>
        <v/>
      </c>
      <c r="G1419" s="13">
        <f>IF('Data Entry'!A1419="","",'Data Entry'!G1419)</f>
        <v/>
      </c>
      <c r="H1419" s="10">
        <f>IF('Data Entry'!A1419="","",'Data Entry'!H1419)</f>
        <v/>
      </c>
      <c r="I1419" s="10">
        <f>IF('Data Entry'!A1419="","",'Data Entry'!I1419)</f>
        <v/>
      </c>
      <c r="J1419" s="12">
        <f>IF('Data Entry'!A1419="","",IF('Data Entry'!D1419&lt;&gt;"",'Data Entry'!D1419,'Data Entry'!E1419))</f>
        <v/>
      </c>
      <c r="K1419" s="10">
        <f>IF('Data Entry'!A1419="","",IFERROR(SUMIFS($H$5:$H$2001,$J$5:$J$2001,$J1419,$B$5:$B$2001,$B1419,$A$5:$A$2001,(MAXIFS($A$5:$A$2001,$J$5:$J$2001,$J1419,$B$5:$B$2001,$B1419,$A$5:$A$2001,"&lt;"&amp;$A1419))),""))</f>
        <v/>
      </c>
      <c r="L1419" s="14">
        <f>IF(OR('Data Entry'!A1419="",$K1419=""),"",$H1419-$K1419)</f>
        <v/>
      </c>
      <c r="M1419" s="15">
        <f>IF(OR('Data Entry'!A1419="",$K1419="",$K1419=0),"",$L1419/$K1419)</f>
        <v/>
      </c>
      <c r="N1419" s="12">
        <f>IF('Data Entry'!A1419="","",IF($L1419="","New item",IF($L1419&gt;0,"UP",IF($L1419&lt;0,"down","same"))))</f>
        <v/>
      </c>
    </row>
    <row r="1420">
      <c r="A1420" s="11">
        <f>IF('Data Entry'!A1420="","",'Data Entry'!A1420)</f>
        <v/>
      </c>
      <c r="B1420" s="12">
        <f>IF('Data Entry'!A1420="","",'Data Entry'!B1420)</f>
        <v/>
      </c>
      <c r="C1420" s="12">
        <f>IF('Data Entry'!A1420="","",'Data Entry'!C1420)</f>
        <v/>
      </c>
      <c r="D1420" s="12">
        <f>IF('Data Entry'!A1420="","",'Data Entry'!D1420)</f>
        <v/>
      </c>
      <c r="E1420" s="12">
        <f>IF('Data Entry'!A1420="","",'Data Entry'!E1420)</f>
        <v/>
      </c>
      <c r="F1420" s="12">
        <f>IF('Data Entry'!A1420="","",'Data Entry'!F1420)</f>
        <v/>
      </c>
      <c r="G1420" s="13">
        <f>IF('Data Entry'!A1420="","",'Data Entry'!G1420)</f>
        <v/>
      </c>
      <c r="H1420" s="10">
        <f>IF('Data Entry'!A1420="","",'Data Entry'!H1420)</f>
        <v/>
      </c>
      <c r="I1420" s="10">
        <f>IF('Data Entry'!A1420="","",'Data Entry'!I1420)</f>
        <v/>
      </c>
      <c r="J1420" s="12">
        <f>IF('Data Entry'!A1420="","",IF('Data Entry'!D1420&lt;&gt;"",'Data Entry'!D1420,'Data Entry'!E1420))</f>
        <v/>
      </c>
      <c r="K1420" s="10">
        <f>IF('Data Entry'!A1420="","",IFERROR(SUMIFS($H$5:$H$2001,$J$5:$J$2001,$J1420,$B$5:$B$2001,$B1420,$A$5:$A$2001,(MAXIFS($A$5:$A$2001,$J$5:$J$2001,$J1420,$B$5:$B$2001,$B1420,$A$5:$A$2001,"&lt;"&amp;$A1420))),""))</f>
        <v/>
      </c>
      <c r="L1420" s="14">
        <f>IF(OR('Data Entry'!A1420="",$K1420=""),"",$H1420-$K1420)</f>
        <v/>
      </c>
      <c r="M1420" s="15">
        <f>IF(OR('Data Entry'!A1420="",$K1420="",$K1420=0),"",$L1420/$K1420)</f>
        <v/>
      </c>
      <c r="N1420" s="12">
        <f>IF('Data Entry'!A1420="","",IF($L1420="","New item",IF($L1420&gt;0,"UP",IF($L1420&lt;0,"down","same"))))</f>
        <v/>
      </c>
    </row>
    <row r="1421">
      <c r="A1421" s="11">
        <f>IF('Data Entry'!A1421="","",'Data Entry'!A1421)</f>
        <v/>
      </c>
      <c r="B1421" s="12">
        <f>IF('Data Entry'!A1421="","",'Data Entry'!B1421)</f>
        <v/>
      </c>
      <c r="C1421" s="12">
        <f>IF('Data Entry'!A1421="","",'Data Entry'!C1421)</f>
        <v/>
      </c>
      <c r="D1421" s="12">
        <f>IF('Data Entry'!A1421="","",'Data Entry'!D1421)</f>
        <v/>
      </c>
      <c r="E1421" s="12">
        <f>IF('Data Entry'!A1421="","",'Data Entry'!E1421)</f>
        <v/>
      </c>
      <c r="F1421" s="12">
        <f>IF('Data Entry'!A1421="","",'Data Entry'!F1421)</f>
        <v/>
      </c>
      <c r="G1421" s="13">
        <f>IF('Data Entry'!A1421="","",'Data Entry'!G1421)</f>
        <v/>
      </c>
      <c r="H1421" s="10">
        <f>IF('Data Entry'!A1421="","",'Data Entry'!H1421)</f>
        <v/>
      </c>
      <c r="I1421" s="10">
        <f>IF('Data Entry'!A1421="","",'Data Entry'!I1421)</f>
        <v/>
      </c>
      <c r="J1421" s="12">
        <f>IF('Data Entry'!A1421="","",IF('Data Entry'!D1421&lt;&gt;"",'Data Entry'!D1421,'Data Entry'!E1421))</f>
        <v/>
      </c>
      <c r="K1421" s="10">
        <f>IF('Data Entry'!A1421="","",IFERROR(SUMIFS($H$5:$H$2001,$J$5:$J$2001,$J1421,$B$5:$B$2001,$B1421,$A$5:$A$2001,(MAXIFS($A$5:$A$2001,$J$5:$J$2001,$J1421,$B$5:$B$2001,$B1421,$A$5:$A$2001,"&lt;"&amp;$A1421))),""))</f>
        <v/>
      </c>
      <c r="L1421" s="14">
        <f>IF(OR('Data Entry'!A1421="",$K1421=""),"",$H1421-$K1421)</f>
        <v/>
      </c>
      <c r="M1421" s="15">
        <f>IF(OR('Data Entry'!A1421="",$K1421="",$K1421=0),"",$L1421/$K1421)</f>
        <v/>
      </c>
      <c r="N1421" s="12">
        <f>IF('Data Entry'!A1421="","",IF($L1421="","New item",IF($L1421&gt;0,"UP",IF($L1421&lt;0,"down","same"))))</f>
        <v/>
      </c>
    </row>
    <row r="1422">
      <c r="A1422" s="11">
        <f>IF('Data Entry'!A1422="","",'Data Entry'!A1422)</f>
        <v/>
      </c>
      <c r="B1422" s="12">
        <f>IF('Data Entry'!A1422="","",'Data Entry'!B1422)</f>
        <v/>
      </c>
      <c r="C1422" s="12">
        <f>IF('Data Entry'!A1422="","",'Data Entry'!C1422)</f>
        <v/>
      </c>
      <c r="D1422" s="12">
        <f>IF('Data Entry'!A1422="","",'Data Entry'!D1422)</f>
        <v/>
      </c>
      <c r="E1422" s="12">
        <f>IF('Data Entry'!A1422="","",'Data Entry'!E1422)</f>
        <v/>
      </c>
      <c r="F1422" s="12">
        <f>IF('Data Entry'!A1422="","",'Data Entry'!F1422)</f>
        <v/>
      </c>
      <c r="G1422" s="13">
        <f>IF('Data Entry'!A1422="","",'Data Entry'!G1422)</f>
        <v/>
      </c>
      <c r="H1422" s="10">
        <f>IF('Data Entry'!A1422="","",'Data Entry'!H1422)</f>
        <v/>
      </c>
      <c r="I1422" s="10">
        <f>IF('Data Entry'!A1422="","",'Data Entry'!I1422)</f>
        <v/>
      </c>
      <c r="J1422" s="12">
        <f>IF('Data Entry'!A1422="","",IF('Data Entry'!D1422&lt;&gt;"",'Data Entry'!D1422,'Data Entry'!E1422))</f>
        <v/>
      </c>
      <c r="K1422" s="10">
        <f>IF('Data Entry'!A1422="","",IFERROR(SUMIFS($H$5:$H$2001,$J$5:$J$2001,$J1422,$B$5:$B$2001,$B1422,$A$5:$A$2001,(MAXIFS($A$5:$A$2001,$J$5:$J$2001,$J1422,$B$5:$B$2001,$B1422,$A$5:$A$2001,"&lt;"&amp;$A1422))),""))</f>
        <v/>
      </c>
      <c r="L1422" s="14">
        <f>IF(OR('Data Entry'!A1422="",$K1422=""),"",$H1422-$K1422)</f>
        <v/>
      </c>
      <c r="M1422" s="15">
        <f>IF(OR('Data Entry'!A1422="",$K1422="",$K1422=0),"",$L1422/$K1422)</f>
        <v/>
      </c>
      <c r="N1422" s="12">
        <f>IF('Data Entry'!A1422="","",IF($L1422="","New item",IF($L1422&gt;0,"UP",IF($L1422&lt;0,"down","same"))))</f>
        <v/>
      </c>
    </row>
    <row r="1423">
      <c r="A1423" s="11">
        <f>IF('Data Entry'!A1423="","",'Data Entry'!A1423)</f>
        <v/>
      </c>
      <c r="B1423" s="12">
        <f>IF('Data Entry'!A1423="","",'Data Entry'!B1423)</f>
        <v/>
      </c>
      <c r="C1423" s="12">
        <f>IF('Data Entry'!A1423="","",'Data Entry'!C1423)</f>
        <v/>
      </c>
      <c r="D1423" s="12">
        <f>IF('Data Entry'!A1423="","",'Data Entry'!D1423)</f>
        <v/>
      </c>
      <c r="E1423" s="12">
        <f>IF('Data Entry'!A1423="","",'Data Entry'!E1423)</f>
        <v/>
      </c>
      <c r="F1423" s="12">
        <f>IF('Data Entry'!A1423="","",'Data Entry'!F1423)</f>
        <v/>
      </c>
      <c r="G1423" s="13">
        <f>IF('Data Entry'!A1423="","",'Data Entry'!G1423)</f>
        <v/>
      </c>
      <c r="H1423" s="10">
        <f>IF('Data Entry'!A1423="","",'Data Entry'!H1423)</f>
        <v/>
      </c>
      <c r="I1423" s="10">
        <f>IF('Data Entry'!A1423="","",'Data Entry'!I1423)</f>
        <v/>
      </c>
      <c r="J1423" s="12">
        <f>IF('Data Entry'!A1423="","",IF('Data Entry'!D1423&lt;&gt;"",'Data Entry'!D1423,'Data Entry'!E1423))</f>
        <v/>
      </c>
      <c r="K1423" s="10">
        <f>IF('Data Entry'!A1423="","",IFERROR(SUMIFS($H$5:$H$2001,$J$5:$J$2001,$J1423,$B$5:$B$2001,$B1423,$A$5:$A$2001,(MAXIFS($A$5:$A$2001,$J$5:$J$2001,$J1423,$B$5:$B$2001,$B1423,$A$5:$A$2001,"&lt;"&amp;$A1423))),""))</f>
        <v/>
      </c>
      <c r="L1423" s="14">
        <f>IF(OR('Data Entry'!A1423="",$K1423=""),"",$H1423-$K1423)</f>
        <v/>
      </c>
      <c r="M1423" s="15">
        <f>IF(OR('Data Entry'!A1423="",$K1423="",$K1423=0),"",$L1423/$K1423)</f>
        <v/>
      </c>
      <c r="N1423" s="12">
        <f>IF('Data Entry'!A1423="","",IF($L1423="","New item",IF($L1423&gt;0,"UP",IF($L1423&lt;0,"down","same"))))</f>
        <v/>
      </c>
    </row>
    <row r="1424">
      <c r="A1424" s="11">
        <f>IF('Data Entry'!A1424="","",'Data Entry'!A1424)</f>
        <v/>
      </c>
      <c r="B1424" s="12">
        <f>IF('Data Entry'!A1424="","",'Data Entry'!B1424)</f>
        <v/>
      </c>
      <c r="C1424" s="12">
        <f>IF('Data Entry'!A1424="","",'Data Entry'!C1424)</f>
        <v/>
      </c>
      <c r="D1424" s="12">
        <f>IF('Data Entry'!A1424="","",'Data Entry'!D1424)</f>
        <v/>
      </c>
      <c r="E1424" s="12">
        <f>IF('Data Entry'!A1424="","",'Data Entry'!E1424)</f>
        <v/>
      </c>
      <c r="F1424" s="12">
        <f>IF('Data Entry'!A1424="","",'Data Entry'!F1424)</f>
        <v/>
      </c>
      <c r="G1424" s="13">
        <f>IF('Data Entry'!A1424="","",'Data Entry'!G1424)</f>
        <v/>
      </c>
      <c r="H1424" s="10">
        <f>IF('Data Entry'!A1424="","",'Data Entry'!H1424)</f>
        <v/>
      </c>
      <c r="I1424" s="10">
        <f>IF('Data Entry'!A1424="","",'Data Entry'!I1424)</f>
        <v/>
      </c>
      <c r="J1424" s="12">
        <f>IF('Data Entry'!A1424="","",IF('Data Entry'!D1424&lt;&gt;"",'Data Entry'!D1424,'Data Entry'!E1424))</f>
        <v/>
      </c>
      <c r="K1424" s="10">
        <f>IF('Data Entry'!A1424="","",IFERROR(SUMIFS($H$5:$H$2001,$J$5:$J$2001,$J1424,$B$5:$B$2001,$B1424,$A$5:$A$2001,(MAXIFS($A$5:$A$2001,$J$5:$J$2001,$J1424,$B$5:$B$2001,$B1424,$A$5:$A$2001,"&lt;"&amp;$A1424))),""))</f>
        <v/>
      </c>
      <c r="L1424" s="14">
        <f>IF(OR('Data Entry'!A1424="",$K1424=""),"",$H1424-$K1424)</f>
        <v/>
      </c>
      <c r="M1424" s="15">
        <f>IF(OR('Data Entry'!A1424="",$K1424="",$K1424=0),"",$L1424/$K1424)</f>
        <v/>
      </c>
      <c r="N1424" s="12">
        <f>IF('Data Entry'!A1424="","",IF($L1424="","New item",IF($L1424&gt;0,"UP",IF($L1424&lt;0,"down","same"))))</f>
        <v/>
      </c>
    </row>
    <row r="1425">
      <c r="A1425" s="11">
        <f>IF('Data Entry'!A1425="","",'Data Entry'!A1425)</f>
        <v/>
      </c>
      <c r="B1425" s="12">
        <f>IF('Data Entry'!A1425="","",'Data Entry'!B1425)</f>
        <v/>
      </c>
      <c r="C1425" s="12">
        <f>IF('Data Entry'!A1425="","",'Data Entry'!C1425)</f>
        <v/>
      </c>
      <c r="D1425" s="12">
        <f>IF('Data Entry'!A1425="","",'Data Entry'!D1425)</f>
        <v/>
      </c>
      <c r="E1425" s="12">
        <f>IF('Data Entry'!A1425="","",'Data Entry'!E1425)</f>
        <v/>
      </c>
      <c r="F1425" s="12">
        <f>IF('Data Entry'!A1425="","",'Data Entry'!F1425)</f>
        <v/>
      </c>
      <c r="G1425" s="13">
        <f>IF('Data Entry'!A1425="","",'Data Entry'!G1425)</f>
        <v/>
      </c>
      <c r="H1425" s="10">
        <f>IF('Data Entry'!A1425="","",'Data Entry'!H1425)</f>
        <v/>
      </c>
      <c r="I1425" s="10">
        <f>IF('Data Entry'!A1425="","",'Data Entry'!I1425)</f>
        <v/>
      </c>
      <c r="J1425" s="12">
        <f>IF('Data Entry'!A1425="","",IF('Data Entry'!D1425&lt;&gt;"",'Data Entry'!D1425,'Data Entry'!E1425))</f>
        <v/>
      </c>
      <c r="K1425" s="10">
        <f>IF('Data Entry'!A1425="","",IFERROR(SUMIFS($H$5:$H$2001,$J$5:$J$2001,$J1425,$B$5:$B$2001,$B1425,$A$5:$A$2001,(MAXIFS($A$5:$A$2001,$J$5:$J$2001,$J1425,$B$5:$B$2001,$B1425,$A$5:$A$2001,"&lt;"&amp;$A1425))),""))</f>
        <v/>
      </c>
      <c r="L1425" s="14">
        <f>IF(OR('Data Entry'!A1425="",$K1425=""),"",$H1425-$K1425)</f>
        <v/>
      </c>
      <c r="M1425" s="15">
        <f>IF(OR('Data Entry'!A1425="",$K1425="",$K1425=0),"",$L1425/$K1425)</f>
        <v/>
      </c>
      <c r="N1425" s="12">
        <f>IF('Data Entry'!A1425="","",IF($L1425="","New item",IF($L1425&gt;0,"UP",IF($L1425&lt;0,"down","same"))))</f>
        <v/>
      </c>
    </row>
    <row r="1426">
      <c r="A1426" s="11">
        <f>IF('Data Entry'!A1426="","",'Data Entry'!A1426)</f>
        <v/>
      </c>
      <c r="B1426" s="12">
        <f>IF('Data Entry'!A1426="","",'Data Entry'!B1426)</f>
        <v/>
      </c>
      <c r="C1426" s="12">
        <f>IF('Data Entry'!A1426="","",'Data Entry'!C1426)</f>
        <v/>
      </c>
      <c r="D1426" s="12">
        <f>IF('Data Entry'!A1426="","",'Data Entry'!D1426)</f>
        <v/>
      </c>
      <c r="E1426" s="12">
        <f>IF('Data Entry'!A1426="","",'Data Entry'!E1426)</f>
        <v/>
      </c>
      <c r="F1426" s="12">
        <f>IF('Data Entry'!A1426="","",'Data Entry'!F1426)</f>
        <v/>
      </c>
      <c r="G1426" s="13">
        <f>IF('Data Entry'!A1426="","",'Data Entry'!G1426)</f>
        <v/>
      </c>
      <c r="H1426" s="10">
        <f>IF('Data Entry'!A1426="","",'Data Entry'!H1426)</f>
        <v/>
      </c>
      <c r="I1426" s="10">
        <f>IF('Data Entry'!A1426="","",'Data Entry'!I1426)</f>
        <v/>
      </c>
      <c r="J1426" s="12">
        <f>IF('Data Entry'!A1426="","",IF('Data Entry'!D1426&lt;&gt;"",'Data Entry'!D1426,'Data Entry'!E1426))</f>
        <v/>
      </c>
      <c r="K1426" s="10">
        <f>IF('Data Entry'!A1426="","",IFERROR(SUMIFS($H$5:$H$2001,$J$5:$J$2001,$J1426,$B$5:$B$2001,$B1426,$A$5:$A$2001,(MAXIFS($A$5:$A$2001,$J$5:$J$2001,$J1426,$B$5:$B$2001,$B1426,$A$5:$A$2001,"&lt;"&amp;$A1426))),""))</f>
        <v/>
      </c>
      <c r="L1426" s="14">
        <f>IF(OR('Data Entry'!A1426="",$K1426=""),"",$H1426-$K1426)</f>
        <v/>
      </c>
      <c r="M1426" s="15">
        <f>IF(OR('Data Entry'!A1426="",$K1426="",$K1426=0),"",$L1426/$K1426)</f>
        <v/>
      </c>
      <c r="N1426" s="12">
        <f>IF('Data Entry'!A1426="","",IF($L1426="","New item",IF($L1426&gt;0,"UP",IF($L1426&lt;0,"down","same"))))</f>
        <v/>
      </c>
    </row>
    <row r="1427">
      <c r="A1427" s="11">
        <f>IF('Data Entry'!A1427="","",'Data Entry'!A1427)</f>
        <v/>
      </c>
      <c r="B1427" s="12">
        <f>IF('Data Entry'!A1427="","",'Data Entry'!B1427)</f>
        <v/>
      </c>
      <c r="C1427" s="12">
        <f>IF('Data Entry'!A1427="","",'Data Entry'!C1427)</f>
        <v/>
      </c>
      <c r="D1427" s="12">
        <f>IF('Data Entry'!A1427="","",'Data Entry'!D1427)</f>
        <v/>
      </c>
      <c r="E1427" s="12">
        <f>IF('Data Entry'!A1427="","",'Data Entry'!E1427)</f>
        <v/>
      </c>
      <c r="F1427" s="12">
        <f>IF('Data Entry'!A1427="","",'Data Entry'!F1427)</f>
        <v/>
      </c>
      <c r="G1427" s="13">
        <f>IF('Data Entry'!A1427="","",'Data Entry'!G1427)</f>
        <v/>
      </c>
      <c r="H1427" s="10">
        <f>IF('Data Entry'!A1427="","",'Data Entry'!H1427)</f>
        <v/>
      </c>
      <c r="I1427" s="10">
        <f>IF('Data Entry'!A1427="","",'Data Entry'!I1427)</f>
        <v/>
      </c>
      <c r="J1427" s="12">
        <f>IF('Data Entry'!A1427="","",IF('Data Entry'!D1427&lt;&gt;"",'Data Entry'!D1427,'Data Entry'!E1427))</f>
        <v/>
      </c>
      <c r="K1427" s="10">
        <f>IF('Data Entry'!A1427="","",IFERROR(SUMIFS($H$5:$H$2001,$J$5:$J$2001,$J1427,$B$5:$B$2001,$B1427,$A$5:$A$2001,(MAXIFS($A$5:$A$2001,$J$5:$J$2001,$J1427,$B$5:$B$2001,$B1427,$A$5:$A$2001,"&lt;"&amp;$A1427))),""))</f>
        <v/>
      </c>
      <c r="L1427" s="14">
        <f>IF(OR('Data Entry'!A1427="",$K1427=""),"",$H1427-$K1427)</f>
        <v/>
      </c>
      <c r="M1427" s="15">
        <f>IF(OR('Data Entry'!A1427="",$K1427="",$K1427=0),"",$L1427/$K1427)</f>
        <v/>
      </c>
      <c r="N1427" s="12">
        <f>IF('Data Entry'!A1427="","",IF($L1427="","New item",IF($L1427&gt;0,"UP",IF($L1427&lt;0,"down","same"))))</f>
        <v/>
      </c>
    </row>
    <row r="1428">
      <c r="A1428" s="11">
        <f>IF('Data Entry'!A1428="","",'Data Entry'!A1428)</f>
        <v/>
      </c>
      <c r="B1428" s="12">
        <f>IF('Data Entry'!A1428="","",'Data Entry'!B1428)</f>
        <v/>
      </c>
      <c r="C1428" s="12">
        <f>IF('Data Entry'!A1428="","",'Data Entry'!C1428)</f>
        <v/>
      </c>
      <c r="D1428" s="12">
        <f>IF('Data Entry'!A1428="","",'Data Entry'!D1428)</f>
        <v/>
      </c>
      <c r="E1428" s="12">
        <f>IF('Data Entry'!A1428="","",'Data Entry'!E1428)</f>
        <v/>
      </c>
      <c r="F1428" s="12">
        <f>IF('Data Entry'!A1428="","",'Data Entry'!F1428)</f>
        <v/>
      </c>
      <c r="G1428" s="13">
        <f>IF('Data Entry'!A1428="","",'Data Entry'!G1428)</f>
        <v/>
      </c>
      <c r="H1428" s="10">
        <f>IF('Data Entry'!A1428="","",'Data Entry'!H1428)</f>
        <v/>
      </c>
      <c r="I1428" s="10">
        <f>IF('Data Entry'!A1428="","",'Data Entry'!I1428)</f>
        <v/>
      </c>
      <c r="J1428" s="12">
        <f>IF('Data Entry'!A1428="","",IF('Data Entry'!D1428&lt;&gt;"",'Data Entry'!D1428,'Data Entry'!E1428))</f>
        <v/>
      </c>
      <c r="K1428" s="10">
        <f>IF('Data Entry'!A1428="","",IFERROR(SUMIFS($H$5:$H$2001,$J$5:$J$2001,$J1428,$B$5:$B$2001,$B1428,$A$5:$A$2001,(MAXIFS($A$5:$A$2001,$J$5:$J$2001,$J1428,$B$5:$B$2001,$B1428,$A$5:$A$2001,"&lt;"&amp;$A1428))),""))</f>
        <v/>
      </c>
      <c r="L1428" s="14">
        <f>IF(OR('Data Entry'!A1428="",$K1428=""),"",$H1428-$K1428)</f>
        <v/>
      </c>
      <c r="M1428" s="15">
        <f>IF(OR('Data Entry'!A1428="",$K1428="",$K1428=0),"",$L1428/$K1428)</f>
        <v/>
      </c>
      <c r="N1428" s="12">
        <f>IF('Data Entry'!A1428="","",IF($L1428="","New item",IF($L1428&gt;0,"UP",IF($L1428&lt;0,"down","same"))))</f>
        <v/>
      </c>
    </row>
    <row r="1429">
      <c r="A1429" s="11">
        <f>IF('Data Entry'!A1429="","",'Data Entry'!A1429)</f>
        <v/>
      </c>
      <c r="B1429" s="12">
        <f>IF('Data Entry'!A1429="","",'Data Entry'!B1429)</f>
        <v/>
      </c>
      <c r="C1429" s="12">
        <f>IF('Data Entry'!A1429="","",'Data Entry'!C1429)</f>
        <v/>
      </c>
      <c r="D1429" s="12">
        <f>IF('Data Entry'!A1429="","",'Data Entry'!D1429)</f>
        <v/>
      </c>
      <c r="E1429" s="12">
        <f>IF('Data Entry'!A1429="","",'Data Entry'!E1429)</f>
        <v/>
      </c>
      <c r="F1429" s="12">
        <f>IF('Data Entry'!A1429="","",'Data Entry'!F1429)</f>
        <v/>
      </c>
      <c r="G1429" s="13">
        <f>IF('Data Entry'!A1429="","",'Data Entry'!G1429)</f>
        <v/>
      </c>
      <c r="H1429" s="10">
        <f>IF('Data Entry'!A1429="","",'Data Entry'!H1429)</f>
        <v/>
      </c>
      <c r="I1429" s="10">
        <f>IF('Data Entry'!A1429="","",'Data Entry'!I1429)</f>
        <v/>
      </c>
      <c r="J1429" s="12">
        <f>IF('Data Entry'!A1429="","",IF('Data Entry'!D1429&lt;&gt;"",'Data Entry'!D1429,'Data Entry'!E1429))</f>
        <v/>
      </c>
      <c r="K1429" s="10">
        <f>IF('Data Entry'!A1429="","",IFERROR(SUMIFS($H$5:$H$2001,$J$5:$J$2001,$J1429,$B$5:$B$2001,$B1429,$A$5:$A$2001,(MAXIFS($A$5:$A$2001,$J$5:$J$2001,$J1429,$B$5:$B$2001,$B1429,$A$5:$A$2001,"&lt;"&amp;$A1429))),""))</f>
        <v/>
      </c>
      <c r="L1429" s="14">
        <f>IF(OR('Data Entry'!A1429="",$K1429=""),"",$H1429-$K1429)</f>
        <v/>
      </c>
      <c r="M1429" s="15">
        <f>IF(OR('Data Entry'!A1429="",$K1429="",$K1429=0),"",$L1429/$K1429)</f>
        <v/>
      </c>
      <c r="N1429" s="12">
        <f>IF('Data Entry'!A1429="","",IF($L1429="","New item",IF($L1429&gt;0,"UP",IF($L1429&lt;0,"down","same"))))</f>
        <v/>
      </c>
    </row>
    <row r="1430">
      <c r="A1430" s="11">
        <f>IF('Data Entry'!A1430="","",'Data Entry'!A1430)</f>
        <v/>
      </c>
      <c r="B1430" s="12">
        <f>IF('Data Entry'!A1430="","",'Data Entry'!B1430)</f>
        <v/>
      </c>
      <c r="C1430" s="12">
        <f>IF('Data Entry'!A1430="","",'Data Entry'!C1430)</f>
        <v/>
      </c>
      <c r="D1430" s="12">
        <f>IF('Data Entry'!A1430="","",'Data Entry'!D1430)</f>
        <v/>
      </c>
      <c r="E1430" s="12">
        <f>IF('Data Entry'!A1430="","",'Data Entry'!E1430)</f>
        <v/>
      </c>
      <c r="F1430" s="12">
        <f>IF('Data Entry'!A1430="","",'Data Entry'!F1430)</f>
        <v/>
      </c>
      <c r="G1430" s="13">
        <f>IF('Data Entry'!A1430="","",'Data Entry'!G1430)</f>
        <v/>
      </c>
      <c r="H1430" s="10">
        <f>IF('Data Entry'!A1430="","",'Data Entry'!H1430)</f>
        <v/>
      </c>
      <c r="I1430" s="10">
        <f>IF('Data Entry'!A1430="","",'Data Entry'!I1430)</f>
        <v/>
      </c>
      <c r="J1430" s="12">
        <f>IF('Data Entry'!A1430="","",IF('Data Entry'!D1430&lt;&gt;"",'Data Entry'!D1430,'Data Entry'!E1430))</f>
        <v/>
      </c>
      <c r="K1430" s="10">
        <f>IF('Data Entry'!A1430="","",IFERROR(SUMIFS($H$5:$H$2001,$J$5:$J$2001,$J1430,$B$5:$B$2001,$B1430,$A$5:$A$2001,(MAXIFS($A$5:$A$2001,$J$5:$J$2001,$J1430,$B$5:$B$2001,$B1430,$A$5:$A$2001,"&lt;"&amp;$A1430))),""))</f>
        <v/>
      </c>
      <c r="L1430" s="14">
        <f>IF(OR('Data Entry'!A1430="",$K1430=""),"",$H1430-$K1430)</f>
        <v/>
      </c>
      <c r="M1430" s="15">
        <f>IF(OR('Data Entry'!A1430="",$K1430="",$K1430=0),"",$L1430/$K1430)</f>
        <v/>
      </c>
      <c r="N1430" s="12">
        <f>IF('Data Entry'!A1430="","",IF($L1430="","New item",IF($L1430&gt;0,"UP",IF($L1430&lt;0,"down","same"))))</f>
        <v/>
      </c>
    </row>
    <row r="1431">
      <c r="A1431" s="11">
        <f>IF('Data Entry'!A1431="","",'Data Entry'!A1431)</f>
        <v/>
      </c>
      <c r="B1431" s="12">
        <f>IF('Data Entry'!A1431="","",'Data Entry'!B1431)</f>
        <v/>
      </c>
      <c r="C1431" s="12">
        <f>IF('Data Entry'!A1431="","",'Data Entry'!C1431)</f>
        <v/>
      </c>
      <c r="D1431" s="12">
        <f>IF('Data Entry'!A1431="","",'Data Entry'!D1431)</f>
        <v/>
      </c>
      <c r="E1431" s="12">
        <f>IF('Data Entry'!A1431="","",'Data Entry'!E1431)</f>
        <v/>
      </c>
      <c r="F1431" s="12">
        <f>IF('Data Entry'!A1431="","",'Data Entry'!F1431)</f>
        <v/>
      </c>
      <c r="G1431" s="13">
        <f>IF('Data Entry'!A1431="","",'Data Entry'!G1431)</f>
        <v/>
      </c>
      <c r="H1431" s="10">
        <f>IF('Data Entry'!A1431="","",'Data Entry'!H1431)</f>
        <v/>
      </c>
      <c r="I1431" s="10">
        <f>IF('Data Entry'!A1431="","",'Data Entry'!I1431)</f>
        <v/>
      </c>
      <c r="J1431" s="12">
        <f>IF('Data Entry'!A1431="","",IF('Data Entry'!D1431&lt;&gt;"",'Data Entry'!D1431,'Data Entry'!E1431))</f>
        <v/>
      </c>
      <c r="K1431" s="10">
        <f>IF('Data Entry'!A1431="","",IFERROR(SUMIFS($H$5:$H$2001,$J$5:$J$2001,$J1431,$B$5:$B$2001,$B1431,$A$5:$A$2001,(MAXIFS($A$5:$A$2001,$J$5:$J$2001,$J1431,$B$5:$B$2001,$B1431,$A$5:$A$2001,"&lt;"&amp;$A1431))),""))</f>
        <v/>
      </c>
      <c r="L1431" s="14">
        <f>IF(OR('Data Entry'!A1431="",$K1431=""),"",$H1431-$K1431)</f>
        <v/>
      </c>
      <c r="M1431" s="15">
        <f>IF(OR('Data Entry'!A1431="",$K1431="",$K1431=0),"",$L1431/$K1431)</f>
        <v/>
      </c>
      <c r="N1431" s="12">
        <f>IF('Data Entry'!A1431="","",IF($L1431="","New item",IF($L1431&gt;0,"UP",IF($L1431&lt;0,"down","same"))))</f>
        <v/>
      </c>
    </row>
    <row r="1432">
      <c r="A1432" s="11">
        <f>IF('Data Entry'!A1432="","",'Data Entry'!A1432)</f>
        <v/>
      </c>
      <c r="B1432" s="12">
        <f>IF('Data Entry'!A1432="","",'Data Entry'!B1432)</f>
        <v/>
      </c>
      <c r="C1432" s="12">
        <f>IF('Data Entry'!A1432="","",'Data Entry'!C1432)</f>
        <v/>
      </c>
      <c r="D1432" s="12">
        <f>IF('Data Entry'!A1432="","",'Data Entry'!D1432)</f>
        <v/>
      </c>
      <c r="E1432" s="12">
        <f>IF('Data Entry'!A1432="","",'Data Entry'!E1432)</f>
        <v/>
      </c>
      <c r="F1432" s="12">
        <f>IF('Data Entry'!A1432="","",'Data Entry'!F1432)</f>
        <v/>
      </c>
      <c r="G1432" s="13">
        <f>IF('Data Entry'!A1432="","",'Data Entry'!G1432)</f>
        <v/>
      </c>
      <c r="H1432" s="10">
        <f>IF('Data Entry'!A1432="","",'Data Entry'!H1432)</f>
        <v/>
      </c>
      <c r="I1432" s="10">
        <f>IF('Data Entry'!A1432="","",'Data Entry'!I1432)</f>
        <v/>
      </c>
      <c r="J1432" s="12">
        <f>IF('Data Entry'!A1432="","",IF('Data Entry'!D1432&lt;&gt;"",'Data Entry'!D1432,'Data Entry'!E1432))</f>
        <v/>
      </c>
      <c r="K1432" s="10">
        <f>IF('Data Entry'!A1432="","",IFERROR(SUMIFS($H$5:$H$2001,$J$5:$J$2001,$J1432,$B$5:$B$2001,$B1432,$A$5:$A$2001,(MAXIFS($A$5:$A$2001,$J$5:$J$2001,$J1432,$B$5:$B$2001,$B1432,$A$5:$A$2001,"&lt;"&amp;$A1432))),""))</f>
        <v/>
      </c>
      <c r="L1432" s="14">
        <f>IF(OR('Data Entry'!A1432="",$K1432=""),"",$H1432-$K1432)</f>
        <v/>
      </c>
      <c r="M1432" s="15">
        <f>IF(OR('Data Entry'!A1432="",$K1432="",$K1432=0),"",$L1432/$K1432)</f>
        <v/>
      </c>
      <c r="N1432" s="12">
        <f>IF('Data Entry'!A1432="","",IF($L1432="","New item",IF($L1432&gt;0,"UP",IF($L1432&lt;0,"down","same"))))</f>
        <v/>
      </c>
    </row>
    <row r="1433">
      <c r="A1433" s="11">
        <f>IF('Data Entry'!A1433="","",'Data Entry'!A1433)</f>
        <v/>
      </c>
      <c r="B1433" s="12">
        <f>IF('Data Entry'!A1433="","",'Data Entry'!B1433)</f>
        <v/>
      </c>
      <c r="C1433" s="12">
        <f>IF('Data Entry'!A1433="","",'Data Entry'!C1433)</f>
        <v/>
      </c>
      <c r="D1433" s="12">
        <f>IF('Data Entry'!A1433="","",'Data Entry'!D1433)</f>
        <v/>
      </c>
      <c r="E1433" s="12">
        <f>IF('Data Entry'!A1433="","",'Data Entry'!E1433)</f>
        <v/>
      </c>
      <c r="F1433" s="12">
        <f>IF('Data Entry'!A1433="","",'Data Entry'!F1433)</f>
        <v/>
      </c>
      <c r="G1433" s="13">
        <f>IF('Data Entry'!A1433="","",'Data Entry'!G1433)</f>
        <v/>
      </c>
      <c r="H1433" s="10">
        <f>IF('Data Entry'!A1433="","",'Data Entry'!H1433)</f>
        <v/>
      </c>
      <c r="I1433" s="10">
        <f>IF('Data Entry'!A1433="","",'Data Entry'!I1433)</f>
        <v/>
      </c>
      <c r="J1433" s="12">
        <f>IF('Data Entry'!A1433="","",IF('Data Entry'!D1433&lt;&gt;"",'Data Entry'!D1433,'Data Entry'!E1433))</f>
        <v/>
      </c>
      <c r="K1433" s="10">
        <f>IF('Data Entry'!A1433="","",IFERROR(SUMIFS($H$5:$H$2001,$J$5:$J$2001,$J1433,$B$5:$B$2001,$B1433,$A$5:$A$2001,(MAXIFS($A$5:$A$2001,$J$5:$J$2001,$J1433,$B$5:$B$2001,$B1433,$A$5:$A$2001,"&lt;"&amp;$A1433))),""))</f>
        <v/>
      </c>
      <c r="L1433" s="14">
        <f>IF(OR('Data Entry'!A1433="",$K1433=""),"",$H1433-$K1433)</f>
        <v/>
      </c>
      <c r="M1433" s="15">
        <f>IF(OR('Data Entry'!A1433="",$K1433="",$K1433=0),"",$L1433/$K1433)</f>
        <v/>
      </c>
      <c r="N1433" s="12">
        <f>IF('Data Entry'!A1433="","",IF($L1433="","New item",IF($L1433&gt;0,"UP",IF($L1433&lt;0,"down","same"))))</f>
        <v/>
      </c>
    </row>
    <row r="1434">
      <c r="A1434" s="11">
        <f>IF('Data Entry'!A1434="","",'Data Entry'!A1434)</f>
        <v/>
      </c>
      <c r="B1434" s="12">
        <f>IF('Data Entry'!A1434="","",'Data Entry'!B1434)</f>
        <v/>
      </c>
      <c r="C1434" s="12">
        <f>IF('Data Entry'!A1434="","",'Data Entry'!C1434)</f>
        <v/>
      </c>
      <c r="D1434" s="12">
        <f>IF('Data Entry'!A1434="","",'Data Entry'!D1434)</f>
        <v/>
      </c>
      <c r="E1434" s="12">
        <f>IF('Data Entry'!A1434="","",'Data Entry'!E1434)</f>
        <v/>
      </c>
      <c r="F1434" s="12">
        <f>IF('Data Entry'!A1434="","",'Data Entry'!F1434)</f>
        <v/>
      </c>
      <c r="G1434" s="13">
        <f>IF('Data Entry'!A1434="","",'Data Entry'!G1434)</f>
        <v/>
      </c>
      <c r="H1434" s="10">
        <f>IF('Data Entry'!A1434="","",'Data Entry'!H1434)</f>
        <v/>
      </c>
      <c r="I1434" s="10">
        <f>IF('Data Entry'!A1434="","",'Data Entry'!I1434)</f>
        <v/>
      </c>
      <c r="J1434" s="12">
        <f>IF('Data Entry'!A1434="","",IF('Data Entry'!D1434&lt;&gt;"",'Data Entry'!D1434,'Data Entry'!E1434))</f>
        <v/>
      </c>
      <c r="K1434" s="10">
        <f>IF('Data Entry'!A1434="","",IFERROR(SUMIFS($H$5:$H$2001,$J$5:$J$2001,$J1434,$B$5:$B$2001,$B1434,$A$5:$A$2001,(MAXIFS($A$5:$A$2001,$J$5:$J$2001,$J1434,$B$5:$B$2001,$B1434,$A$5:$A$2001,"&lt;"&amp;$A1434))),""))</f>
        <v/>
      </c>
      <c r="L1434" s="14">
        <f>IF(OR('Data Entry'!A1434="",$K1434=""),"",$H1434-$K1434)</f>
        <v/>
      </c>
      <c r="M1434" s="15">
        <f>IF(OR('Data Entry'!A1434="",$K1434="",$K1434=0),"",$L1434/$K1434)</f>
        <v/>
      </c>
      <c r="N1434" s="12">
        <f>IF('Data Entry'!A1434="","",IF($L1434="","New item",IF($L1434&gt;0,"UP",IF($L1434&lt;0,"down","same"))))</f>
        <v/>
      </c>
    </row>
    <row r="1435">
      <c r="A1435" s="11">
        <f>IF('Data Entry'!A1435="","",'Data Entry'!A1435)</f>
        <v/>
      </c>
      <c r="B1435" s="12">
        <f>IF('Data Entry'!A1435="","",'Data Entry'!B1435)</f>
        <v/>
      </c>
      <c r="C1435" s="12">
        <f>IF('Data Entry'!A1435="","",'Data Entry'!C1435)</f>
        <v/>
      </c>
      <c r="D1435" s="12">
        <f>IF('Data Entry'!A1435="","",'Data Entry'!D1435)</f>
        <v/>
      </c>
      <c r="E1435" s="12">
        <f>IF('Data Entry'!A1435="","",'Data Entry'!E1435)</f>
        <v/>
      </c>
      <c r="F1435" s="12">
        <f>IF('Data Entry'!A1435="","",'Data Entry'!F1435)</f>
        <v/>
      </c>
      <c r="G1435" s="13">
        <f>IF('Data Entry'!A1435="","",'Data Entry'!G1435)</f>
        <v/>
      </c>
      <c r="H1435" s="10">
        <f>IF('Data Entry'!A1435="","",'Data Entry'!H1435)</f>
        <v/>
      </c>
      <c r="I1435" s="10">
        <f>IF('Data Entry'!A1435="","",'Data Entry'!I1435)</f>
        <v/>
      </c>
      <c r="J1435" s="12">
        <f>IF('Data Entry'!A1435="","",IF('Data Entry'!D1435&lt;&gt;"",'Data Entry'!D1435,'Data Entry'!E1435))</f>
        <v/>
      </c>
      <c r="K1435" s="10">
        <f>IF('Data Entry'!A1435="","",IFERROR(SUMIFS($H$5:$H$2001,$J$5:$J$2001,$J1435,$B$5:$B$2001,$B1435,$A$5:$A$2001,(MAXIFS($A$5:$A$2001,$J$5:$J$2001,$J1435,$B$5:$B$2001,$B1435,$A$5:$A$2001,"&lt;"&amp;$A1435))),""))</f>
        <v/>
      </c>
      <c r="L1435" s="14">
        <f>IF(OR('Data Entry'!A1435="",$K1435=""),"",$H1435-$K1435)</f>
        <v/>
      </c>
      <c r="M1435" s="15">
        <f>IF(OR('Data Entry'!A1435="",$K1435="",$K1435=0),"",$L1435/$K1435)</f>
        <v/>
      </c>
      <c r="N1435" s="12">
        <f>IF('Data Entry'!A1435="","",IF($L1435="","New item",IF($L1435&gt;0,"UP",IF($L1435&lt;0,"down","same"))))</f>
        <v/>
      </c>
    </row>
    <row r="1436">
      <c r="A1436" s="11">
        <f>IF('Data Entry'!A1436="","",'Data Entry'!A1436)</f>
        <v/>
      </c>
      <c r="B1436" s="12">
        <f>IF('Data Entry'!A1436="","",'Data Entry'!B1436)</f>
        <v/>
      </c>
      <c r="C1436" s="12">
        <f>IF('Data Entry'!A1436="","",'Data Entry'!C1436)</f>
        <v/>
      </c>
      <c r="D1436" s="12">
        <f>IF('Data Entry'!A1436="","",'Data Entry'!D1436)</f>
        <v/>
      </c>
      <c r="E1436" s="12">
        <f>IF('Data Entry'!A1436="","",'Data Entry'!E1436)</f>
        <v/>
      </c>
      <c r="F1436" s="12">
        <f>IF('Data Entry'!A1436="","",'Data Entry'!F1436)</f>
        <v/>
      </c>
      <c r="G1436" s="13">
        <f>IF('Data Entry'!A1436="","",'Data Entry'!G1436)</f>
        <v/>
      </c>
      <c r="H1436" s="10">
        <f>IF('Data Entry'!A1436="","",'Data Entry'!H1436)</f>
        <v/>
      </c>
      <c r="I1436" s="10">
        <f>IF('Data Entry'!A1436="","",'Data Entry'!I1436)</f>
        <v/>
      </c>
      <c r="J1436" s="12">
        <f>IF('Data Entry'!A1436="","",IF('Data Entry'!D1436&lt;&gt;"",'Data Entry'!D1436,'Data Entry'!E1436))</f>
        <v/>
      </c>
      <c r="K1436" s="10">
        <f>IF('Data Entry'!A1436="","",IFERROR(SUMIFS($H$5:$H$2001,$J$5:$J$2001,$J1436,$B$5:$B$2001,$B1436,$A$5:$A$2001,(MAXIFS($A$5:$A$2001,$J$5:$J$2001,$J1436,$B$5:$B$2001,$B1436,$A$5:$A$2001,"&lt;"&amp;$A1436))),""))</f>
        <v/>
      </c>
      <c r="L1436" s="14">
        <f>IF(OR('Data Entry'!A1436="",$K1436=""),"",$H1436-$K1436)</f>
        <v/>
      </c>
      <c r="M1436" s="15">
        <f>IF(OR('Data Entry'!A1436="",$K1436="",$K1436=0),"",$L1436/$K1436)</f>
        <v/>
      </c>
      <c r="N1436" s="12">
        <f>IF('Data Entry'!A1436="","",IF($L1436="","New item",IF($L1436&gt;0,"UP",IF($L1436&lt;0,"down","same"))))</f>
        <v/>
      </c>
    </row>
    <row r="1437">
      <c r="A1437" s="11">
        <f>IF('Data Entry'!A1437="","",'Data Entry'!A1437)</f>
        <v/>
      </c>
      <c r="B1437" s="12">
        <f>IF('Data Entry'!A1437="","",'Data Entry'!B1437)</f>
        <v/>
      </c>
      <c r="C1437" s="12">
        <f>IF('Data Entry'!A1437="","",'Data Entry'!C1437)</f>
        <v/>
      </c>
      <c r="D1437" s="12">
        <f>IF('Data Entry'!A1437="","",'Data Entry'!D1437)</f>
        <v/>
      </c>
      <c r="E1437" s="12">
        <f>IF('Data Entry'!A1437="","",'Data Entry'!E1437)</f>
        <v/>
      </c>
      <c r="F1437" s="12">
        <f>IF('Data Entry'!A1437="","",'Data Entry'!F1437)</f>
        <v/>
      </c>
      <c r="G1437" s="13">
        <f>IF('Data Entry'!A1437="","",'Data Entry'!G1437)</f>
        <v/>
      </c>
      <c r="H1437" s="10">
        <f>IF('Data Entry'!A1437="","",'Data Entry'!H1437)</f>
        <v/>
      </c>
      <c r="I1437" s="10">
        <f>IF('Data Entry'!A1437="","",'Data Entry'!I1437)</f>
        <v/>
      </c>
      <c r="J1437" s="12">
        <f>IF('Data Entry'!A1437="","",IF('Data Entry'!D1437&lt;&gt;"",'Data Entry'!D1437,'Data Entry'!E1437))</f>
        <v/>
      </c>
      <c r="K1437" s="10">
        <f>IF('Data Entry'!A1437="","",IFERROR(SUMIFS($H$5:$H$2001,$J$5:$J$2001,$J1437,$B$5:$B$2001,$B1437,$A$5:$A$2001,(MAXIFS($A$5:$A$2001,$J$5:$J$2001,$J1437,$B$5:$B$2001,$B1437,$A$5:$A$2001,"&lt;"&amp;$A1437))),""))</f>
        <v/>
      </c>
      <c r="L1437" s="14">
        <f>IF(OR('Data Entry'!A1437="",$K1437=""),"",$H1437-$K1437)</f>
        <v/>
      </c>
      <c r="M1437" s="15">
        <f>IF(OR('Data Entry'!A1437="",$K1437="",$K1437=0),"",$L1437/$K1437)</f>
        <v/>
      </c>
      <c r="N1437" s="12">
        <f>IF('Data Entry'!A1437="","",IF($L1437="","New item",IF($L1437&gt;0,"UP",IF($L1437&lt;0,"down","same"))))</f>
        <v/>
      </c>
    </row>
    <row r="1438">
      <c r="A1438" s="11">
        <f>IF('Data Entry'!A1438="","",'Data Entry'!A1438)</f>
        <v/>
      </c>
      <c r="B1438" s="12">
        <f>IF('Data Entry'!A1438="","",'Data Entry'!B1438)</f>
        <v/>
      </c>
      <c r="C1438" s="12">
        <f>IF('Data Entry'!A1438="","",'Data Entry'!C1438)</f>
        <v/>
      </c>
      <c r="D1438" s="12">
        <f>IF('Data Entry'!A1438="","",'Data Entry'!D1438)</f>
        <v/>
      </c>
      <c r="E1438" s="12">
        <f>IF('Data Entry'!A1438="","",'Data Entry'!E1438)</f>
        <v/>
      </c>
      <c r="F1438" s="12">
        <f>IF('Data Entry'!A1438="","",'Data Entry'!F1438)</f>
        <v/>
      </c>
      <c r="G1438" s="13">
        <f>IF('Data Entry'!A1438="","",'Data Entry'!G1438)</f>
        <v/>
      </c>
      <c r="H1438" s="10">
        <f>IF('Data Entry'!A1438="","",'Data Entry'!H1438)</f>
        <v/>
      </c>
      <c r="I1438" s="10">
        <f>IF('Data Entry'!A1438="","",'Data Entry'!I1438)</f>
        <v/>
      </c>
      <c r="J1438" s="12">
        <f>IF('Data Entry'!A1438="","",IF('Data Entry'!D1438&lt;&gt;"",'Data Entry'!D1438,'Data Entry'!E1438))</f>
        <v/>
      </c>
      <c r="K1438" s="10">
        <f>IF('Data Entry'!A1438="","",IFERROR(SUMIFS($H$5:$H$2001,$J$5:$J$2001,$J1438,$B$5:$B$2001,$B1438,$A$5:$A$2001,(MAXIFS($A$5:$A$2001,$J$5:$J$2001,$J1438,$B$5:$B$2001,$B1438,$A$5:$A$2001,"&lt;"&amp;$A1438))),""))</f>
        <v/>
      </c>
      <c r="L1438" s="14">
        <f>IF(OR('Data Entry'!A1438="",$K1438=""),"",$H1438-$K1438)</f>
        <v/>
      </c>
      <c r="M1438" s="15">
        <f>IF(OR('Data Entry'!A1438="",$K1438="",$K1438=0),"",$L1438/$K1438)</f>
        <v/>
      </c>
      <c r="N1438" s="12">
        <f>IF('Data Entry'!A1438="","",IF($L1438="","New item",IF($L1438&gt;0,"UP",IF($L1438&lt;0,"down","same"))))</f>
        <v/>
      </c>
    </row>
    <row r="1439">
      <c r="A1439" s="11">
        <f>IF('Data Entry'!A1439="","",'Data Entry'!A1439)</f>
        <v/>
      </c>
      <c r="B1439" s="12">
        <f>IF('Data Entry'!A1439="","",'Data Entry'!B1439)</f>
        <v/>
      </c>
      <c r="C1439" s="12">
        <f>IF('Data Entry'!A1439="","",'Data Entry'!C1439)</f>
        <v/>
      </c>
      <c r="D1439" s="12">
        <f>IF('Data Entry'!A1439="","",'Data Entry'!D1439)</f>
        <v/>
      </c>
      <c r="E1439" s="12">
        <f>IF('Data Entry'!A1439="","",'Data Entry'!E1439)</f>
        <v/>
      </c>
      <c r="F1439" s="12">
        <f>IF('Data Entry'!A1439="","",'Data Entry'!F1439)</f>
        <v/>
      </c>
      <c r="G1439" s="13">
        <f>IF('Data Entry'!A1439="","",'Data Entry'!G1439)</f>
        <v/>
      </c>
      <c r="H1439" s="10">
        <f>IF('Data Entry'!A1439="","",'Data Entry'!H1439)</f>
        <v/>
      </c>
      <c r="I1439" s="10">
        <f>IF('Data Entry'!A1439="","",'Data Entry'!I1439)</f>
        <v/>
      </c>
      <c r="J1439" s="12">
        <f>IF('Data Entry'!A1439="","",IF('Data Entry'!D1439&lt;&gt;"",'Data Entry'!D1439,'Data Entry'!E1439))</f>
        <v/>
      </c>
      <c r="K1439" s="10">
        <f>IF('Data Entry'!A1439="","",IFERROR(SUMIFS($H$5:$H$2001,$J$5:$J$2001,$J1439,$B$5:$B$2001,$B1439,$A$5:$A$2001,(MAXIFS($A$5:$A$2001,$J$5:$J$2001,$J1439,$B$5:$B$2001,$B1439,$A$5:$A$2001,"&lt;"&amp;$A1439))),""))</f>
        <v/>
      </c>
      <c r="L1439" s="14">
        <f>IF(OR('Data Entry'!A1439="",$K1439=""),"",$H1439-$K1439)</f>
        <v/>
      </c>
      <c r="M1439" s="15">
        <f>IF(OR('Data Entry'!A1439="",$K1439="",$K1439=0),"",$L1439/$K1439)</f>
        <v/>
      </c>
      <c r="N1439" s="12">
        <f>IF('Data Entry'!A1439="","",IF($L1439="","New item",IF($L1439&gt;0,"UP",IF($L1439&lt;0,"down","same"))))</f>
        <v/>
      </c>
    </row>
    <row r="1440">
      <c r="A1440" s="11">
        <f>IF('Data Entry'!A1440="","",'Data Entry'!A1440)</f>
        <v/>
      </c>
      <c r="B1440" s="12">
        <f>IF('Data Entry'!A1440="","",'Data Entry'!B1440)</f>
        <v/>
      </c>
      <c r="C1440" s="12">
        <f>IF('Data Entry'!A1440="","",'Data Entry'!C1440)</f>
        <v/>
      </c>
      <c r="D1440" s="12">
        <f>IF('Data Entry'!A1440="","",'Data Entry'!D1440)</f>
        <v/>
      </c>
      <c r="E1440" s="12">
        <f>IF('Data Entry'!A1440="","",'Data Entry'!E1440)</f>
        <v/>
      </c>
      <c r="F1440" s="12">
        <f>IF('Data Entry'!A1440="","",'Data Entry'!F1440)</f>
        <v/>
      </c>
      <c r="G1440" s="13">
        <f>IF('Data Entry'!A1440="","",'Data Entry'!G1440)</f>
        <v/>
      </c>
      <c r="H1440" s="10">
        <f>IF('Data Entry'!A1440="","",'Data Entry'!H1440)</f>
        <v/>
      </c>
      <c r="I1440" s="10">
        <f>IF('Data Entry'!A1440="","",'Data Entry'!I1440)</f>
        <v/>
      </c>
      <c r="J1440" s="12">
        <f>IF('Data Entry'!A1440="","",IF('Data Entry'!D1440&lt;&gt;"",'Data Entry'!D1440,'Data Entry'!E1440))</f>
        <v/>
      </c>
      <c r="K1440" s="10">
        <f>IF('Data Entry'!A1440="","",IFERROR(SUMIFS($H$5:$H$2001,$J$5:$J$2001,$J1440,$B$5:$B$2001,$B1440,$A$5:$A$2001,(MAXIFS($A$5:$A$2001,$J$5:$J$2001,$J1440,$B$5:$B$2001,$B1440,$A$5:$A$2001,"&lt;"&amp;$A1440))),""))</f>
        <v/>
      </c>
      <c r="L1440" s="14">
        <f>IF(OR('Data Entry'!A1440="",$K1440=""),"",$H1440-$K1440)</f>
        <v/>
      </c>
      <c r="M1440" s="15">
        <f>IF(OR('Data Entry'!A1440="",$K1440="",$K1440=0),"",$L1440/$K1440)</f>
        <v/>
      </c>
      <c r="N1440" s="12">
        <f>IF('Data Entry'!A1440="","",IF($L1440="","New item",IF($L1440&gt;0,"UP",IF($L1440&lt;0,"down","same"))))</f>
        <v/>
      </c>
    </row>
    <row r="1441">
      <c r="A1441" s="11">
        <f>IF('Data Entry'!A1441="","",'Data Entry'!A1441)</f>
        <v/>
      </c>
      <c r="B1441" s="12">
        <f>IF('Data Entry'!A1441="","",'Data Entry'!B1441)</f>
        <v/>
      </c>
      <c r="C1441" s="12">
        <f>IF('Data Entry'!A1441="","",'Data Entry'!C1441)</f>
        <v/>
      </c>
      <c r="D1441" s="12">
        <f>IF('Data Entry'!A1441="","",'Data Entry'!D1441)</f>
        <v/>
      </c>
      <c r="E1441" s="12">
        <f>IF('Data Entry'!A1441="","",'Data Entry'!E1441)</f>
        <v/>
      </c>
      <c r="F1441" s="12">
        <f>IF('Data Entry'!A1441="","",'Data Entry'!F1441)</f>
        <v/>
      </c>
      <c r="G1441" s="13">
        <f>IF('Data Entry'!A1441="","",'Data Entry'!G1441)</f>
        <v/>
      </c>
      <c r="H1441" s="10">
        <f>IF('Data Entry'!A1441="","",'Data Entry'!H1441)</f>
        <v/>
      </c>
      <c r="I1441" s="10">
        <f>IF('Data Entry'!A1441="","",'Data Entry'!I1441)</f>
        <v/>
      </c>
      <c r="J1441" s="12">
        <f>IF('Data Entry'!A1441="","",IF('Data Entry'!D1441&lt;&gt;"",'Data Entry'!D1441,'Data Entry'!E1441))</f>
        <v/>
      </c>
      <c r="K1441" s="10">
        <f>IF('Data Entry'!A1441="","",IFERROR(SUMIFS($H$5:$H$2001,$J$5:$J$2001,$J1441,$B$5:$B$2001,$B1441,$A$5:$A$2001,(MAXIFS($A$5:$A$2001,$J$5:$J$2001,$J1441,$B$5:$B$2001,$B1441,$A$5:$A$2001,"&lt;"&amp;$A1441))),""))</f>
        <v/>
      </c>
      <c r="L1441" s="14">
        <f>IF(OR('Data Entry'!A1441="",$K1441=""),"",$H1441-$K1441)</f>
        <v/>
      </c>
      <c r="M1441" s="15">
        <f>IF(OR('Data Entry'!A1441="",$K1441="",$K1441=0),"",$L1441/$K1441)</f>
        <v/>
      </c>
      <c r="N1441" s="12">
        <f>IF('Data Entry'!A1441="","",IF($L1441="","New item",IF($L1441&gt;0,"UP",IF($L1441&lt;0,"down","same"))))</f>
        <v/>
      </c>
    </row>
    <row r="1442">
      <c r="A1442" s="11">
        <f>IF('Data Entry'!A1442="","",'Data Entry'!A1442)</f>
        <v/>
      </c>
      <c r="B1442" s="12">
        <f>IF('Data Entry'!A1442="","",'Data Entry'!B1442)</f>
        <v/>
      </c>
      <c r="C1442" s="12">
        <f>IF('Data Entry'!A1442="","",'Data Entry'!C1442)</f>
        <v/>
      </c>
      <c r="D1442" s="12">
        <f>IF('Data Entry'!A1442="","",'Data Entry'!D1442)</f>
        <v/>
      </c>
      <c r="E1442" s="12">
        <f>IF('Data Entry'!A1442="","",'Data Entry'!E1442)</f>
        <v/>
      </c>
      <c r="F1442" s="12">
        <f>IF('Data Entry'!A1442="","",'Data Entry'!F1442)</f>
        <v/>
      </c>
      <c r="G1442" s="13">
        <f>IF('Data Entry'!A1442="","",'Data Entry'!G1442)</f>
        <v/>
      </c>
      <c r="H1442" s="10">
        <f>IF('Data Entry'!A1442="","",'Data Entry'!H1442)</f>
        <v/>
      </c>
      <c r="I1442" s="10">
        <f>IF('Data Entry'!A1442="","",'Data Entry'!I1442)</f>
        <v/>
      </c>
      <c r="J1442" s="12">
        <f>IF('Data Entry'!A1442="","",IF('Data Entry'!D1442&lt;&gt;"",'Data Entry'!D1442,'Data Entry'!E1442))</f>
        <v/>
      </c>
      <c r="K1442" s="10">
        <f>IF('Data Entry'!A1442="","",IFERROR(SUMIFS($H$5:$H$2001,$J$5:$J$2001,$J1442,$B$5:$B$2001,$B1442,$A$5:$A$2001,(MAXIFS($A$5:$A$2001,$J$5:$J$2001,$J1442,$B$5:$B$2001,$B1442,$A$5:$A$2001,"&lt;"&amp;$A1442))),""))</f>
        <v/>
      </c>
      <c r="L1442" s="14">
        <f>IF(OR('Data Entry'!A1442="",$K1442=""),"",$H1442-$K1442)</f>
        <v/>
      </c>
      <c r="M1442" s="15">
        <f>IF(OR('Data Entry'!A1442="",$K1442="",$K1442=0),"",$L1442/$K1442)</f>
        <v/>
      </c>
      <c r="N1442" s="12">
        <f>IF('Data Entry'!A1442="","",IF($L1442="","New item",IF($L1442&gt;0,"UP",IF($L1442&lt;0,"down","same"))))</f>
        <v/>
      </c>
    </row>
    <row r="1443">
      <c r="A1443" s="11">
        <f>IF('Data Entry'!A1443="","",'Data Entry'!A1443)</f>
        <v/>
      </c>
      <c r="B1443" s="12">
        <f>IF('Data Entry'!A1443="","",'Data Entry'!B1443)</f>
        <v/>
      </c>
      <c r="C1443" s="12">
        <f>IF('Data Entry'!A1443="","",'Data Entry'!C1443)</f>
        <v/>
      </c>
      <c r="D1443" s="12">
        <f>IF('Data Entry'!A1443="","",'Data Entry'!D1443)</f>
        <v/>
      </c>
      <c r="E1443" s="12">
        <f>IF('Data Entry'!A1443="","",'Data Entry'!E1443)</f>
        <v/>
      </c>
      <c r="F1443" s="12">
        <f>IF('Data Entry'!A1443="","",'Data Entry'!F1443)</f>
        <v/>
      </c>
      <c r="G1443" s="13">
        <f>IF('Data Entry'!A1443="","",'Data Entry'!G1443)</f>
        <v/>
      </c>
      <c r="H1443" s="10">
        <f>IF('Data Entry'!A1443="","",'Data Entry'!H1443)</f>
        <v/>
      </c>
      <c r="I1443" s="10">
        <f>IF('Data Entry'!A1443="","",'Data Entry'!I1443)</f>
        <v/>
      </c>
      <c r="J1443" s="12">
        <f>IF('Data Entry'!A1443="","",IF('Data Entry'!D1443&lt;&gt;"",'Data Entry'!D1443,'Data Entry'!E1443))</f>
        <v/>
      </c>
      <c r="K1443" s="10">
        <f>IF('Data Entry'!A1443="","",IFERROR(SUMIFS($H$5:$H$2001,$J$5:$J$2001,$J1443,$B$5:$B$2001,$B1443,$A$5:$A$2001,(MAXIFS($A$5:$A$2001,$J$5:$J$2001,$J1443,$B$5:$B$2001,$B1443,$A$5:$A$2001,"&lt;"&amp;$A1443))),""))</f>
        <v/>
      </c>
      <c r="L1443" s="14">
        <f>IF(OR('Data Entry'!A1443="",$K1443=""),"",$H1443-$K1443)</f>
        <v/>
      </c>
      <c r="M1443" s="15">
        <f>IF(OR('Data Entry'!A1443="",$K1443="",$K1443=0),"",$L1443/$K1443)</f>
        <v/>
      </c>
      <c r="N1443" s="12">
        <f>IF('Data Entry'!A1443="","",IF($L1443="","New item",IF($L1443&gt;0,"UP",IF($L1443&lt;0,"down","same"))))</f>
        <v/>
      </c>
    </row>
    <row r="1444">
      <c r="A1444" s="11">
        <f>IF('Data Entry'!A1444="","",'Data Entry'!A1444)</f>
        <v/>
      </c>
      <c r="B1444" s="12">
        <f>IF('Data Entry'!A1444="","",'Data Entry'!B1444)</f>
        <v/>
      </c>
      <c r="C1444" s="12">
        <f>IF('Data Entry'!A1444="","",'Data Entry'!C1444)</f>
        <v/>
      </c>
      <c r="D1444" s="12">
        <f>IF('Data Entry'!A1444="","",'Data Entry'!D1444)</f>
        <v/>
      </c>
      <c r="E1444" s="12">
        <f>IF('Data Entry'!A1444="","",'Data Entry'!E1444)</f>
        <v/>
      </c>
      <c r="F1444" s="12">
        <f>IF('Data Entry'!A1444="","",'Data Entry'!F1444)</f>
        <v/>
      </c>
      <c r="G1444" s="13">
        <f>IF('Data Entry'!A1444="","",'Data Entry'!G1444)</f>
        <v/>
      </c>
      <c r="H1444" s="10">
        <f>IF('Data Entry'!A1444="","",'Data Entry'!H1444)</f>
        <v/>
      </c>
      <c r="I1444" s="10">
        <f>IF('Data Entry'!A1444="","",'Data Entry'!I1444)</f>
        <v/>
      </c>
      <c r="J1444" s="12">
        <f>IF('Data Entry'!A1444="","",IF('Data Entry'!D1444&lt;&gt;"",'Data Entry'!D1444,'Data Entry'!E1444))</f>
        <v/>
      </c>
      <c r="K1444" s="10">
        <f>IF('Data Entry'!A1444="","",IFERROR(SUMIFS($H$5:$H$2001,$J$5:$J$2001,$J1444,$B$5:$B$2001,$B1444,$A$5:$A$2001,(MAXIFS($A$5:$A$2001,$J$5:$J$2001,$J1444,$B$5:$B$2001,$B1444,$A$5:$A$2001,"&lt;"&amp;$A1444))),""))</f>
        <v/>
      </c>
      <c r="L1444" s="14">
        <f>IF(OR('Data Entry'!A1444="",$K1444=""),"",$H1444-$K1444)</f>
        <v/>
      </c>
      <c r="M1444" s="15">
        <f>IF(OR('Data Entry'!A1444="",$K1444="",$K1444=0),"",$L1444/$K1444)</f>
        <v/>
      </c>
      <c r="N1444" s="12">
        <f>IF('Data Entry'!A1444="","",IF($L1444="","New item",IF($L1444&gt;0,"UP",IF($L1444&lt;0,"down","same"))))</f>
        <v/>
      </c>
    </row>
    <row r="1445">
      <c r="A1445" s="11">
        <f>IF('Data Entry'!A1445="","",'Data Entry'!A1445)</f>
        <v/>
      </c>
      <c r="B1445" s="12">
        <f>IF('Data Entry'!A1445="","",'Data Entry'!B1445)</f>
        <v/>
      </c>
      <c r="C1445" s="12">
        <f>IF('Data Entry'!A1445="","",'Data Entry'!C1445)</f>
        <v/>
      </c>
      <c r="D1445" s="12">
        <f>IF('Data Entry'!A1445="","",'Data Entry'!D1445)</f>
        <v/>
      </c>
      <c r="E1445" s="12">
        <f>IF('Data Entry'!A1445="","",'Data Entry'!E1445)</f>
        <v/>
      </c>
      <c r="F1445" s="12">
        <f>IF('Data Entry'!A1445="","",'Data Entry'!F1445)</f>
        <v/>
      </c>
      <c r="G1445" s="13">
        <f>IF('Data Entry'!A1445="","",'Data Entry'!G1445)</f>
        <v/>
      </c>
      <c r="H1445" s="10">
        <f>IF('Data Entry'!A1445="","",'Data Entry'!H1445)</f>
        <v/>
      </c>
      <c r="I1445" s="10">
        <f>IF('Data Entry'!A1445="","",'Data Entry'!I1445)</f>
        <v/>
      </c>
      <c r="J1445" s="12">
        <f>IF('Data Entry'!A1445="","",IF('Data Entry'!D1445&lt;&gt;"",'Data Entry'!D1445,'Data Entry'!E1445))</f>
        <v/>
      </c>
      <c r="K1445" s="10">
        <f>IF('Data Entry'!A1445="","",IFERROR(SUMIFS($H$5:$H$2001,$J$5:$J$2001,$J1445,$B$5:$B$2001,$B1445,$A$5:$A$2001,(MAXIFS($A$5:$A$2001,$J$5:$J$2001,$J1445,$B$5:$B$2001,$B1445,$A$5:$A$2001,"&lt;"&amp;$A1445))),""))</f>
        <v/>
      </c>
      <c r="L1445" s="14">
        <f>IF(OR('Data Entry'!A1445="",$K1445=""),"",$H1445-$K1445)</f>
        <v/>
      </c>
      <c r="M1445" s="15">
        <f>IF(OR('Data Entry'!A1445="",$K1445="",$K1445=0),"",$L1445/$K1445)</f>
        <v/>
      </c>
      <c r="N1445" s="12">
        <f>IF('Data Entry'!A1445="","",IF($L1445="","New item",IF($L1445&gt;0,"UP",IF($L1445&lt;0,"down","same"))))</f>
        <v/>
      </c>
    </row>
    <row r="1446">
      <c r="A1446" s="11">
        <f>IF('Data Entry'!A1446="","",'Data Entry'!A1446)</f>
        <v/>
      </c>
      <c r="B1446" s="12">
        <f>IF('Data Entry'!A1446="","",'Data Entry'!B1446)</f>
        <v/>
      </c>
      <c r="C1446" s="12">
        <f>IF('Data Entry'!A1446="","",'Data Entry'!C1446)</f>
        <v/>
      </c>
      <c r="D1446" s="12">
        <f>IF('Data Entry'!A1446="","",'Data Entry'!D1446)</f>
        <v/>
      </c>
      <c r="E1446" s="12">
        <f>IF('Data Entry'!A1446="","",'Data Entry'!E1446)</f>
        <v/>
      </c>
      <c r="F1446" s="12">
        <f>IF('Data Entry'!A1446="","",'Data Entry'!F1446)</f>
        <v/>
      </c>
      <c r="G1446" s="13">
        <f>IF('Data Entry'!A1446="","",'Data Entry'!G1446)</f>
        <v/>
      </c>
      <c r="H1446" s="10">
        <f>IF('Data Entry'!A1446="","",'Data Entry'!H1446)</f>
        <v/>
      </c>
      <c r="I1446" s="10">
        <f>IF('Data Entry'!A1446="","",'Data Entry'!I1446)</f>
        <v/>
      </c>
      <c r="J1446" s="12">
        <f>IF('Data Entry'!A1446="","",IF('Data Entry'!D1446&lt;&gt;"",'Data Entry'!D1446,'Data Entry'!E1446))</f>
        <v/>
      </c>
      <c r="K1446" s="10">
        <f>IF('Data Entry'!A1446="","",IFERROR(SUMIFS($H$5:$H$2001,$J$5:$J$2001,$J1446,$B$5:$B$2001,$B1446,$A$5:$A$2001,(MAXIFS($A$5:$A$2001,$J$5:$J$2001,$J1446,$B$5:$B$2001,$B1446,$A$5:$A$2001,"&lt;"&amp;$A1446))),""))</f>
        <v/>
      </c>
      <c r="L1446" s="14">
        <f>IF(OR('Data Entry'!A1446="",$K1446=""),"",$H1446-$K1446)</f>
        <v/>
      </c>
      <c r="M1446" s="15">
        <f>IF(OR('Data Entry'!A1446="",$K1446="",$K1446=0),"",$L1446/$K1446)</f>
        <v/>
      </c>
      <c r="N1446" s="12">
        <f>IF('Data Entry'!A1446="","",IF($L1446="","New item",IF($L1446&gt;0,"UP",IF($L1446&lt;0,"down","same"))))</f>
        <v/>
      </c>
    </row>
    <row r="1447">
      <c r="A1447" s="11">
        <f>IF('Data Entry'!A1447="","",'Data Entry'!A1447)</f>
        <v/>
      </c>
      <c r="B1447" s="12">
        <f>IF('Data Entry'!A1447="","",'Data Entry'!B1447)</f>
        <v/>
      </c>
      <c r="C1447" s="12">
        <f>IF('Data Entry'!A1447="","",'Data Entry'!C1447)</f>
        <v/>
      </c>
      <c r="D1447" s="12">
        <f>IF('Data Entry'!A1447="","",'Data Entry'!D1447)</f>
        <v/>
      </c>
      <c r="E1447" s="12">
        <f>IF('Data Entry'!A1447="","",'Data Entry'!E1447)</f>
        <v/>
      </c>
      <c r="F1447" s="12">
        <f>IF('Data Entry'!A1447="","",'Data Entry'!F1447)</f>
        <v/>
      </c>
      <c r="G1447" s="13">
        <f>IF('Data Entry'!A1447="","",'Data Entry'!G1447)</f>
        <v/>
      </c>
      <c r="H1447" s="10">
        <f>IF('Data Entry'!A1447="","",'Data Entry'!H1447)</f>
        <v/>
      </c>
      <c r="I1447" s="10">
        <f>IF('Data Entry'!A1447="","",'Data Entry'!I1447)</f>
        <v/>
      </c>
      <c r="J1447" s="12">
        <f>IF('Data Entry'!A1447="","",IF('Data Entry'!D1447&lt;&gt;"",'Data Entry'!D1447,'Data Entry'!E1447))</f>
        <v/>
      </c>
      <c r="K1447" s="10">
        <f>IF('Data Entry'!A1447="","",IFERROR(SUMIFS($H$5:$H$2001,$J$5:$J$2001,$J1447,$B$5:$B$2001,$B1447,$A$5:$A$2001,(MAXIFS($A$5:$A$2001,$J$5:$J$2001,$J1447,$B$5:$B$2001,$B1447,$A$5:$A$2001,"&lt;"&amp;$A1447))),""))</f>
        <v/>
      </c>
      <c r="L1447" s="14">
        <f>IF(OR('Data Entry'!A1447="",$K1447=""),"",$H1447-$K1447)</f>
        <v/>
      </c>
      <c r="M1447" s="15">
        <f>IF(OR('Data Entry'!A1447="",$K1447="",$K1447=0),"",$L1447/$K1447)</f>
        <v/>
      </c>
      <c r="N1447" s="12">
        <f>IF('Data Entry'!A1447="","",IF($L1447="","New item",IF($L1447&gt;0,"UP",IF($L1447&lt;0,"down","same"))))</f>
        <v/>
      </c>
    </row>
    <row r="1448">
      <c r="A1448" s="11">
        <f>IF('Data Entry'!A1448="","",'Data Entry'!A1448)</f>
        <v/>
      </c>
      <c r="B1448" s="12">
        <f>IF('Data Entry'!A1448="","",'Data Entry'!B1448)</f>
        <v/>
      </c>
      <c r="C1448" s="12">
        <f>IF('Data Entry'!A1448="","",'Data Entry'!C1448)</f>
        <v/>
      </c>
      <c r="D1448" s="12">
        <f>IF('Data Entry'!A1448="","",'Data Entry'!D1448)</f>
        <v/>
      </c>
      <c r="E1448" s="12">
        <f>IF('Data Entry'!A1448="","",'Data Entry'!E1448)</f>
        <v/>
      </c>
      <c r="F1448" s="12">
        <f>IF('Data Entry'!A1448="","",'Data Entry'!F1448)</f>
        <v/>
      </c>
      <c r="G1448" s="13">
        <f>IF('Data Entry'!A1448="","",'Data Entry'!G1448)</f>
        <v/>
      </c>
      <c r="H1448" s="10">
        <f>IF('Data Entry'!A1448="","",'Data Entry'!H1448)</f>
        <v/>
      </c>
      <c r="I1448" s="10">
        <f>IF('Data Entry'!A1448="","",'Data Entry'!I1448)</f>
        <v/>
      </c>
      <c r="J1448" s="12">
        <f>IF('Data Entry'!A1448="","",IF('Data Entry'!D1448&lt;&gt;"",'Data Entry'!D1448,'Data Entry'!E1448))</f>
        <v/>
      </c>
      <c r="K1448" s="10">
        <f>IF('Data Entry'!A1448="","",IFERROR(SUMIFS($H$5:$H$2001,$J$5:$J$2001,$J1448,$B$5:$B$2001,$B1448,$A$5:$A$2001,(MAXIFS($A$5:$A$2001,$J$5:$J$2001,$J1448,$B$5:$B$2001,$B1448,$A$5:$A$2001,"&lt;"&amp;$A1448))),""))</f>
        <v/>
      </c>
      <c r="L1448" s="14">
        <f>IF(OR('Data Entry'!A1448="",$K1448=""),"",$H1448-$K1448)</f>
        <v/>
      </c>
      <c r="M1448" s="15">
        <f>IF(OR('Data Entry'!A1448="",$K1448="",$K1448=0),"",$L1448/$K1448)</f>
        <v/>
      </c>
      <c r="N1448" s="12">
        <f>IF('Data Entry'!A1448="","",IF($L1448="","New item",IF($L1448&gt;0,"UP",IF($L1448&lt;0,"down","same"))))</f>
        <v/>
      </c>
    </row>
    <row r="1449">
      <c r="A1449" s="11">
        <f>IF('Data Entry'!A1449="","",'Data Entry'!A1449)</f>
        <v/>
      </c>
      <c r="B1449" s="12">
        <f>IF('Data Entry'!A1449="","",'Data Entry'!B1449)</f>
        <v/>
      </c>
      <c r="C1449" s="12">
        <f>IF('Data Entry'!A1449="","",'Data Entry'!C1449)</f>
        <v/>
      </c>
      <c r="D1449" s="12">
        <f>IF('Data Entry'!A1449="","",'Data Entry'!D1449)</f>
        <v/>
      </c>
      <c r="E1449" s="12">
        <f>IF('Data Entry'!A1449="","",'Data Entry'!E1449)</f>
        <v/>
      </c>
      <c r="F1449" s="12">
        <f>IF('Data Entry'!A1449="","",'Data Entry'!F1449)</f>
        <v/>
      </c>
      <c r="G1449" s="13">
        <f>IF('Data Entry'!A1449="","",'Data Entry'!G1449)</f>
        <v/>
      </c>
      <c r="H1449" s="10">
        <f>IF('Data Entry'!A1449="","",'Data Entry'!H1449)</f>
        <v/>
      </c>
      <c r="I1449" s="10">
        <f>IF('Data Entry'!A1449="","",'Data Entry'!I1449)</f>
        <v/>
      </c>
      <c r="J1449" s="12">
        <f>IF('Data Entry'!A1449="","",IF('Data Entry'!D1449&lt;&gt;"",'Data Entry'!D1449,'Data Entry'!E1449))</f>
        <v/>
      </c>
      <c r="K1449" s="10">
        <f>IF('Data Entry'!A1449="","",IFERROR(SUMIFS($H$5:$H$2001,$J$5:$J$2001,$J1449,$B$5:$B$2001,$B1449,$A$5:$A$2001,(MAXIFS($A$5:$A$2001,$J$5:$J$2001,$J1449,$B$5:$B$2001,$B1449,$A$5:$A$2001,"&lt;"&amp;$A1449))),""))</f>
        <v/>
      </c>
      <c r="L1449" s="14">
        <f>IF(OR('Data Entry'!A1449="",$K1449=""),"",$H1449-$K1449)</f>
        <v/>
      </c>
      <c r="M1449" s="15">
        <f>IF(OR('Data Entry'!A1449="",$K1449="",$K1449=0),"",$L1449/$K1449)</f>
        <v/>
      </c>
      <c r="N1449" s="12">
        <f>IF('Data Entry'!A1449="","",IF($L1449="","New item",IF($L1449&gt;0,"UP",IF($L1449&lt;0,"down","same"))))</f>
        <v/>
      </c>
    </row>
    <row r="1450">
      <c r="A1450" s="11">
        <f>IF('Data Entry'!A1450="","",'Data Entry'!A1450)</f>
        <v/>
      </c>
      <c r="B1450" s="12">
        <f>IF('Data Entry'!A1450="","",'Data Entry'!B1450)</f>
        <v/>
      </c>
      <c r="C1450" s="12">
        <f>IF('Data Entry'!A1450="","",'Data Entry'!C1450)</f>
        <v/>
      </c>
      <c r="D1450" s="12">
        <f>IF('Data Entry'!A1450="","",'Data Entry'!D1450)</f>
        <v/>
      </c>
      <c r="E1450" s="12">
        <f>IF('Data Entry'!A1450="","",'Data Entry'!E1450)</f>
        <v/>
      </c>
      <c r="F1450" s="12">
        <f>IF('Data Entry'!A1450="","",'Data Entry'!F1450)</f>
        <v/>
      </c>
      <c r="G1450" s="13">
        <f>IF('Data Entry'!A1450="","",'Data Entry'!G1450)</f>
        <v/>
      </c>
      <c r="H1450" s="10">
        <f>IF('Data Entry'!A1450="","",'Data Entry'!H1450)</f>
        <v/>
      </c>
      <c r="I1450" s="10">
        <f>IF('Data Entry'!A1450="","",'Data Entry'!I1450)</f>
        <v/>
      </c>
      <c r="J1450" s="12">
        <f>IF('Data Entry'!A1450="","",IF('Data Entry'!D1450&lt;&gt;"",'Data Entry'!D1450,'Data Entry'!E1450))</f>
        <v/>
      </c>
      <c r="K1450" s="10">
        <f>IF('Data Entry'!A1450="","",IFERROR(SUMIFS($H$5:$H$2001,$J$5:$J$2001,$J1450,$B$5:$B$2001,$B1450,$A$5:$A$2001,(MAXIFS($A$5:$A$2001,$J$5:$J$2001,$J1450,$B$5:$B$2001,$B1450,$A$5:$A$2001,"&lt;"&amp;$A1450))),""))</f>
        <v/>
      </c>
      <c r="L1450" s="14">
        <f>IF(OR('Data Entry'!A1450="",$K1450=""),"",$H1450-$K1450)</f>
        <v/>
      </c>
      <c r="M1450" s="15">
        <f>IF(OR('Data Entry'!A1450="",$K1450="",$K1450=0),"",$L1450/$K1450)</f>
        <v/>
      </c>
      <c r="N1450" s="12">
        <f>IF('Data Entry'!A1450="","",IF($L1450="","New item",IF($L1450&gt;0,"UP",IF($L1450&lt;0,"down","same"))))</f>
        <v/>
      </c>
    </row>
    <row r="1451">
      <c r="A1451" s="11">
        <f>IF('Data Entry'!A1451="","",'Data Entry'!A1451)</f>
        <v/>
      </c>
      <c r="B1451" s="12">
        <f>IF('Data Entry'!A1451="","",'Data Entry'!B1451)</f>
        <v/>
      </c>
      <c r="C1451" s="12">
        <f>IF('Data Entry'!A1451="","",'Data Entry'!C1451)</f>
        <v/>
      </c>
      <c r="D1451" s="12">
        <f>IF('Data Entry'!A1451="","",'Data Entry'!D1451)</f>
        <v/>
      </c>
      <c r="E1451" s="12">
        <f>IF('Data Entry'!A1451="","",'Data Entry'!E1451)</f>
        <v/>
      </c>
      <c r="F1451" s="12">
        <f>IF('Data Entry'!A1451="","",'Data Entry'!F1451)</f>
        <v/>
      </c>
      <c r="G1451" s="13">
        <f>IF('Data Entry'!A1451="","",'Data Entry'!G1451)</f>
        <v/>
      </c>
      <c r="H1451" s="10">
        <f>IF('Data Entry'!A1451="","",'Data Entry'!H1451)</f>
        <v/>
      </c>
      <c r="I1451" s="10">
        <f>IF('Data Entry'!A1451="","",'Data Entry'!I1451)</f>
        <v/>
      </c>
      <c r="J1451" s="12">
        <f>IF('Data Entry'!A1451="","",IF('Data Entry'!D1451&lt;&gt;"",'Data Entry'!D1451,'Data Entry'!E1451))</f>
        <v/>
      </c>
      <c r="K1451" s="10">
        <f>IF('Data Entry'!A1451="","",IFERROR(SUMIFS($H$5:$H$2001,$J$5:$J$2001,$J1451,$B$5:$B$2001,$B1451,$A$5:$A$2001,(MAXIFS($A$5:$A$2001,$J$5:$J$2001,$J1451,$B$5:$B$2001,$B1451,$A$5:$A$2001,"&lt;"&amp;$A1451))),""))</f>
        <v/>
      </c>
      <c r="L1451" s="14">
        <f>IF(OR('Data Entry'!A1451="",$K1451=""),"",$H1451-$K1451)</f>
        <v/>
      </c>
      <c r="M1451" s="15">
        <f>IF(OR('Data Entry'!A1451="",$K1451="",$K1451=0),"",$L1451/$K1451)</f>
        <v/>
      </c>
      <c r="N1451" s="12">
        <f>IF('Data Entry'!A1451="","",IF($L1451="","New item",IF($L1451&gt;0,"UP",IF($L1451&lt;0,"down","same"))))</f>
        <v/>
      </c>
    </row>
    <row r="1452">
      <c r="A1452" s="11">
        <f>IF('Data Entry'!A1452="","",'Data Entry'!A1452)</f>
        <v/>
      </c>
      <c r="B1452" s="12">
        <f>IF('Data Entry'!A1452="","",'Data Entry'!B1452)</f>
        <v/>
      </c>
      <c r="C1452" s="12">
        <f>IF('Data Entry'!A1452="","",'Data Entry'!C1452)</f>
        <v/>
      </c>
      <c r="D1452" s="12">
        <f>IF('Data Entry'!A1452="","",'Data Entry'!D1452)</f>
        <v/>
      </c>
      <c r="E1452" s="12">
        <f>IF('Data Entry'!A1452="","",'Data Entry'!E1452)</f>
        <v/>
      </c>
      <c r="F1452" s="12">
        <f>IF('Data Entry'!A1452="","",'Data Entry'!F1452)</f>
        <v/>
      </c>
      <c r="G1452" s="13">
        <f>IF('Data Entry'!A1452="","",'Data Entry'!G1452)</f>
        <v/>
      </c>
      <c r="H1452" s="10">
        <f>IF('Data Entry'!A1452="","",'Data Entry'!H1452)</f>
        <v/>
      </c>
      <c r="I1452" s="10">
        <f>IF('Data Entry'!A1452="","",'Data Entry'!I1452)</f>
        <v/>
      </c>
      <c r="J1452" s="12">
        <f>IF('Data Entry'!A1452="","",IF('Data Entry'!D1452&lt;&gt;"",'Data Entry'!D1452,'Data Entry'!E1452))</f>
        <v/>
      </c>
      <c r="K1452" s="10">
        <f>IF('Data Entry'!A1452="","",IFERROR(SUMIFS($H$5:$H$2001,$J$5:$J$2001,$J1452,$B$5:$B$2001,$B1452,$A$5:$A$2001,(MAXIFS($A$5:$A$2001,$J$5:$J$2001,$J1452,$B$5:$B$2001,$B1452,$A$5:$A$2001,"&lt;"&amp;$A1452))),""))</f>
        <v/>
      </c>
      <c r="L1452" s="14">
        <f>IF(OR('Data Entry'!A1452="",$K1452=""),"",$H1452-$K1452)</f>
        <v/>
      </c>
      <c r="M1452" s="15">
        <f>IF(OR('Data Entry'!A1452="",$K1452="",$K1452=0),"",$L1452/$K1452)</f>
        <v/>
      </c>
      <c r="N1452" s="12">
        <f>IF('Data Entry'!A1452="","",IF($L1452="","New item",IF($L1452&gt;0,"UP",IF($L1452&lt;0,"down","same"))))</f>
        <v/>
      </c>
    </row>
    <row r="1453">
      <c r="A1453" s="11">
        <f>IF('Data Entry'!A1453="","",'Data Entry'!A1453)</f>
        <v/>
      </c>
      <c r="B1453" s="12">
        <f>IF('Data Entry'!A1453="","",'Data Entry'!B1453)</f>
        <v/>
      </c>
      <c r="C1453" s="12">
        <f>IF('Data Entry'!A1453="","",'Data Entry'!C1453)</f>
        <v/>
      </c>
      <c r="D1453" s="12">
        <f>IF('Data Entry'!A1453="","",'Data Entry'!D1453)</f>
        <v/>
      </c>
      <c r="E1453" s="12">
        <f>IF('Data Entry'!A1453="","",'Data Entry'!E1453)</f>
        <v/>
      </c>
      <c r="F1453" s="12">
        <f>IF('Data Entry'!A1453="","",'Data Entry'!F1453)</f>
        <v/>
      </c>
      <c r="G1453" s="13">
        <f>IF('Data Entry'!A1453="","",'Data Entry'!G1453)</f>
        <v/>
      </c>
      <c r="H1453" s="10">
        <f>IF('Data Entry'!A1453="","",'Data Entry'!H1453)</f>
        <v/>
      </c>
      <c r="I1453" s="10">
        <f>IF('Data Entry'!A1453="","",'Data Entry'!I1453)</f>
        <v/>
      </c>
      <c r="J1453" s="12">
        <f>IF('Data Entry'!A1453="","",IF('Data Entry'!D1453&lt;&gt;"",'Data Entry'!D1453,'Data Entry'!E1453))</f>
        <v/>
      </c>
      <c r="K1453" s="10">
        <f>IF('Data Entry'!A1453="","",IFERROR(SUMIFS($H$5:$H$2001,$J$5:$J$2001,$J1453,$B$5:$B$2001,$B1453,$A$5:$A$2001,(MAXIFS($A$5:$A$2001,$J$5:$J$2001,$J1453,$B$5:$B$2001,$B1453,$A$5:$A$2001,"&lt;"&amp;$A1453))),""))</f>
        <v/>
      </c>
      <c r="L1453" s="14">
        <f>IF(OR('Data Entry'!A1453="",$K1453=""),"",$H1453-$K1453)</f>
        <v/>
      </c>
      <c r="M1453" s="15">
        <f>IF(OR('Data Entry'!A1453="",$K1453="",$K1453=0),"",$L1453/$K1453)</f>
        <v/>
      </c>
      <c r="N1453" s="12">
        <f>IF('Data Entry'!A1453="","",IF($L1453="","New item",IF($L1453&gt;0,"UP",IF($L1453&lt;0,"down","same"))))</f>
        <v/>
      </c>
    </row>
    <row r="1454">
      <c r="A1454" s="11">
        <f>IF('Data Entry'!A1454="","",'Data Entry'!A1454)</f>
        <v/>
      </c>
      <c r="B1454" s="12">
        <f>IF('Data Entry'!A1454="","",'Data Entry'!B1454)</f>
        <v/>
      </c>
      <c r="C1454" s="12">
        <f>IF('Data Entry'!A1454="","",'Data Entry'!C1454)</f>
        <v/>
      </c>
      <c r="D1454" s="12">
        <f>IF('Data Entry'!A1454="","",'Data Entry'!D1454)</f>
        <v/>
      </c>
      <c r="E1454" s="12">
        <f>IF('Data Entry'!A1454="","",'Data Entry'!E1454)</f>
        <v/>
      </c>
      <c r="F1454" s="12">
        <f>IF('Data Entry'!A1454="","",'Data Entry'!F1454)</f>
        <v/>
      </c>
      <c r="G1454" s="13">
        <f>IF('Data Entry'!A1454="","",'Data Entry'!G1454)</f>
        <v/>
      </c>
      <c r="H1454" s="10">
        <f>IF('Data Entry'!A1454="","",'Data Entry'!H1454)</f>
        <v/>
      </c>
      <c r="I1454" s="10">
        <f>IF('Data Entry'!A1454="","",'Data Entry'!I1454)</f>
        <v/>
      </c>
      <c r="J1454" s="12">
        <f>IF('Data Entry'!A1454="","",IF('Data Entry'!D1454&lt;&gt;"",'Data Entry'!D1454,'Data Entry'!E1454))</f>
        <v/>
      </c>
      <c r="K1454" s="10">
        <f>IF('Data Entry'!A1454="","",IFERROR(SUMIFS($H$5:$H$2001,$J$5:$J$2001,$J1454,$B$5:$B$2001,$B1454,$A$5:$A$2001,(MAXIFS($A$5:$A$2001,$J$5:$J$2001,$J1454,$B$5:$B$2001,$B1454,$A$5:$A$2001,"&lt;"&amp;$A1454))),""))</f>
        <v/>
      </c>
      <c r="L1454" s="14">
        <f>IF(OR('Data Entry'!A1454="",$K1454=""),"",$H1454-$K1454)</f>
        <v/>
      </c>
      <c r="M1454" s="15">
        <f>IF(OR('Data Entry'!A1454="",$K1454="",$K1454=0),"",$L1454/$K1454)</f>
        <v/>
      </c>
      <c r="N1454" s="12">
        <f>IF('Data Entry'!A1454="","",IF($L1454="","New item",IF($L1454&gt;0,"UP",IF($L1454&lt;0,"down","same"))))</f>
        <v/>
      </c>
    </row>
    <row r="1455">
      <c r="A1455" s="11">
        <f>IF('Data Entry'!A1455="","",'Data Entry'!A1455)</f>
        <v/>
      </c>
      <c r="B1455" s="12">
        <f>IF('Data Entry'!A1455="","",'Data Entry'!B1455)</f>
        <v/>
      </c>
      <c r="C1455" s="12">
        <f>IF('Data Entry'!A1455="","",'Data Entry'!C1455)</f>
        <v/>
      </c>
      <c r="D1455" s="12">
        <f>IF('Data Entry'!A1455="","",'Data Entry'!D1455)</f>
        <v/>
      </c>
      <c r="E1455" s="12">
        <f>IF('Data Entry'!A1455="","",'Data Entry'!E1455)</f>
        <v/>
      </c>
      <c r="F1455" s="12">
        <f>IF('Data Entry'!A1455="","",'Data Entry'!F1455)</f>
        <v/>
      </c>
      <c r="G1455" s="13">
        <f>IF('Data Entry'!A1455="","",'Data Entry'!G1455)</f>
        <v/>
      </c>
      <c r="H1455" s="10">
        <f>IF('Data Entry'!A1455="","",'Data Entry'!H1455)</f>
        <v/>
      </c>
      <c r="I1455" s="10">
        <f>IF('Data Entry'!A1455="","",'Data Entry'!I1455)</f>
        <v/>
      </c>
      <c r="J1455" s="12">
        <f>IF('Data Entry'!A1455="","",IF('Data Entry'!D1455&lt;&gt;"",'Data Entry'!D1455,'Data Entry'!E1455))</f>
        <v/>
      </c>
      <c r="K1455" s="10">
        <f>IF('Data Entry'!A1455="","",IFERROR(SUMIFS($H$5:$H$2001,$J$5:$J$2001,$J1455,$B$5:$B$2001,$B1455,$A$5:$A$2001,(MAXIFS($A$5:$A$2001,$J$5:$J$2001,$J1455,$B$5:$B$2001,$B1455,$A$5:$A$2001,"&lt;"&amp;$A1455))),""))</f>
        <v/>
      </c>
      <c r="L1455" s="14">
        <f>IF(OR('Data Entry'!A1455="",$K1455=""),"",$H1455-$K1455)</f>
        <v/>
      </c>
      <c r="M1455" s="15">
        <f>IF(OR('Data Entry'!A1455="",$K1455="",$K1455=0),"",$L1455/$K1455)</f>
        <v/>
      </c>
      <c r="N1455" s="12">
        <f>IF('Data Entry'!A1455="","",IF($L1455="","New item",IF($L1455&gt;0,"UP",IF($L1455&lt;0,"down","same"))))</f>
        <v/>
      </c>
    </row>
    <row r="1456">
      <c r="A1456" s="11">
        <f>IF('Data Entry'!A1456="","",'Data Entry'!A1456)</f>
        <v/>
      </c>
      <c r="B1456" s="12">
        <f>IF('Data Entry'!A1456="","",'Data Entry'!B1456)</f>
        <v/>
      </c>
      <c r="C1456" s="12">
        <f>IF('Data Entry'!A1456="","",'Data Entry'!C1456)</f>
        <v/>
      </c>
      <c r="D1456" s="12">
        <f>IF('Data Entry'!A1456="","",'Data Entry'!D1456)</f>
        <v/>
      </c>
      <c r="E1456" s="12">
        <f>IF('Data Entry'!A1456="","",'Data Entry'!E1456)</f>
        <v/>
      </c>
      <c r="F1456" s="12">
        <f>IF('Data Entry'!A1456="","",'Data Entry'!F1456)</f>
        <v/>
      </c>
      <c r="G1456" s="13">
        <f>IF('Data Entry'!A1456="","",'Data Entry'!G1456)</f>
        <v/>
      </c>
      <c r="H1456" s="10">
        <f>IF('Data Entry'!A1456="","",'Data Entry'!H1456)</f>
        <v/>
      </c>
      <c r="I1456" s="10">
        <f>IF('Data Entry'!A1456="","",'Data Entry'!I1456)</f>
        <v/>
      </c>
      <c r="J1456" s="12">
        <f>IF('Data Entry'!A1456="","",IF('Data Entry'!D1456&lt;&gt;"",'Data Entry'!D1456,'Data Entry'!E1456))</f>
        <v/>
      </c>
      <c r="K1456" s="10">
        <f>IF('Data Entry'!A1456="","",IFERROR(SUMIFS($H$5:$H$2001,$J$5:$J$2001,$J1456,$B$5:$B$2001,$B1456,$A$5:$A$2001,(MAXIFS($A$5:$A$2001,$J$5:$J$2001,$J1456,$B$5:$B$2001,$B1456,$A$5:$A$2001,"&lt;"&amp;$A1456))),""))</f>
        <v/>
      </c>
      <c r="L1456" s="14">
        <f>IF(OR('Data Entry'!A1456="",$K1456=""),"",$H1456-$K1456)</f>
        <v/>
      </c>
      <c r="M1456" s="15">
        <f>IF(OR('Data Entry'!A1456="",$K1456="",$K1456=0),"",$L1456/$K1456)</f>
        <v/>
      </c>
      <c r="N1456" s="12">
        <f>IF('Data Entry'!A1456="","",IF($L1456="","New item",IF($L1456&gt;0,"UP",IF($L1456&lt;0,"down","same"))))</f>
        <v/>
      </c>
    </row>
    <row r="1457">
      <c r="A1457" s="11">
        <f>IF('Data Entry'!A1457="","",'Data Entry'!A1457)</f>
        <v/>
      </c>
      <c r="B1457" s="12">
        <f>IF('Data Entry'!A1457="","",'Data Entry'!B1457)</f>
        <v/>
      </c>
      <c r="C1457" s="12">
        <f>IF('Data Entry'!A1457="","",'Data Entry'!C1457)</f>
        <v/>
      </c>
      <c r="D1457" s="12">
        <f>IF('Data Entry'!A1457="","",'Data Entry'!D1457)</f>
        <v/>
      </c>
      <c r="E1457" s="12">
        <f>IF('Data Entry'!A1457="","",'Data Entry'!E1457)</f>
        <v/>
      </c>
      <c r="F1457" s="12">
        <f>IF('Data Entry'!A1457="","",'Data Entry'!F1457)</f>
        <v/>
      </c>
      <c r="G1457" s="13">
        <f>IF('Data Entry'!A1457="","",'Data Entry'!G1457)</f>
        <v/>
      </c>
      <c r="H1457" s="10">
        <f>IF('Data Entry'!A1457="","",'Data Entry'!H1457)</f>
        <v/>
      </c>
      <c r="I1457" s="10">
        <f>IF('Data Entry'!A1457="","",'Data Entry'!I1457)</f>
        <v/>
      </c>
      <c r="J1457" s="12">
        <f>IF('Data Entry'!A1457="","",IF('Data Entry'!D1457&lt;&gt;"",'Data Entry'!D1457,'Data Entry'!E1457))</f>
        <v/>
      </c>
      <c r="K1457" s="10">
        <f>IF('Data Entry'!A1457="","",IFERROR(SUMIFS($H$5:$H$2001,$J$5:$J$2001,$J1457,$B$5:$B$2001,$B1457,$A$5:$A$2001,(MAXIFS($A$5:$A$2001,$J$5:$J$2001,$J1457,$B$5:$B$2001,$B1457,$A$5:$A$2001,"&lt;"&amp;$A1457))),""))</f>
        <v/>
      </c>
      <c r="L1457" s="14">
        <f>IF(OR('Data Entry'!A1457="",$K1457=""),"",$H1457-$K1457)</f>
        <v/>
      </c>
      <c r="M1457" s="15">
        <f>IF(OR('Data Entry'!A1457="",$K1457="",$K1457=0),"",$L1457/$K1457)</f>
        <v/>
      </c>
      <c r="N1457" s="12">
        <f>IF('Data Entry'!A1457="","",IF($L1457="","New item",IF($L1457&gt;0,"UP",IF($L1457&lt;0,"down","same"))))</f>
        <v/>
      </c>
    </row>
    <row r="1458">
      <c r="A1458" s="11">
        <f>IF('Data Entry'!A1458="","",'Data Entry'!A1458)</f>
        <v/>
      </c>
      <c r="B1458" s="12">
        <f>IF('Data Entry'!A1458="","",'Data Entry'!B1458)</f>
        <v/>
      </c>
      <c r="C1458" s="12">
        <f>IF('Data Entry'!A1458="","",'Data Entry'!C1458)</f>
        <v/>
      </c>
      <c r="D1458" s="12">
        <f>IF('Data Entry'!A1458="","",'Data Entry'!D1458)</f>
        <v/>
      </c>
      <c r="E1458" s="12">
        <f>IF('Data Entry'!A1458="","",'Data Entry'!E1458)</f>
        <v/>
      </c>
      <c r="F1458" s="12">
        <f>IF('Data Entry'!A1458="","",'Data Entry'!F1458)</f>
        <v/>
      </c>
      <c r="G1458" s="13">
        <f>IF('Data Entry'!A1458="","",'Data Entry'!G1458)</f>
        <v/>
      </c>
      <c r="H1458" s="10">
        <f>IF('Data Entry'!A1458="","",'Data Entry'!H1458)</f>
        <v/>
      </c>
      <c r="I1458" s="10">
        <f>IF('Data Entry'!A1458="","",'Data Entry'!I1458)</f>
        <v/>
      </c>
      <c r="J1458" s="12">
        <f>IF('Data Entry'!A1458="","",IF('Data Entry'!D1458&lt;&gt;"",'Data Entry'!D1458,'Data Entry'!E1458))</f>
        <v/>
      </c>
      <c r="K1458" s="10">
        <f>IF('Data Entry'!A1458="","",IFERROR(SUMIFS($H$5:$H$2001,$J$5:$J$2001,$J1458,$B$5:$B$2001,$B1458,$A$5:$A$2001,(MAXIFS($A$5:$A$2001,$J$5:$J$2001,$J1458,$B$5:$B$2001,$B1458,$A$5:$A$2001,"&lt;"&amp;$A1458))),""))</f>
        <v/>
      </c>
      <c r="L1458" s="14">
        <f>IF(OR('Data Entry'!A1458="",$K1458=""),"",$H1458-$K1458)</f>
        <v/>
      </c>
      <c r="M1458" s="15">
        <f>IF(OR('Data Entry'!A1458="",$K1458="",$K1458=0),"",$L1458/$K1458)</f>
        <v/>
      </c>
      <c r="N1458" s="12">
        <f>IF('Data Entry'!A1458="","",IF($L1458="","New item",IF($L1458&gt;0,"UP",IF($L1458&lt;0,"down","same"))))</f>
        <v/>
      </c>
    </row>
    <row r="1459">
      <c r="A1459" s="11">
        <f>IF('Data Entry'!A1459="","",'Data Entry'!A1459)</f>
        <v/>
      </c>
      <c r="B1459" s="12">
        <f>IF('Data Entry'!A1459="","",'Data Entry'!B1459)</f>
        <v/>
      </c>
      <c r="C1459" s="12">
        <f>IF('Data Entry'!A1459="","",'Data Entry'!C1459)</f>
        <v/>
      </c>
      <c r="D1459" s="12">
        <f>IF('Data Entry'!A1459="","",'Data Entry'!D1459)</f>
        <v/>
      </c>
      <c r="E1459" s="12">
        <f>IF('Data Entry'!A1459="","",'Data Entry'!E1459)</f>
        <v/>
      </c>
      <c r="F1459" s="12">
        <f>IF('Data Entry'!A1459="","",'Data Entry'!F1459)</f>
        <v/>
      </c>
      <c r="G1459" s="13">
        <f>IF('Data Entry'!A1459="","",'Data Entry'!G1459)</f>
        <v/>
      </c>
      <c r="H1459" s="10">
        <f>IF('Data Entry'!A1459="","",'Data Entry'!H1459)</f>
        <v/>
      </c>
      <c r="I1459" s="10">
        <f>IF('Data Entry'!A1459="","",'Data Entry'!I1459)</f>
        <v/>
      </c>
      <c r="J1459" s="12">
        <f>IF('Data Entry'!A1459="","",IF('Data Entry'!D1459&lt;&gt;"",'Data Entry'!D1459,'Data Entry'!E1459))</f>
        <v/>
      </c>
      <c r="K1459" s="10">
        <f>IF('Data Entry'!A1459="","",IFERROR(SUMIFS($H$5:$H$2001,$J$5:$J$2001,$J1459,$B$5:$B$2001,$B1459,$A$5:$A$2001,(MAXIFS($A$5:$A$2001,$J$5:$J$2001,$J1459,$B$5:$B$2001,$B1459,$A$5:$A$2001,"&lt;"&amp;$A1459))),""))</f>
        <v/>
      </c>
      <c r="L1459" s="14">
        <f>IF(OR('Data Entry'!A1459="",$K1459=""),"",$H1459-$K1459)</f>
        <v/>
      </c>
      <c r="M1459" s="15">
        <f>IF(OR('Data Entry'!A1459="",$K1459="",$K1459=0),"",$L1459/$K1459)</f>
        <v/>
      </c>
      <c r="N1459" s="12">
        <f>IF('Data Entry'!A1459="","",IF($L1459="","New item",IF($L1459&gt;0,"UP",IF($L1459&lt;0,"down","same"))))</f>
        <v/>
      </c>
    </row>
    <row r="1460">
      <c r="A1460" s="11">
        <f>IF('Data Entry'!A1460="","",'Data Entry'!A1460)</f>
        <v/>
      </c>
      <c r="B1460" s="12">
        <f>IF('Data Entry'!A1460="","",'Data Entry'!B1460)</f>
        <v/>
      </c>
      <c r="C1460" s="12">
        <f>IF('Data Entry'!A1460="","",'Data Entry'!C1460)</f>
        <v/>
      </c>
      <c r="D1460" s="12">
        <f>IF('Data Entry'!A1460="","",'Data Entry'!D1460)</f>
        <v/>
      </c>
      <c r="E1460" s="12">
        <f>IF('Data Entry'!A1460="","",'Data Entry'!E1460)</f>
        <v/>
      </c>
      <c r="F1460" s="12">
        <f>IF('Data Entry'!A1460="","",'Data Entry'!F1460)</f>
        <v/>
      </c>
      <c r="G1460" s="13">
        <f>IF('Data Entry'!A1460="","",'Data Entry'!G1460)</f>
        <v/>
      </c>
      <c r="H1460" s="10">
        <f>IF('Data Entry'!A1460="","",'Data Entry'!H1460)</f>
        <v/>
      </c>
      <c r="I1460" s="10">
        <f>IF('Data Entry'!A1460="","",'Data Entry'!I1460)</f>
        <v/>
      </c>
      <c r="J1460" s="12">
        <f>IF('Data Entry'!A1460="","",IF('Data Entry'!D1460&lt;&gt;"",'Data Entry'!D1460,'Data Entry'!E1460))</f>
        <v/>
      </c>
      <c r="K1460" s="10">
        <f>IF('Data Entry'!A1460="","",IFERROR(SUMIFS($H$5:$H$2001,$J$5:$J$2001,$J1460,$B$5:$B$2001,$B1460,$A$5:$A$2001,(MAXIFS($A$5:$A$2001,$J$5:$J$2001,$J1460,$B$5:$B$2001,$B1460,$A$5:$A$2001,"&lt;"&amp;$A1460))),""))</f>
        <v/>
      </c>
      <c r="L1460" s="14">
        <f>IF(OR('Data Entry'!A1460="",$K1460=""),"",$H1460-$K1460)</f>
        <v/>
      </c>
      <c r="M1460" s="15">
        <f>IF(OR('Data Entry'!A1460="",$K1460="",$K1460=0),"",$L1460/$K1460)</f>
        <v/>
      </c>
      <c r="N1460" s="12">
        <f>IF('Data Entry'!A1460="","",IF($L1460="","New item",IF($L1460&gt;0,"UP",IF($L1460&lt;0,"down","same"))))</f>
        <v/>
      </c>
    </row>
    <row r="1461">
      <c r="A1461" s="11">
        <f>IF('Data Entry'!A1461="","",'Data Entry'!A1461)</f>
        <v/>
      </c>
      <c r="B1461" s="12">
        <f>IF('Data Entry'!A1461="","",'Data Entry'!B1461)</f>
        <v/>
      </c>
      <c r="C1461" s="12">
        <f>IF('Data Entry'!A1461="","",'Data Entry'!C1461)</f>
        <v/>
      </c>
      <c r="D1461" s="12">
        <f>IF('Data Entry'!A1461="","",'Data Entry'!D1461)</f>
        <v/>
      </c>
      <c r="E1461" s="12">
        <f>IF('Data Entry'!A1461="","",'Data Entry'!E1461)</f>
        <v/>
      </c>
      <c r="F1461" s="12">
        <f>IF('Data Entry'!A1461="","",'Data Entry'!F1461)</f>
        <v/>
      </c>
      <c r="G1461" s="13">
        <f>IF('Data Entry'!A1461="","",'Data Entry'!G1461)</f>
        <v/>
      </c>
      <c r="H1461" s="10">
        <f>IF('Data Entry'!A1461="","",'Data Entry'!H1461)</f>
        <v/>
      </c>
      <c r="I1461" s="10">
        <f>IF('Data Entry'!A1461="","",'Data Entry'!I1461)</f>
        <v/>
      </c>
      <c r="J1461" s="12">
        <f>IF('Data Entry'!A1461="","",IF('Data Entry'!D1461&lt;&gt;"",'Data Entry'!D1461,'Data Entry'!E1461))</f>
        <v/>
      </c>
      <c r="K1461" s="10">
        <f>IF('Data Entry'!A1461="","",IFERROR(SUMIFS($H$5:$H$2001,$J$5:$J$2001,$J1461,$B$5:$B$2001,$B1461,$A$5:$A$2001,(MAXIFS($A$5:$A$2001,$J$5:$J$2001,$J1461,$B$5:$B$2001,$B1461,$A$5:$A$2001,"&lt;"&amp;$A1461))),""))</f>
        <v/>
      </c>
      <c r="L1461" s="14">
        <f>IF(OR('Data Entry'!A1461="",$K1461=""),"",$H1461-$K1461)</f>
        <v/>
      </c>
      <c r="M1461" s="15">
        <f>IF(OR('Data Entry'!A1461="",$K1461="",$K1461=0),"",$L1461/$K1461)</f>
        <v/>
      </c>
      <c r="N1461" s="12">
        <f>IF('Data Entry'!A1461="","",IF($L1461="","New item",IF($L1461&gt;0,"UP",IF($L1461&lt;0,"down","same"))))</f>
        <v/>
      </c>
    </row>
    <row r="1462">
      <c r="A1462" s="11">
        <f>IF('Data Entry'!A1462="","",'Data Entry'!A1462)</f>
        <v/>
      </c>
      <c r="B1462" s="12">
        <f>IF('Data Entry'!A1462="","",'Data Entry'!B1462)</f>
        <v/>
      </c>
      <c r="C1462" s="12">
        <f>IF('Data Entry'!A1462="","",'Data Entry'!C1462)</f>
        <v/>
      </c>
      <c r="D1462" s="12">
        <f>IF('Data Entry'!A1462="","",'Data Entry'!D1462)</f>
        <v/>
      </c>
      <c r="E1462" s="12">
        <f>IF('Data Entry'!A1462="","",'Data Entry'!E1462)</f>
        <v/>
      </c>
      <c r="F1462" s="12">
        <f>IF('Data Entry'!A1462="","",'Data Entry'!F1462)</f>
        <v/>
      </c>
      <c r="G1462" s="13">
        <f>IF('Data Entry'!A1462="","",'Data Entry'!G1462)</f>
        <v/>
      </c>
      <c r="H1462" s="10">
        <f>IF('Data Entry'!A1462="","",'Data Entry'!H1462)</f>
        <v/>
      </c>
      <c r="I1462" s="10">
        <f>IF('Data Entry'!A1462="","",'Data Entry'!I1462)</f>
        <v/>
      </c>
      <c r="J1462" s="12">
        <f>IF('Data Entry'!A1462="","",IF('Data Entry'!D1462&lt;&gt;"",'Data Entry'!D1462,'Data Entry'!E1462))</f>
        <v/>
      </c>
      <c r="K1462" s="10">
        <f>IF('Data Entry'!A1462="","",IFERROR(SUMIFS($H$5:$H$2001,$J$5:$J$2001,$J1462,$B$5:$B$2001,$B1462,$A$5:$A$2001,(MAXIFS($A$5:$A$2001,$J$5:$J$2001,$J1462,$B$5:$B$2001,$B1462,$A$5:$A$2001,"&lt;"&amp;$A1462))),""))</f>
        <v/>
      </c>
      <c r="L1462" s="14">
        <f>IF(OR('Data Entry'!A1462="",$K1462=""),"",$H1462-$K1462)</f>
        <v/>
      </c>
      <c r="M1462" s="15">
        <f>IF(OR('Data Entry'!A1462="",$K1462="",$K1462=0),"",$L1462/$K1462)</f>
        <v/>
      </c>
      <c r="N1462" s="12">
        <f>IF('Data Entry'!A1462="","",IF($L1462="","New item",IF($L1462&gt;0,"UP",IF($L1462&lt;0,"down","same"))))</f>
        <v/>
      </c>
    </row>
    <row r="1463">
      <c r="A1463" s="11">
        <f>IF('Data Entry'!A1463="","",'Data Entry'!A1463)</f>
        <v/>
      </c>
      <c r="B1463" s="12">
        <f>IF('Data Entry'!A1463="","",'Data Entry'!B1463)</f>
        <v/>
      </c>
      <c r="C1463" s="12">
        <f>IF('Data Entry'!A1463="","",'Data Entry'!C1463)</f>
        <v/>
      </c>
      <c r="D1463" s="12">
        <f>IF('Data Entry'!A1463="","",'Data Entry'!D1463)</f>
        <v/>
      </c>
      <c r="E1463" s="12">
        <f>IF('Data Entry'!A1463="","",'Data Entry'!E1463)</f>
        <v/>
      </c>
      <c r="F1463" s="12">
        <f>IF('Data Entry'!A1463="","",'Data Entry'!F1463)</f>
        <v/>
      </c>
      <c r="G1463" s="13">
        <f>IF('Data Entry'!A1463="","",'Data Entry'!G1463)</f>
        <v/>
      </c>
      <c r="H1463" s="10">
        <f>IF('Data Entry'!A1463="","",'Data Entry'!H1463)</f>
        <v/>
      </c>
      <c r="I1463" s="10">
        <f>IF('Data Entry'!A1463="","",'Data Entry'!I1463)</f>
        <v/>
      </c>
      <c r="J1463" s="12">
        <f>IF('Data Entry'!A1463="","",IF('Data Entry'!D1463&lt;&gt;"",'Data Entry'!D1463,'Data Entry'!E1463))</f>
        <v/>
      </c>
      <c r="K1463" s="10">
        <f>IF('Data Entry'!A1463="","",IFERROR(SUMIFS($H$5:$H$2001,$J$5:$J$2001,$J1463,$B$5:$B$2001,$B1463,$A$5:$A$2001,(MAXIFS($A$5:$A$2001,$J$5:$J$2001,$J1463,$B$5:$B$2001,$B1463,$A$5:$A$2001,"&lt;"&amp;$A1463))),""))</f>
        <v/>
      </c>
      <c r="L1463" s="14">
        <f>IF(OR('Data Entry'!A1463="",$K1463=""),"",$H1463-$K1463)</f>
        <v/>
      </c>
      <c r="M1463" s="15">
        <f>IF(OR('Data Entry'!A1463="",$K1463="",$K1463=0),"",$L1463/$K1463)</f>
        <v/>
      </c>
      <c r="N1463" s="12">
        <f>IF('Data Entry'!A1463="","",IF($L1463="","New item",IF($L1463&gt;0,"UP",IF($L1463&lt;0,"down","same"))))</f>
        <v/>
      </c>
    </row>
    <row r="1464">
      <c r="A1464" s="11">
        <f>IF('Data Entry'!A1464="","",'Data Entry'!A1464)</f>
        <v/>
      </c>
      <c r="B1464" s="12">
        <f>IF('Data Entry'!A1464="","",'Data Entry'!B1464)</f>
        <v/>
      </c>
      <c r="C1464" s="12">
        <f>IF('Data Entry'!A1464="","",'Data Entry'!C1464)</f>
        <v/>
      </c>
      <c r="D1464" s="12">
        <f>IF('Data Entry'!A1464="","",'Data Entry'!D1464)</f>
        <v/>
      </c>
      <c r="E1464" s="12">
        <f>IF('Data Entry'!A1464="","",'Data Entry'!E1464)</f>
        <v/>
      </c>
      <c r="F1464" s="12">
        <f>IF('Data Entry'!A1464="","",'Data Entry'!F1464)</f>
        <v/>
      </c>
      <c r="G1464" s="13">
        <f>IF('Data Entry'!A1464="","",'Data Entry'!G1464)</f>
        <v/>
      </c>
      <c r="H1464" s="10">
        <f>IF('Data Entry'!A1464="","",'Data Entry'!H1464)</f>
        <v/>
      </c>
      <c r="I1464" s="10">
        <f>IF('Data Entry'!A1464="","",'Data Entry'!I1464)</f>
        <v/>
      </c>
      <c r="J1464" s="12">
        <f>IF('Data Entry'!A1464="","",IF('Data Entry'!D1464&lt;&gt;"",'Data Entry'!D1464,'Data Entry'!E1464))</f>
        <v/>
      </c>
      <c r="K1464" s="10">
        <f>IF('Data Entry'!A1464="","",IFERROR(SUMIFS($H$5:$H$2001,$J$5:$J$2001,$J1464,$B$5:$B$2001,$B1464,$A$5:$A$2001,(MAXIFS($A$5:$A$2001,$J$5:$J$2001,$J1464,$B$5:$B$2001,$B1464,$A$5:$A$2001,"&lt;"&amp;$A1464))),""))</f>
        <v/>
      </c>
      <c r="L1464" s="14">
        <f>IF(OR('Data Entry'!A1464="",$K1464=""),"",$H1464-$K1464)</f>
        <v/>
      </c>
      <c r="M1464" s="15">
        <f>IF(OR('Data Entry'!A1464="",$K1464="",$K1464=0),"",$L1464/$K1464)</f>
        <v/>
      </c>
      <c r="N1464" s="12">
        <f>IF('Data Entry'!A1464="","",IF($L1464="","New item",IF($L1464&gt;0,"UP",IF($L1464&lt;0,"down","same"))))</f>
        <v/>
      </c>
    </row>
    <row r="1465">
      <c r="A1465" s="11">
        <f>IF('Data Entry'!A1465="","",'Data Entry'!A1465)</f>
        <v/>
      </c>
      <c r="B1465" s="12">
        <f>IF('Data Entry'!A1465="","",'Data Entry'!B1465)</f>
        <v/>
      </c>
      <c r="C1465" s="12">
        <f>IF('Data Entry'!A1465="","",'Data Entry'!C1465)</f>
        <v/>
      </c>
      <c r="D1465" s="12">
        <f>IF('Data Entry'!A1465="","",'Data Entry'!D1465)</f>
        <v/>
      </c>
      <c r="E1465" s="12">
        <f>IF('Data Entry'!A1465="","",'Data Entry'!E1465)</f>
        <v/>
      </c>
      <c r="F1465" s="12">
        <f>IF('Data Entry'!A1465="","",'Data Entry'!F1465)</f>
        <v/>
      </c>
      <c r="G1465" s="13">
        <f>IF('Data Entry'!A1465="","",'Data Entry'!G1465)</f>
        <v/>
      </c>
      <c r="H1465" s="10">
        <f>IF('Data Entry'!A1465="","",'Data Entry'!H1465)</f>
        <v/>
      </c>
      <c r="I1465" s="10">
        <f>IF('Data Entry'!A1465="","",'Data Entry'!I1465)</f>
        <v/>
      </c>
      <c r="J1465" s="12">
        <f>IF('Data Entry'!A1465="","",IF('Data Entry'!D1465&lt;&gt;"",'Data Entry'!D1465,'Data Entry'!E1465))</f>
        <v/>
      </c>
      <c r="K1465" s="10">
        <f>IF('Data Entry'!A1465="","",IFERROR(SUMIFS($H$5:$H$2001,$J$5:$J$2001,$J1465,$B$5:$B$2001,$B1465,$A$5:$A$2001,(MAXIFS($A$5:$A$2001,$J$5:$J$2001,$J1465,$B$5:$B$2001,$B1465,$A$5:$A$2001,"&lt;"&amp;$A1465))),""))</f>
        <v/>
      </c>
      <c r="L1465" s="14">
        <f>IF(OR('Data Entry'!A1465="",$K1465=""),"",$H1465-$K1465)</f>
        <v/>
      </c>
      <c r="M1465" s="15">
        <f>IF(OR('Data Entry'!A1465="",$K1465="",$K1465=0),"",$L1465/$K1465)</f>
        <v/>
      </c>
      <c r="N1465" s="12">
        <f>IF('Data Entry'!A1465="","",IF($L1465="","New item",IF($L1465&gt;0,"UP",IF($L1465&lt;0,"down","same"))))</f>
        <v/>
      </c>
    </row>
    <row r="1466">
      <c r="A1466" s="11">
        <f>IF('Data Entry'!A1466="","",'Data Entry'!A1466)</f>
        <v/>
      </c>
      <c r="B1466" s="12">
        <f>IF('Data Entry'!A1466="","",'Data Entry'!B1466)</f>
        <v/>
      </c>
      <c r="C1466" s="12">
        <f>IF('Data Entry'!A1466="","",'Data Entry'!C1466)</f>
        <v/>
      </c>
      <c r="D1466" s="12">
        <f>IF('Data Entry'!A1466="","",'Data Entry'!D1466)</f>
        <v/>
      </c>
      <c r="E1466" s="12">
        <f>IF('Data Entry'!A1466="","",'Data Entry'!E1466)</f>
        <v/>
      </c>
      <c r="F1466" s="12">
        <f>IF('Data Entry'!A1466="","",'Data Entry'!F1466)</f>
        <v/>
      </c>
      <c r="G1466" s="13">
        <f>IF('Data Entry'!A1466="","",'Data Entry'!G1466)</f>
        <v/>
      </c>
      <c r="H1466" s="10">
        <f>IF('Data Entry'!A1466="","",'Data Entry'!H1466)</f>
        <v/>
      </c>
      <c r="I1466" s="10">
        <f>IF('Data Entry'!A1466="","",'Data Entry'!I1466)</f>
        <v/>
      </c>
      <c r="J1466" s="12">
        <f>IF('Data Entry'!A1466="","",IF('Data Entry'!D1466&lt;&gt;"",'Data Entry'!D1466,'Data Entry'!E1466))</f>
        <v/>
      </c>
      <c r="K1466" s="10">
        <f>IF('Data Entry'!A1466="","",IFERROR(SUMIFS($H$5:$H$2001,$J$5:$J$2001,$J1466,$B$5:$B$2001,$B1466,$A$5:$A$2001,(MAXIFS($A$5:$A$2001,$J$5:$J$2001,$J1466,$B$5:$B$2001,$B1466,$A$5:$A$2001,"&lt;"&amp;$A1466))),""))</f>
        <v/>
      </c>
      <c r="L1466" s="14">
        <f>IF(OR('Data Entry'!A1466="",$K1466=""),"",$H1466-$K1466)</f>
        <v/>
      </c>
      <c r="M1466" s="15">
        <f>IF(OR('Data Entry'!A1466="",$K1466="",$K1466=0),"",$L1466/$K1466)</f>
        <v/>
      </c>
      <c r="N1466" s="12">
        <f>IF('Data Entry'!A1466="","",IF($L1466="","New item",IF($L1466&gt;0,"UP",IF($L1466&lt;0,"down","same"))))</f>
        <v/>
      </c>
    </row>
    <row r="1467">
      <c r="A1467" s="11">
        <f>IF('Data Entry'!A1467="","",'Data Entry'!A1467)</f>
        <v/>
      </c>
      <c r="B1467" s="12">
        <f>IF('Data Entry'!A1467="","",'Data Entry'!B1467)</f>
        <v/>
      </c>
      <c r="C1467" s="12">
        <f>IF('Data Entry'!A1467="","",'Data Entry'!C1467)</f>
        <v/>
      </c>
      <c r="D1467" s="12">
        <f>IF('Data Entry'!A1467="","",'Data Entry'!D1467)</f>
        <v/>
      </c>
      <c r="E1467" s="12">
        <f>IF('Data Entry'!A1467="","",'Data Entry'!E1467)</f>
        <v/>
      </c>
      <c r="F1467" s="12">
        <f>IF('Data Entry'!A1467="","",'Data Entry'!F1467)</f>
        <v/>
      </c>
      <c r="G1467" s="13">
        <f>IF('Data Entry'!A1467="","",'Data Entry'!G1467)</f>
        <v/>
      </c>
      <c r="H1467" s="10">
        <f>IF('Data Entry'!A1467="","",'Data Entry'!H1467)</f>
        <v/>
      </c>
      <c r="I1467" s="10">
        <f>IF('Data Entry'!A1467="","",'Data Entry'!I1467)</f>
        <v/>
      </c>
      <c r="J1467" s="12">
        <f>IF('Data Entry'!A1467="","",IF('Data Entry'!D1467&lt;&gt;"",'Data Entry'!D1467,'Data Entry'!E1467))</f>
        <v/>
      </c>
      <c r="K1467" s="10">
        <f>IF('Data Entry'!A1467="","",IFERROR(SUMIFS($H$5:$H$2001,$J$5:$J$2001,$J1467,$B$5:$B$2001,$B1467,$A$5:$A$2001,(MAXIFS($A$5:$A$2001,$J$5:$J$2001,$J1467,$B$5:$B$2001,$B1467,$A$5:$A$2001,"&lt;"&amp;$A1467))),""))</f>
        <v/>
      </c>
      <c r="L1467" s="14">
        <f>IF(OR('Data Entry'!A1467="",$K1467=""),"",$H1467-$K1467)</f>
        <v/>
      </c>
      <c r="M1467" s="15">
        <f>IF(OR('Data Entry'!A1467="",$K1467="",$K1467=0),"",$L1467/$K1467)</f>
        <v/>
      </c>
      <c r="N1467" s="12">
        <f>IF('Data Entry'!A1467="","",IF($L1467="","New item",IF($L1467&gt;0,"UP",IF($L1467&lt;0,"down","same"))))</f>
        <v/>
      </c>
    </row>
    <row r="1468">
      <c r="A1468" s="11">
        <f>IF('Data Entry'!A1468="","",'Data Entry'!A1468)</f>
        <v/>
      </c>
      <c r="B1468" s="12">
        <f>IF('Data Entry'!A1468="","",'Data Entry'!B1468)</f>
        <v/>
      </c>
      <c r="C1468" s="12">
        <f>IF('Data Entry'!A1468="","",'Data Entry'!C1468)</f>
        <v/>
      </c>
      <c r="D1468" s="12">
        <f>IF('Data Entry'!A1468="","",'Data Entry'!D1468)</f>
        <v/>
      </c>
      <c r="E1468" s="12">
        <f>IF('Data Entry'!A1468="","",'Data Entry'!E1468)</f>
        <v/>
      </c>
      <c r="F1468" s="12">
        <f>IF('Data Entry'!A1468="","",'Data Entry'!F1468)</f>
        <v/>
      </c>
      <c r="G1468" s="13">
        <f>IF('Data Entry'!A1468="","",'Data Entry'!G1468)</f>
        <v/>
      </c>
      <c r="H1468" s="10">
        <f>IF('Data Entry'!A1468="","",'Data Entry'!H1468)</f>
        <v/>
      </c>
      <c r="I1468" s="10">
        <f>IF('Data Entry'!A1468="","",'Data Entry'!I1468)</f>
        <v/>
      </c>
      <c r="J1468" s="12">
        <f>IF('Data Entry'!A1468="","",IF('Data Entry'!D1468&lt;&gt;"",'Data Entry'!D1468,'Data Entry'!E1468))</f>
        <v/>
      </c>
      <c r="K1468" s="10">
        <f>IF('Data Entry'!A1468="","",IFERROR(SUMIFS($H$5:$H$2001,$J$5:$J$2001,$J1468,$B$5:$B$2001,$B1468,$A$5:$A$2001,(MAXIFS($A$5:$A$2001,$J$5:$J$2001,$J1468,$B$5:$B$2001,$B1468,$A$5:$A$2001,"&lt;"&amp;$A1468))),""))</f>
        <v/>
      </c>
      <c r="L1468" s="14">
        <f>IF(OR('Data Entry'!A1468="",$K1468=""),"",$H1468-$K1468)</f>
        <v/>
      </c>
      <c r="M1468" s="15">
        <f>IF(OR('Data Entry'!A1468="",$K1468="",$K1468=0),"",$L1468/$K1468)</f>
        <v/>
      </c>
      <c r="N1468" s="12">
        <f>IF('Data Entry'!A1468="","",IF($L1468="","New item",IF($L1468&gt;0,"UP",IF($L1468&lt;0,"down","same"))))</f>
        <v/>
      </c>
    </row>
    <row r="1469">
      <c r="A1469" s="11">
        <f>IF('Data Entry'!A1469="","",'Data Entry'!A1469)</f>
        <v/>
      </c>
      <c r="B1469" s="12">
        <f>IF('Data Entry'!A1469="","",'Data Entry'!B1469)</f>
        <v/>
      </c>
      <c r="C1469" s="12">
        <f>IF('Data Entry'!A1469="","",'Data Entry'!C1469)</f>
        <v/>
      </c>
      <c r="D1469" s="12">
        <f>IF('Data Entry'!A1469="","",'Data Entry'!D1469)</f>
        <v/>
      </c>
      <c r="E1469" s="12">
        <f>IF('Data Entry'!A1469="","",'Data Entry'!E1469)</f>
        <v/>
      </c>
      <c r="F1469" s="12">
        <f>IF('Data Entry'!A1469="","",'Data Entry'!F1469)</f>
        <v/>
      </c>
      <c r="G1469" s="13">
        <f>IF('Data Entry'!A1469="","",'Data Entry'!G1469)</f>
        <v/>
      </c>
      <c r="H1469" s="10">
        <f>IF('Data Entry'!A1469="","",'Data Entry'!H1469)</f>
        <v/>
      </c>
      <c r="I1469" s="10">
        <f>IF('Data Entry'!A1469="","",'Data Entry'!I1469)</f>
        <v/>
      </c>
      <c r="J1469" s="12">
        <f>IF('Data Entry'!A1469="","",IF('Data Entry'!D1469&lt;&gt;"",'Data Entry'!D1469,'Data Entry'!E1469))</f>
        <v/>
      </c>
      <c r="K1469" s="10">
        <f>IF('Data Entry'!A1469="","",IFERROR(SUMIFS($H$5:$H$2001,$J$5:$J$2001,$J1469,$B$5:$B$2001,$B1469,$A$5:$A$2001,(MAXIFS($A$5:$A$2001,$J$5:$J$2001,$J1469,$B$5:$B$2001,$B1469,$A$5:$A$2001,"&lt;"&amp;$A1469))),""))</f>
        <v/>
      </c>
      <c r="L1469" s="14">
        <f>IF(OR('Data Entry'!A1469="",$K1469=""),"",$H1469-$K1469)</f>
        <v/>
      </c>
      <c r="M1469" s="15">
        <f>IF(OR('Data Entry'!A1469="",$K1469="",$K1469=0),"",$L1469/$K1469)</f>
        <v/>
      </c>
      <c r="N1469" s="12">
        <f>IF('Data Entry'!A1469="","",IF($L1469="","New item",IF($L1469&gt;0,"UP",IF($L1469&lt;0,"down","same"))))</f>
        <v/>
      </c>
    </row>
    <row r="1470">
      <c r="A1470" s="11">
        <f>IF('Data Entry'!A1470="","",'Data Entry'!A1470)</f>
        <v/>
      </c>
      <c r="B1470" s="12">
        <f>IF('Data Entry'!A1470="","",'Data Entry'!B1470)</f>
        <v/>
      </c>
      <c r="C1470" s="12">
        <f>IF('Data Entry'!A1470="","",'Data Entry'!C1470)</f>
        <v/>
      </c>
      <c r="D1470" s="12">
        <f>IF('Data Entry'!A1470="","",'Data Entry'!D1470)</f>
        <v/>
      </c>
      <c r="E1470" s="12">
        <f>IF('Data Entry'!A1470="","",'Data Entry'!E1470)</f>
        <v/>
      </c>
      <c r="F1470" s="12">
        <f>IF('Data Entry'!A1470="","",'Data Entry'!F1470)</f>
        <v/>
      </c>
      <c r="G1470" s="13">
        <f>IF('Data Entry'!A1470="","",'Data Entry'!G1470)</f>
        <v/>
      </c>
      <c r="H1470" s="10">
        <f>IF('Data Entry'!A1470="","",'Data Entry'!H1470)</f>
        <v/>
      </c>
      <c r="I1470" s="10">
        <f>IF('Data Entry'!A1470="","",'Data Entry'!I1470)</f>
        <v/>
      </c>
      <c r="J1470" s="12">
        <f>IF('Data Entry'!A1470="","",IF('Data Entry'!D1470&lt;&gt;"",'Data Entry'!D1470,'Data Entry'!E1470))</f>
        <v/>
      </c>
      <c r="K1470" s="10">
        <f>IF('Data Entry'!A1470="","",IFERROR(SUMIFS($H$5:$H$2001,$J$5:$J$2001,$J1470,$B$5:$B$2001,$B1470,$A$5:$A$2001,(MAXIFS($A$5:$A$2001,$J$5:$J$2001,$J1470,$B$5:$B$2001,$B1470,$A$5:$A$2001,"&lt;"&amp;$A1470))),""))</f>
        <v/>
      </c>
      <c r="L1470" s="14">
        <f>IF(OR('Data Entry'!A1470="",$K1470=""),"",$H1470-$K1470)</f>
        <v/>
      </c>
      <c r="M1470" s="15">
        <f>IF(OR('Data Entry'!A1470="",$K1470="",$K1470=0),"",$L1470/$K1470)</f>
        <v/>
      </c>
      <c r="N1470" s="12">
        <f>IF('Data Entry'!A1470="","",IF($L1470="","New item",IF($L1470&gt;0,"UP",IF($L1470&lt;0,"down","same"))))</f>
        <v/>
      </c>
    </row>
    <row r="1471">
      <c r="A1471" s="11">
        <f>IF('Data Entry'!A1471="","",'Data Entry'!A1471)</f>
        <v/>
      </c>
      <c r="B1471" s="12">
        <f>IF('Data Entry'!A1471="","",'Data Entry'!B1471)</f>
        <v/>
      </c>
      <c r="C1471" s="12">
        <f>IF('Data Entry'!A1471="","",'Data Entry'!C1471)</f>
        <v/>
      </c>
      <c r="D1471" s="12">
        <f>IF('Data Entry'!A1471="","",'Data Entry'!D1471)</f>
        <v/>
      </c>
      <c r="E1471" s="12">
        <f>IF('Data Entry'!A1471="","",'Data Entry'!E1471)</f>
        <v/>
      </c>
      <c r="F1471" s="12">
        <f>IF('Data Entry'!A1471="","",'Data Entry'!F1471)</f>
        <v/>
      </c>
      <c r="G1471" s="13">
        <f>IF('Data Entry'!A1471="","",'Data Entry'!G1471)</f>
        <v/>
      </c>
      <c r="H1471" s="10">
        <f>IF('Data Entry'!A1471="","",'Data Entry'!H1471)</f>
        <v/>
      </c>
      <c r="I1471" s="10">
        <f>IF('Data Entry'!A1471="","",'Data Entry'!I1471)</f>
        <v/>
      </c>
      <c r="J1471" s="12">
        <f>IF('Data Entry'!A1471="","",IF('Data Entry'!D1471&lt;&gt;"",'Data Entry'!D1471,'Data Entry'!E1471))</f>
        <v/>
      </c>
      <c r="K1471" s="10">
        <f>IF('Data Entry'!A1471="","",IFERROR(SUMIFS($H$5:$H$2001,$J$5:$J$2001,$J1471,$B$5:$B$2001,$B1471,$A$5:$A$2001,(MAXIFS($A$5:$A$2001,$J$5:$J$2001,$J1471,$B$5:$B$2001,$B1471,$A$5:$A$2001,"&lt;"&amp;$A1471))),""))</f>
        <v/>
      </c>
      <c r="L1471" s="14">
        <f>IF(OR('Data Entry'!A1471="",$K1471=""),"",$H1471-$K1471)</f>
        <v/>
      </c>
      <c r="M1471" s="15">
        <f>IF(OR('Data Entry'!A1471="",$K1471="",$K1471=0),"",$L1471/$K1471)</f>
        <v/>
      </c>
      <c r="N1471" s="12">
        <f>IF('Data Entry'!A1471="","",IF($L1471="","New item",IF($L1471&gt;0,"UP",IF($L1471&lt;0,"down","same"))))</f>
        <v/>
      </c>
    </row>
    <row r="1472">
      <c r="A1472" s="11">
        <f>IF('Data Entry'!A1472="","",'Data Entry'!A1472)</f>
        <v/>
      </c>
      <c r="B1472" s="12">
        <f>IF('Data Entry'!A1472="","",'Data Entry'!B1472)</f>
        <v/>
      </c>
      <c r="C1472" s="12">
        <f>IF('Data Entry'!A1472="","",'Data Entry'!C1472)</f>
        <v/>
      </c>
      <c r="D1472" s="12">
        <f>IF('Data Entry'!A1472="","",'Data Entry'!D1472)</f>
        <v/>
      </c>
      <c r="E1472" s="12">
        <f>IF('Data Entry'!A1472="","",'Data Entry'!E1472)</f>
        <v/>
      </c>
      <c r="F1472" s="12">
        <f>IF('Data Entry'!A1472="","",'Data Entry'!F1472)</f>
        <v/>
      </c>
      <c r="G1472" s="13">
        <f>IF('Data Entry'!A1472="","",'Data Entry'!G1472)</f>
        <v/>
      </c>
      <c r="H1472" s="10">
        <f>IF('Data Entry'!A1472="","",'Data Entry'!H1472)</f>
        <v/>
      </c>
      <c r="I1472" s="10">
        <f>IF('Data Entry'!A1472="","",'Data Entry'!I1472)</f>
        <v/>
      </c>
      <c r="J1472" s="12">
        <f>IF('Data Entry'!A1472="","",IF('Data Entry'!D1472&lt;&gt;"",'Data Entry'!D1472,'Data Entry'!E1472))</f>
        <v/>
      </c>
      <c r="K1472" s="10">
        <f>IF('Data Entry'!A1472="","",IFERROR(SUMIFS($H$5:$H$2001,$J$5:$J$2001,$J1472,$B$5:$B$2001,$B1472,$A$5:$A$2001,(MAXIFS($A$5:$A$2001,$J$5:$J$2001,$J1472,$B$5:$B$2001,$B1472,$A$5:$A$2001,"&lt;"&amp;$A1472))),""))</f>
        <v/>
      </c>
      <c r="L1472" s="14">
        <f>IF(OR('Data Entry'!A1472="",$K1472=""),"",$H1472-$K1472)</f>
        <v/>
      </c>
      <c r="M1472" s="15">
        <f>IF(OR('Data Entry'!A1472="",$K1472="",$K1472=0),"",$L1472/$K1472)</f>
        <v/>
      </c>
      <c r="N1472" s="12">
        <f>IF('Data Entry'!A1472="","",IF($L1472="","New item",IF($L1472&gt;0,"UP",IF($L1472&lt;0,"down","same"))))</f>
        <v/>
      </c>
    </row>
    <row r="1473">
      <c r="A1473" s="11">
        <f>IF('Data Entry'!A1473="","",'Data Entry'!A1473)</f>
        <v/>
      </c>
      <c r="B1473" s="12">
        <f>IF('Data Entry'!A1473="","",'Data Entry'!B1473)</f>
        <v/>
      </c>
      <c r="C1473" s="12">
        <f>IF('Data Entry'!A1473="","",'Data Entry'!C1473)</f>
        <v/>
      </c>
      <c r="D1473" s="12">
        <f>IF('Data Entry'!A1473="","",'Data Entry'!D1473)</f>
        <v/>
      </c>
      <c r="E1473" s="12">
        <f>IF('Data Entry'!A1473="","",'Data Entry'!E1473)</f>
        <v/>
      </c>
      <c r="F1473" s="12">
        <f>IF('Data Entry'!A1473="","",'Data Entry'!F1473)</f>
        <v/>
      </c>
      <c r="G1473" s="13">
        <f>IF('Data Entry'!A1473="","",'Data Entry'!G1473)</f>
        <v/>
      </c>
      <c r="H1473" s="10">
        <f>IF('Data Entry'!A1473="","",'Data Entry'!H1473)</f>
        <v/>
      </c>
      <c r="I1473" s="10">
        <f>IF('Data Entry'!A1473="","",'Data Entry'!I1473)</f>
        <v/>
      </c>
      <c r="J1473" s="12">
        <f>IF('Data Entry'!A1473="","",IF('Data Entry'!D1473&lt;&gt;"",'Data Entry'!D1473,'Data Entry'!E1473))</f>
        <v/>
      </c>
      <c r="K1473" s="10">
        <f>IF('Data Entry'!A1473="","",IFERROR(SUMIFS($H$5:$H$2001,$J$5:$J$2001,$J1473,$B$5:$B$2001,$B1473,$A$5:$A$2001,(MAXIFS($A$5:$A$2001,$J$5:$J$2001,$J1473,$B$5:$B$2001,$B1473,$A$5:$A$2001,"&lt;"&amp;$A1473))),""))</f>
        <v/>
      </c>
      <c r="L1473" s="14">
        <f>IF(OR('Data Entry'!A1473="",$K1473=""),"",$H1473-$K1473)</f>
        <v/>
      </c>
      <c r="M1473" s="15">
        <f>IF(OR('Data Entry'!A1473="",$K1473="",$K1473=0),"",$L1473/$K1473)</f>
        <v/>
      </c>
      <c r="N1473" s="12">
        <f>IF('Data Entry'!A1473="","",IF($L1473="","New item",IF($L1473&gt;0,"UP",IF($L1473&lt;0,"down","same"))))</f>
        <v/>
      </c>
    </row>
    <row r="1474">
      <c r="A1474" s="11">
        <f>IF('Data Entry'!A1474="","",'Data Entry'!A1474)</f>
        <v/>
      </c>
      <c r="B1474" s="12">
        <f>IF('Data Entry'!A1474="","",'Data Entry'!B1474)</f>
        <v/>
      </c>
      <c r="C1474" s="12">
        <f>IF('Data Entry'!A1474="","",'Data Entry'!C1474)</f>
        <v/>
      </c>
      <c r="D1474" s="12">
        <f>IF('Data Entry'!A1474="","",'Data Entry'!D1474)</f>
        <v/>
      </c>
      <c r="E1474" s="12">
        <f>IF('Data Entry'!A1474="","",'Data Entry'!E1474)</f>
        <v/>
      </c>
      <c r="F1474" s="12">
        <f>IF('Data Entry'!A1474="","",'Data Entry'!F1474)</f>
        <v/>
      </c>
      <c r="G1474" s="13">
        <f>IF('Data Entry'!A1474="","",'Data Entry'!G1474)</f>
        <v/>
      </c>
      <c r="H1474" s="10">
        <f>IF('Data Entry'!A1474="","",'Data Entry'!H1474)</f>
        <v/>
      </c>
      <c r="I1474" s="10">
        <f>IF('Data Entry'!A1474="","",'Data Entry'!I1474)</f>
        <v/>
      </c>
      <c r="J1474" s="12">
        <f>IF('Data Entry'!A1474="","",IF('Data Entry'!D1474&lt;&gt;"",'Data Entry'!D1474,'Data Entry'!E1474))</f>
        <v/>
      </c>
      <c r="K1474" s="10">
        <f>IF('Data Entry'!A1474="","",IFERROR(SUMIFS($H$5:$H$2001,$J$5:$J$2001,$J1474,$B$5:$B$2001,$B1474,$A$5:$A$2001,(MAXIFS($A$5:$A$2001,$J$5:$J$2001,$J1474,$B$5:$B$2001,$B1474,$A$5:$A$2001,"&lt;"&amp;$A1474))),""))</f>
        <v/>
      </c>
      <c r="L1474" s="14">
        <f>IF(OR('Data Entry'!A1474="",$K1474=""),"",$H1474-$K1474)</f>
        <v/>
      </c>
      <c r="M1474" s="15">
        <f>IF(OR('Data Entry'!A1474="",$K1474="",$K1474=0),"",$L1474/$K1474)</f>
        <v/>
      </c>
      <c r="N1474" s="12">
        <f>IF('Data Entry'!A1474="","",IF($L1474="","New item",IF($L1474&gt;0,"UP",IF($L1474&lt;0,"down","same"))))</f>
        <v/>
      </c>
    </row>
    <row r="1475">
      <c r="A1475" s="11">
        <f>IF('Data Entry'!A1475="","",'Data Entry'!A1475)</f>
        <v/>
      </c>
      <c r="B1475" s="12">
        <f>IF('Data Entry'!A1475="","",'Data Entry'!B1475)</f>
        <v/>
      </c>
      <c r="C1475" s="12">
        <f>IF('Data Entry'!A1475="","",'Data Entry'!C1475)</f>
        <v/>
      </c>
      <c r="D1475" s="12">
        <f>IF('Data Entry'!A1475="","",'Data Entry'!D1475)</f>
        <v/>
      </c>
      <c r="E1475" s="12">
        <f>IF('Data Entry'!A1475="","",'Data Entry'!E1475)</f>
        <v/>
      </c>
      <c r="F1475" s="12">
        <f>IF('Data Entry'!A1475="","",'Data Entry'!F1475)</f>
        <v/>
      </c>
      <c r="G1475" s="13">
        <f>IF('Data Entry'!A1475="","",'Data Entry'!G1475)</f>
        <v/>
      </c>
      <c r="H1475" s="10">
        <f>IF('Data Entry'!A1475="","",'Data Entry'!H1475)</f>
        <v/>
      </c>
      <c r="I1475" s="10">
        <f>IF('Data Entry'!A1475="","",'Data Entry'!I1475)</f>
        <v/>
      </c>
      <c r="J1475" s="12">
        <f>IF('Data Entry'!A1475="","",IF('Data Entry'!D1475&lt;&gt;"",'Data Entry'!D1475,'Data Entry'!E1475))</f>
        <v/>
      </c>
      <c r="K1475" s="10">
        <f>IF('Data Entry'!A1475="","",IFERROR(SUMIFS($H$5:$H$2001,$J$5:$J$2001,$J1475,$B$5:$B$2001,$B1475,$A$5:$A$2001,(MAXIFS($A$5:$A$2001,$J$5:$J$2001,$J1475,$B$5:$B$2001,$B1475,$A$5:$A$2001,"&lt;"&amp;$A1475))),""))</f>
        <v/>
      </c>
      <c r="L1475" s="14">
        <f>IF(OR('Data Entry'!A1475="",$K1475=""),"",$H1475-$K1475)</f>
        <v/>
      </c>
      <c r="M1475" s="15">
        <f>IF(OR('Data Entry'!A1475="",$K1475="",$K1475=0),"",$L1475/$K1475)</f>
        <v/>
      </c>
      <c r="N1475" s="12">
        <f>IF('Data Entry'!A1475="","",IF($L1475="","New item",IF($L1475&gt;0,"UP",IF($L1475&lt;0,"down","same"))))</f>
        <v/>
      </c>
    </row>
    <row r="1476">
      <c r="A1476" s="11">
        <f>IF('Data Entry'!A1476="","",'Data Entry'!A1476)</f>
        <v/>
      </c>
      <c r="B1476" s="12">
        <f>IF('Data Entry'!A1476="","",'Data Entry'!B1476)</f>
        <v/>
      </c>
      <c r="C1476" s="12">
        <f>IF('Data Entry'!A1476="","",'Data Entry'!C1476)</f>
        <v/>
      </c>
      <c r="D1476" s="12">
        <f>IF('Data Entry'!A1476="","",'Data Entry'!D1476)</f>
        <v/>
      </c>
      <c r="E1476" s="12">
        <f>IF('Data Entry'!A1476="","",'Data Entry'!E1476)</f>
        <v/>
      </c>
      <c r="F1476" s="12">
        <f>IF('Data Entry'!A1476="","",'Data Entry'!F1476)</f>
        <v/>
      </c>
      <c r="G1476" s="13">
        <f>IF('Data Entry'!A1476="","",'Data Entry'!G1476)</f>
        <v/>
      </c>
      <c r="H1476" s="10">
        <f>IF('Data Entry'!A1476="","",'Data Entry'!H1476)</f>
        <v/>
      </c>
      <c r="I1476" s="10">
        <f>IF('Data Entry'!A1476="","",'Data Entry'!I1476)</f>
        <v/>
      </c>
      <c r="J1476" s="12">
        <f>IF('Data Entry'!A1476="","",IF('Data Entry'!D1476&lt;&gt;"",'Data Entry'!D1476,'Data Entry'!E1476))</f>
        <v/>
      </c>
      <c r="K1476" s="10">
        <f>IF('Data Entry'!A1476="","",IFERROR(SUMIFS($H$5:$H$2001,$J$5:$J$2001,$J1476,$B$5:$B$2001,$B1476,$A$5:$A$2001,(MAXIFS($A$5:$A$2001,$J$5:$J$2001,$J1476,$B$5:$B$2001,$B1476,$A$5:$A$2001,"&lt;"&amp;$A1476))),""))</f>
        <v/>
      </c>
      <c r="L1476" s="14">
        <f>IF(OR('Data Entry'!A1476="",$K1476=""),"",$H1476-$K1476)</f>
        <v/>
      </c>
      <c r="M1476" s="15">
        <f>IF(OR('Data Entry'!A1476="",$K1476="",$K1476=0),"",$L1476/$K1476)</f>
        <v/>
      </c>
      <c r="N1476" s="12">
        <f>IF('Data Entry'!A1476="","",IF($L1476="","New item",IF($L1476&gt;0,"UP",IF($L1476&lt;0,"down","same"))))</f>
        <v/>
      </c>
    </row>
    <row r="1477">
      <c r="A1477" s="11">
        <f>IF('Data Entry'!A1477="","",'Data Entry'!A1477)</f>
        <v/>
      </c>
      <c r="B1477" s="12">
        <f>IF('Data Entry'!A1477="","",'Data Entry'!B1477)</f>
        <v/>
      </c>
      <c r="C1477" s="12">
        <f>IF('Data Entry'!A1477="","",'Data Entry'!C1477)</f>
        <v/>
      </c>
      <c r="D1477" s="12">
        <f>IF('Data Entry'!A1477="","",'Data Entry'!D1477)</f>
        <v/>
      </c>
      <c r="E1477" s="12">
        <f>IF('Data Entry'!A1477="","",'Data Entry'!E1477)</f>
        <v/>
      </c>
      <c r="F1477" s="12">
        <f>IF('Data Entry'!A1477="","",'Data Entry'!F1477)</f>
        <v/>
      </c>
      <c r="G1477" s="13">
        <f>IF('Data Entry'!A1477="","",'Data Entry'!G1477)</f>
        <v/>
      </c>
      <c r="H1477" s="10">
        <f>IF('Data Entry'!A1477="","",'Data Entry'!H1477)</f>
        <v/>
      </c>
      <c r="I1477" s="10">
        <f>IF('Data Entry'!A1477="","",'Data Entry'!I1477)</f>
        <v/>
      </c>
      <c r="J1477" s="12">
        <f>IF('Data Entry'!A1477="","",IF('Data Entry'!D1477&lt;&gt;"",'Data Entry'!D1477,'Data Entry'!E1477))</f>
        <v/>
      </c>
      <c r="K1477" s="10">
        <f>IF('Data Entry'!A1477="","",IFERROR(SUMIFS($H$5:$H$2001,$J$5:$J$2001,$J1477,$B$5:$B$2001,$B1477,$A$5:$A$2001,(MAXIFS($A$5:$A$2001,$J$5:$J$2001,$J1477,$B$5:$B$2001,$B1477,$A$5:$A$2001,"&lt;"&amp;$A1477))),""))</f>
        <v/>
      </c>
      <c r="L1477" s="14">
        <f>IF(OR('Data Entry'!A1477="",$K1477=""),"",$H1477-$K1477)</f>
        <v/>
      </c>
      <c r="M1477" s="15">
        <f>IF(OR('Data Entry'!A1477="",$K1477="",$K1477=0),"",$L1477/$K1477)</f>
        <v/>
      </c>
      <c r="N1477" s="12">
        <f>IF('Data Entry'!A1477="","",IF($L1477="","New item",IF($L1477&gt;0,"UP",IF($L1477&lt;0,"down","same"))))</f>
        <v/>
      </c>
    </row>
    <row r="1478">
      <c r="A1478" s="11">
        <f>IF('Data Entry'!A1478="","",'Data Entry'!A1478)</f>
        <v/>
      </c>
      <c r="B1478" s="12">
        <f>IF('Data Entry'!A1478="","",'Data Entry'!B1478)</f>
        <v/>
      </c>
      <c r="C1478" s="12">
        <f>IF('Data Entry'!A1478="","",'Data Entry'!C1478)</f>
        <v/>
      </c>
      <c r="D1478" s="12">
        <f>IF('Data Entry'!A1478="","",'Data Entry'!D1478)</f>
        <v/>
      </c>
      <c r="E1478" s="12">
        <f>IF('Data Entry'!A1478="","",'Data Entry'!E1478)</f>
        <v/>
      </c>
      <c r="F1478" s="12">
        <f>IF('Data Entry'!A1478="","",'Data Entry'!F1478)</f>
        <v/>
      </c>
      <c r="G1478" s="13">
        <f>IF('Data Entry'!A1478="","",'Data Entry'!G1478)</f>
        <v/>
      </c>
      <c r="H1478" s="10">
        <f>IF('Data Entry'!A1478="","",'Data Entry'!H1478)</f>
        <v/>
      </c>
      <c r="I1478" s="10">
        <f>IF('Data Entry'!A1478="","",'Data Entry'!I1478)</f>
        <v/>
      </c>
      <c r="J1478" s="12">
        <f>IF('Data Entry'!A1478="","",IF('Data Entry'!D1478&lt;&gt;"",'Data Entry'!D1478,'Data Entry'!E1478))</f>
        <v/>
      </c>
      <c r="K1478" s="10">
        <f>IF('Data Entry'!A1478="","",IFERROR(SUMIFS($H$5:$H$2001,$J$5:$J$2001,$J1478,$B$5:$B$2001,$B1478,$A$5:$A$2001,(MAXIFS($A$5:$A$2001,$J$5:$J$2001,$J1478,$B$5:$B$2001,$B1478,$A$5:$A$2001,"&lt;"&amp;$A1478))),""))</f>
        <v/>
      </c>
      <c r="L1478" s="14">
        <f>IF(OR('Data Entry'!A1478="",$K1478=""),"",$H1478-$K1478)</f>
        <v/>
      </c>
      <c r="M1478" s="15">
        <f>IF(OR('Data Entry'!A1478="",$K1478="",$K1478=0),"",$L1478/$K1478)</f>
        <v/>
      </c>
      <c r="N1478" s="12">
        <f>IF('Data Entry'!A1478="","",IF($L1478="","New item",IF($L1478&gt;0,"UP",IF($L1478&lt;0,"down","same"))))</f>
        <v/>
      </c>
    </row>
    <row r="1479">
      <c r="A1479" s="11">
        <f>IF('Data Entry'!A1479="","",'Data Entry'!A1479)</f>
        <v/>
      </c>
      <c r="B1479" s="12">
        <f>IF('Data Entry'!A1479="","",'Data Entry'!B1479)</f>
        <v/>
      </c>
      <c r="C1479" s="12">
        <f>IF('Data Entry'!A1479="","",'Data Entry'!C1479)</f>
        <v/>
      </c>
      <c r="D1479" s="12">
        <f>IF('Data Entry'!A1479="","",'Data Entry'!D1479)</f>
        <v/>
      </c>
      <c r="E1479" s="12">
        <f>IF('Data Entry'!A1479="","",'Data Entry'!E1479)</f>
        <v/>
      </c>
      <c r="F1479" s="12">
        <f>IF('Data Entry'!A1479="","",'Data Entry'!F1479)</f>
        <v/>
      </c>
      <c r="G1479" s="13">
        <f>IF('Data Entry'!A1479="","",'Data Entry'!G1479)</f>
        <v/>
      </c>
      <c r="H1479" s="10">
        <f>IF('Data Entry'!A1479="","",'Data Entry'!H1479)</f>
        <v/>
      </c>
      <c r="I1479" s="10">
        <f>IF('Data Entry'!A1479="","",'Data Entry'!I1479)</f>
        <v/>
      </c>
      <c r="J1479" s="12">
        <f>IF('Data Entry'!A1479="","",IF('Data Entry'!D1479&lt;&gt;"",'Data Entry'!D1479,'Data Entry'!E1479))</f>
        <v/>
      </c>
      <c r="K1479" s="10">
        <f>IF('Data Entry'!A1479="","",IFERROR(SUMIFS($H$5:$H$2001,$J$5:$J$2001,$J1479,$B$5:$B$2001,$B1479,$A$5:$A$2001,(MAXIFS($A$5:$A$2001,$J$5:$J$2001,$J1479,$B$5:$B$2001,$B1479,$A$5:$A$2001,"&lt;"&amp;$A1479))),""))</f>
        <v/>
      </c>
      <c r="L1479" s="14">
        <f>IF(OR('Data Entry'!A1479="",$K1479=""),"",$H1479-$K1479)</f>
        <v/>
      </c>
      <c r="M1479" s="15">
        <f>IF(OR('Data Entry'!A1479="",$K1479="",$K1479=0),"",$L1479/$K1479)</f>
        <v/>
      </c>
      <c r="N1479" s="12">
        <f>IF('Data Entry'!A1479="","",IF($L1479="","New item",IF($L1479&gt;0,"UP",IF($L1479&lt;0,"down","same"))))</f>
        <v/>
      </c>
    </row>
    <row r="1480">
      <c r="A1480" s="11">
        <f>IF('Data Entry'!A1480="","",'Data Entry'!A1480)</f>
        <v/>
      </c>
      <c r="B1480" s="12">
        <f>IF('Data Entry'!A1480="","",'Data Entry'!B1480)</f>
        <v/>
      </c>
      <c r="C1480" s="12">
        <f>IF('Data Entry'!A1480="","",'Data Entry'!C1480)</f>
        <v/>
      </c>
      <c r="D1480" s="12">
        <f>IF('Data Entry'!A1480="","",'Data Entry'!D1480)</f>
        <v/>
      </c>
      <c r="E1480" s="12">
        <f>IF('Data Entry'!A1480="","",'Data Entry'!E1480)</f>
        <v/>
      </c>
      <c r="F1480" s="12">
        <f>IF('Data Entry'!A1480="","",'Data Entry'!F1480)</f>
        <v/>
      </c>
      <c r="G1480" s="13">
        <f>IF('Data Entry'!A1480="","",'Data Entry'!G1480)</f>
        <v/>
      </c>
      <c r="H1480" s="10">
        <f>IF('Data Entry'!A1480="","",'Data Entry'!H1480)</f>
        <v/>
      </c>
      <c r="I1480" s="10">
        <f>IF('Data Entry'!A1480="","",'Data Entry'!I1480)</f>
        <v/>
      </c>
      <c r="J1480" s="12">
        <f>IF('Data Entry'!A1480="","",IF('Data Entry'!D1480&lt;&gt;"",'Data Entry'!D1480,'Data Entry'!E1480))</f>
        <v/>
      </c>
      <c r="K1480" s="10">
        <f>IF('Data Entry'!A1480="","",IFERROR(SUMIFS($H$5:$H$2001,$J$5:$J$2001,$J1480,$B$5:$B$2001,$B1480,$A$5:$A$2001,(MAXIFS($A$5:$A$2001,$J$5:$J$2001,$J1480,$B$5:$B$2001,$B1480,$A$5:$A$2001,"&lt;"&amp;$A1480))),""))</f>
        <v/>
      </c>
      <c r="L1480" s="14">
        <f>IF(OR('Data Entry'!A1480="",$K1480=""),"",$H1480-$K1480)</f>
        <v/>
      </c>
      <c r="M1480" s="15">
        <f>IF(OR('Data Entry'!A1480="",$K1480="",$K1480=0),"",$L1480/$K1480)</f>
        <v/>
      </c>
      <c r="N1480" s="12">
        <f>IF('Data Entry'!A1480="","",IF($L1480="","New item",IF($L1480&gt;0,"UP",IF($L1480&lt;0,"down","same"))))</f>
        <v/>
      </c>
    </row>
    <row r="1481">
      <c r="A1481" s="11">
        <f>IF('Data Entry'!A1481="","",'Data Entry'!A1481)</f>
        <v/>
      </c>
      <c r="B1481" s="12">
        <f>IF('Data Entry'!A1481="","",'Data Entry'!B1481)</f>
        <v/>
      </c>
      <c r="C1481" s="12">
        <f>IF('Data Entry'!A1481="","",'Data Entry'!C1481)</f>
        <v/>
      </c>
      <c r="D1481" s="12">
        <f>IF('Data Entry'!A1481="","",'Data Entry'!D1481)</f>
        <v/>
      </c>
      <c r="E1481" s="12">
        <f>IF('Data Entry'!A1481="","",'Data Entry'!E1481)</f>
        <v/>
      </c>
      <c r="F1481" s="12">
        <f>IF('Data Entry'!A1481="","",'Data Entry'!F1481)</f>
        <v/>
      </c>
      <c r="G1481" s="13">
        <f>IF('Data Entry'!A1481="","",'Data Entry'!G1481)</f>
        <v/>
      </c>
      <c r="H1481" s="10">
        <f>IF('Data Entry'!A1481="","",'Data Entry'!H1481)</f>
        <v/>
      </c>
      <c r="I1481" s="10">
        <f>IF('Data Entry'!A1481="","",'Data Entry'!I1481)</f>
        <v/>
      </c>
      <c r="J1481" s="12">
        <f>IF('Data Entry'!A1481="","",IF('Data Entry'!D1481&lt;&gt;"",'Data Entry'!D1481,'Data Entry'!E1481))</f>
        <v/>
      </c>
      <c r="K1481" s="10">
        <f>IF('Data Entry'!A1481="","",IFERROR(SUMIFS($H$5:$H$2001,$J$5:$J$2001,$J1481,$B$5:$B$2001,$B1481,$A$5:$A$2001,(MAXIFS($A$5:$A$2001,$J$5:$J$2001,$J1481,$B$5:$B$2001,$B1481,$A$5:$A$2001,"&lt;"&amp;$A1481))),""))</f>
        <v/>
      </c>
      <c r="L1481" s="14">
        <f>IF(OR('Data Entry'!A1481="",$K1481=""),"",$H1481-$K1481)</f>
        <v/>
      </c>
      <c r="M1481" s="15">
        <f>IF(OR('Data Entry'!A1481="",$K1481="",$K1481=0),"",$L1481/$K1481)</f>
        <v/>
      </c>
      <c r="N1481" s="12">
        <f>IF('Data Entry'!A1481="","",IF($L1481="","New item",IF($L1481&gt;0,"UP",IF($L1481&lt;0,"down","same"))))</f>
        <v/>
      </c>
    </row>
    <row r="1482">
      <c r="A1482" s="11">
        <f>IF('Data Entry'!A1482="","",'Data Entry'!A1482)</f>
        <v/>
      </c>
      <c r="B1482" s="12">
        <f>IF('Data Entry'!A1482="","",'Data Entry'!B1482)</f>
        <v/>
      </c>
      <c r="C1482" s="12">
        <f>IF('Data Entry'!A1482="","",'Data Entry'!C1482)</f>
        <v/>
      </c>
      <c r="D1482" s="12">
        <f>IF('Data Entry'!A1482="","",'Data Entry'!D1482)</f>
        <v/>
      </c>
      <c r="E1482" s="12">
        <f>IF('Data Entry'!A1482="","",'Data Entry'!E1482)</f>
        <v/>
      </c>
      <c r="F1482" s="12">
        <f>IF('Data Entry'!A1482="","",'Data Entry'!F1482)</f>
        <v/>
      </c>
      <c r="G1482" s="13">
        <f>IF('Data Entry'!A1482="","",'Data Entry'!G1482)</f>
        <v/>
      </c>
      <c r="H1482" s="10">
        <f>IF('Data Entry'!A1482="","",'Data Entry'!H1482)</f>
        <v/>
      </c>
      <c r="I1482" s="10">
        <f>IF('Data Entry'!A1482="","",'Data Entry'!I1482)</f>
        <v/>
      </c>
      <c r="J1482" s="12">
        <f>IF('Data Entry'!A1482="","",IF('Data Entry'!D1482&lt;&gt;"",'Data Entry'!D1482,'Data Entry'!E1482))</f>
        <v/>
      </c>
      <c r="K1482" s="10">
        <f>IF('Data Entry'!A1482="","",IFERROR(SUMIFS($H$5:$H$2001,$J$5:$J$2001,$J1482,$B$5:$B$2001,$B1482,$A$5:$A$2001,(MAXIFS($A$5:$A$2001,$J$5:$J$2001,$J1482,$B$5:$B$2001,$B1482,$A$5:$A$2001,"&lt;"&amp;$A1482))),""))</f>
        <v/>
      </c>
      <c r="L1482" s="14">
        <f>IF(OR('Data Entry'!A1482="",$K1482=""),"",$H1482-$K1482)</f>
        <v/>
      </c>
      <c r="M1482" s="15">
        <f>IF(OR('Data Entry'!A1482="",$K1482="",$K1482=0),"",$L1482/$K1482)</f>
        <v/>
      </c>
      <c r="N1482" s="12">
        <f>IF('Data Entry'!A1482="","",IF($L1482="","New item",IF($L1482&gt;0,"UP",IF($L1482&lt;0,"down","same"))))</f>
        <v/>
      </c>
    </row>
    <row r="1483">
      <c r="A1483" s="11">
        <f>IF('Data Entry'!A1483="","",'Data Entry'!A1483)</f>
        <v/>
      </c>
      <c r="B1483" s="12">
        <f>IF('Data Entry'!A1483="","",'Data Entry'!B1483)</f>
        <v/>
      </c>
      <c r="C1483" s="12">
        <f>IF('Data Entry'!A1483="","",'Data Entry'!C1483)</f>
        <v/>
      </c>
      <c r="D1483" s="12">
        <f>IF('Data Entry'!A1483="","",'Data Entry'!D1483)</f>
        <v/>
      </c>
      <c r="E1483" s="12">
        <f>IF('Data Entry'!A1483="","",'Data Entry'!E1483)</f>
        <v/>
      </c>
      <c r="F1483" s="12">
        <f>IF('Data Entry'!A1483="","",'Data Entry'!F1483)</f>
        <v/>
      </c>
      <c r="G1483" s="13">
        <f>IF('Data Entry'!A1483="","",'Data Entry'!G1483)</f>
        <v/>
      </c>
      <c r="H1483" s="10">
        <f>IF('Data Entry'!A1483="","",'Data Entry'!H1483)</f>
        <v/>
      </c>
      <c r="I1483" s="10">
        <f>IF('Data Entry'!A1483="","",'Data Entry'!I1483)</f>
        <v/>
      </c>
      <c r="J1483" s="12">
        <f>IF('Data Entry'!A1483="","",IF('Data Entry'!D1483&lt;&gt;"",'Data Entry'!D1483,'Data Entry'!E1483))</f>
        <v/>
      </c>
      <c r="K1483" s="10">
        <f>IF('Data Entry'!A1483="","",IFERROR(SUMIFS($H$5:$H$2001,$J$5:$J$2001,$J1483,$B$5:$B$2001,$B1483,$A$5:$A$2001,(MAXIFS($A$5:$A$2001,$J$5:$J$2001,$J1483,$B$5:$B$2001,$B1483,$A$5:$A$2001,"&lt;"&amp;$A1483))),""))</f>
        <v/>
      </c>
      <c r="L1483" s="14">
        <f>IF(OR('Data Entry'!A1483="",$K1483=""),"",$H1483-$K1483)</f>
        <v/>
      </c>
      <c r="M1483" s="15">
        <f>IF(OR('Data Entry'!A1483="",$K1483="",$K1483=0),"",$L1483/$K1483)</f>
        <v/>
      </c>
      <c r="N1483" s="12">
        <f>IF('Data Entry'!A1483="","",IF($L1483="","New item",IF($L1483&gt;0,"UP",IF($L1483&lt;0,"down","same"))))</f>
        <v/>
      </c>
    </row>
    <row r="1484">
      <c r="A1484" s="11">
        <f>IF('Data Entry'!A1484="","",'Data Entry'!A1484)</f>
        <v/>
      </c>
      <c r="B1484" s="12">
        <f>IF('Data Entry'!A1484="","",'Data Entry'!B1484)</f>
        <v/>
      </c>
      <c r="C1484" s="12">
        <f>IF('Data Entry'!A1484="","",'Data Entry'!C1484)</f>
        <v/>
      </c>
      <c r="D1484" s="12">
        <f>IF('Data Entry'!A1484="","",'Data Entry'!D1484)</f>
        <v/>
      </c>
      <c r="E1484" s="12">
        <f>IF('Data Entry'!A1484="","",'Data Entry'!E1484)</f>
        <v/>
      </c>
      <c r="F1484" s="12">
        <f>IF('Data Entry'!A1484="","",'Data Entry'!F1484)</f>
        <v/>
      </c>
      <c r="G1484" s="13">
        <f>IF('Data Entry'!A1484="","",'Data Entry'!G1484)</f>
        <v/>
      </c>
      <c r="H1484" s="10">
        <f>IF('Data Entry'!A1484="","",'Data Entry'!H1484)</f>
        <v/>
      </c>
      <c r="I1484" s="10">
        <f>IF('Data Entry'!A1484="","",'Data Entry'!I1484)</f>
        <v/>
      </c>
      <c r="J1484" s="12">
        <f>IF('Data Entry'!A1484="","",IF('Data Entry'!D1484&lt;&gt;"",'Data Entry'!D1484,'Data Entry'!E1484))</f>
        <v/>
      </c>
      <c r="K1484" s="10">
        <f>IF('Data Entry'!A1484="","",IFERROR(SUMIFS($H$5:$H$2001,$J$5:$J$2001,$J1484,$B$5:$B$2001,$B1484,$A$5:$A$2001,(MAXIFS($A$5:$A$2001,$J$5:$J$2001,$J1484,$B$5:$B$2001,$B1484,$A$5:$A$2001,"&lt;"&amp;$A1484))),""))</f>
        <v/>
      </c>
      <c r="L1484" s="14">
        <f>IF(OR('Data Entry'!A1484="",$K1484=""),"",$H1484-$K1484)</f>
        <v/>
      </c>
      <c r="M1484" s="15">
        <f>IF(OR('Data Entry'!A1484="",$K1484="",$K1484=0),"",$L1484/$K1484)</f>
        <v/>
      </c>
      <c r="N1484" s="12">
        <f>IF('Data Entry'!A1484="","",IF($L1484="","New item",IF($L1484&gt;0,"UP",IF($L1484&lt;0,"down","same"))))</f>
        <v/>
      </c>
    </row>
    <row r="1485">
      <c r="A1485" s="11">
        <f>IF('Data Entry'!A1485="","",'Data Entry'!A1485)</f>
        <v/>
      </c>
      <c r="B1485" s="12">
        <f>IF('Data Entry'!A1485="","",'Data Entry'!B1485)</f>
        <v/>
      </c>
      <c r="C1485" s="12">
        <f>IF('Data Entry'!A1485="","",'Data Entry'!C1485)</f>
        <v/>
      </c>
      <c r="D1485" s="12">
        <f>IF('Data Entry'!A1485="","",'Data Entry'!D1485)</f>
        <v/>
      </c>
      <c r="E1485" s="12">
        <f>IF('Data Entry'!A1485="","",'Data Entry'!E1485)</f>
        <v/>
      </c>
      <c r="F1485" s="12">
        <f>IF('Data Entry'!A1485="","",'Data Entry'!F1485)</f>
        <v/>
      </c>
      <c r="G1485" s="13">
        <f>IF('Data Entry'!A1485="","",'Data Entry'!G1485)</f>
        <v/>
      </c>
      <c r="H1485" s="10">
        <f>IF('Data Entry'!A1485="","",'Data Entry'!H1485)</f>
        <v/>
      </c>
      <c r="I1485" s="10">
        <f>IF('Data Entry'!A1485="","",'Data Entry'!I1485)</f>
        <v/>
      </c>
      <c r="J1485" s="12">
        <f>IF('Data Entry'!A1485="","",IF('Data Entry'!D1485&lt;&gt;"",'Data Entry'!D1485,'Data Entry'!E1485))</f>
        <v/>
      </c>
      <c r="K1485" s="10">
        <f>IF('Data Entry'!A1485="","",IFERROR(SUMIFS($H$5:$H$2001,$J$5:$J$2001,$J1485,$B$5:$B$2001,$B1485,$A$5:$A$2001,(MAXIFS($A$5:$A$2001,$J$5:$J$2001,$J1485,$B$5:$B$2001,$B1485,$A$5:$A$2001,"&lt;"&amp;$A1485))),""))</f>
        <v/>
      </c>
      <c r="L1485" s="14">
        <f>IF(OR('Data Entry'!A1485="",$K1485=""),"",$H1485-$K1485)</f>
        <v/>
      </c>
      <c r="M1485" s="15">
        <f>IF(OR('Data Entry'!A1485="",$K1485="",$K1485=0),"",$L1485/$K1485)</f>
        <v/>
      </c>
      <c r="N1485" s="12">
        <f>IF('Data Entry'!A1485="","",IF($L1485="","New item",IF($L1485&gt;0,"UP",IF($L1485&lt;0,"down","same"))))</f>
        <v/>
      </c>
    </row>
    <row r="1486">
      <c r="A1486" s="11">
        <f>IF('Data Entry'!A1486="","",'Data Entry'!A1486)</f>
        <v/>
      </c>
      <c r="B1486" s="12">
        <f>IF('Data Entry'!A1486="","",'Data Entry'!B1486)</f>
        <v/>
      </c>
      <c r="C1486" s="12">
        <f>IF('Data Entry'!A1486="","",'Data Entry'!C1486)</f>
        <v/>
      </c>
      <c r="D1486" s="12">
        <f>IF('Data Entry'!A1486="","",'Data Entry'!D1486)</f>
        <v/>
      </c>
      <c r="E1486" s="12">
        <f>IF('Data Entry'!A1486="","",'Data Entry'!E1486)</f>
        <v/>
      </c>
      <c r="F1486" s="12">
        <f>IF('Data Entry'!A1486="","",'Data Entry'!F1486)</f>
        <v/>
      </c>
      <c r="G1486" s="13">
        <f>IF('Data Entry'!A1486="","",'Data Entry'!G1486)</f>
        <v/>
      </c>
      <c r="H1486" s="10">
        <f>IF('Data Entry'!A1486="","",'Data Entry'!H1486)</f>
        <v/>
      </c>
      <c r="I1486" s="10">
        <f>IF('Data Entry'!A1486="","",'Data Entry'!I1486)</f>
        <v/>
      </c>
      <c r="J1486" s="12">
        <f>IF('Data Entry'!A1486="","",IF('Data Entry'!D1486&lt;&gt;"",'Data Entry'!D1486,'Data Entry'!E1486))</f>
        <v/>
      </c>
      <c r="K1486" s="10">
        <f>IF('Data Entry'!A1486="","",IFERROR(SUMIFS($H$5:$H$2001,$J$5:$J$2001,$J1486,$B$5:$B$2001,$B1486,$A$5:$A$2001,(MAXIFS($A$5:$A$2001,$J$5:$J$2001,$J1486,$B$5:$B$2001,$B1486,$A$5:$A$2001,"&lt;"&amp;$A1486))),""))</f>
        <v/>
      </c>
      <c r="L1486" s="14">
        <f>IF(OR('Data Entry'!A1486="",$K1486=""),"",$H1486-$K1486)</f>
        <v/>
      </c>
      <c r="M1486" s="15">
        <f>IF(OR('Data Entry'!A1486="",$K1486="",$K1486=0),"",$L1486/$K1486)</f>
        <v/>
      </c>
      <c r="N1486" s="12">
        <f>IF('Data Entry'!A1486="","",IF($L1486="","New item",IF($L1486&gt;0,"UP",IF($L1486&lt;0,"down","same"))))</f>
        <v/>
      </c>
    </row>
    <row r="1487">
      <c r="A1487" s="11">
        <f>IF('Data Entry'!A1487="","",'Data Entry'!A1487)</f>
        <v/>
      </c>
      <c r="B1487" s="12">
        <f>IF('Data Entry'!A1487="","",'Data Entry'!B1487)</f>
        <v/>
      </c>
      <c r="C1487" s="12">
        <f>IF('Data Entry'!A1487="","",'Data Entry'!C1487)</f>
        <v/>
      </c>
      <c r="D1487" s="12">
        <f>IF('Data Entry'!A1487="","",'Data Entry'!D1487)</f>
        <v/>
      </c>
      <c r="E1487" s="12">
        <f>IF('Data Entry'!A1487="","",'Data Entry'!E1487)</f>
        <v/>
      </c>
      <c r="F1487" s="12">
        <f>IF('Data Entry'!A1487="","",'Data Entry'!F1487)</f>
        <v/>
      </c>
      <c r="G1487" s="13">
        <f>IF('Data Entry'!A1487="","",'Data Entry'!G1487)</f>
        <v/>
      </c>
      <c r="H1487" s="10">
        <f>IF('Data Entry'!A1487="","",'Data Entry'!H1487)</f>
        <v/>
      </c>
      <c r="I1487" s="10">
        <f>IF('Data Entry'!A1487="","",'Data Entry'!I1487)</f>
        <v/>
      </c>
      <c r="J1487" s="12">
        <f>IF('Data Entry'!A1487="","",IF('Data Entry'!D1487&lt;&gt;"",'Data Entry'!D1487,'Data Entry'!E1487))</f>
        <v/>
      </c>
      <c r="K1487" s="10">
        <f>IF('Data Entry'!A1487="","",IFERROR(SUMIFS($H$5:$H$2001,$J$5:$J$2001,$J1487,$B$5:$B$2001,$B1487,$A$5:$A$2001,(MAXIFS($A$5:$A$2001,$J$5:$J$2001,$J1487,$B$5:$B$2001,$B1487,$A$5:$A$2001,"&lt;"&amp;$A1487))),""))</f>
        <v/>
      </c>
      <c r="L1487" s="14">
        <f>IF(OR('Data Entry'!A1487="",$K1487=""),"",$H1487-$K1487)</f>
        <v/>
      </c>
      <c r="M1487" s="15">
        <f>IF(OR('Data Entry'!A1487="",$K1487="",$K1487=0),"",$L1487/$K1487)</f>
        <v/>
      </c>
      <c r="N1487" s="12">
        <f>IF('Data Entry'!A1487="","",IF($L1487="","New item",IF($L1487&gt;0,"UP",IF($L1487&lt;0,"down","same"))))</f>
        <v/>
      </c>
    </row>
    <row r="1488">
      <c r="A1488" s="11">
        <f>IF('Data Entry'!A1488="","",'Data Entry'!A1488)</f>
        <v/>
      </c>
      <c r="B1488" s="12">
        <f>IF('Data Entry'!A1488="","",'Data Entry'!B1488)</f>
        <v/>
      </c>
      <c r="C1488" s="12">
        <f>IF('Data Entry'!A1488="","",'Data Entry'!C1488)</f>
        <v/>
      </c>
      <c r="D1488" s="12">
        <f>IF('Data Entry'!A1488="","",'Data Entry'!D1488)</f>
        <v/>
      </c>
      <c r="E1488" s="12">
        <f>IF('Data Entry'!A1488="","",'Data Entry'!E1488)</f>
        <v/>
      </c>
      <c r="F1488" s="12">
        <f>IF('Data Entry'!A1488="","",'Data Entry'!F1488)</f>
        <v/>
      </c>
      <c r="G1488" s="13">
        <f>IF('Data Entry'!A1488="","",'Data Entry'!G1488)</f>
        <v/>
      </c>
      <c r="H1488" s="10">
        <f>IF('Data Entry'!A1488="","",'Data Entry'!H1488)</f>
        <v/>
      </c>
      <c r="I1488" s="10">
        <f>IF('Data Entry'!A1488="","",'Data Entry'!I1488)</f>
        <v/>
      </c>
      <c r="J1488" s="12">
        <f>IF('Data Entry'!A1488="","",IF('Data Entry'!D1488&lt;&gt;"",'Data Entry'!D1488,'Data Entry'!E1488))</f>
        <v/>
      </c>
      <c r="K1488" s="10">
        <f>IF('Data Entry'!A1488="","",IFERROR(SUMIFS($H$5:$H$2001,$J$5:$J$2001,$J1488,$B$5:$B$2001,$B1488,$A$5:$A$2001,(MAXIFS($A$5:$A$2001,$J$5:$J$2001,$J1488,$B$5:$B$2001,$B1488,$A$5:$A$2001,"&lt;"&amp;$A1488))),""))</f>
        <v/>
      </c>
      <c r="L1488" s="14">
        <f>IF(OR('Data Entry'!A1488="",$K1488=""),"",$H1488-$K1488)</f>
        <v/>
      </c>
      <c r="M1488" s="15">
        <f>IF(OR('Data Entry'!A1488="",$K1488="",$K1488=0),"",$L1488/$K1488)</f>
        <v/>
      </c>
      <c r="N1488" s="12">
        <f>IF('Data Entry'!A1488="","",IF($L1488="","New item",IF($L1488&gt;0,"UP",IF($L1488&lt;0,"down","same"))))</f>
        <v/>
      </c>
    </row>
    <row r="1489">
      <c r="A1489" s="11">
        <f>IF('Data Entry'!A1489="","",'Data Entry'!A1489)</f>
        <v/>
      </c>
      <c r="B1489" s="12">
        <f>IF('Data Entry'!A1489="","",'Data Entry'!B1489)</f>
        <v/>
      </c>
      <c r="C1489" s="12">
        <f>IF('Data Entry'!A1489="","",'Data Entry'!C1489)</f>
        <v/>
      </c>
      <c r="D1489" s="12">
        <f>IF('Data Entry'!A1489="","",'Data Entry'!D1489)</f>
        <v/>
      </c>
      <c r="E1489" s="12">
        <f>IF('Data Entry'!A1489="","",'Data Entry'!E1489)</f>
        <v/>
      </c>
      <c r="F1489" s="12">
        <f>IF('Data Entry'!A1489="","",'Data Entry'!F1489)</f>
        <v/>
      </c>
      <c r="G1489" s="13">
        <f>IF('Data Entry'!A1489="","",'Data Entry'!G1489)</f>
        <v/>
      </c>
      <c r="H1489" s="10">
        <f>IF('Data Entry'!A1489="","",'Data Entry'!H1489)</f>
        <v/>
      </c>
      <c r="I1489" s="10">
        <f>IF('Data Entry'!A1489="","",'Data Entry'!I1489)</f>
        <v/>
      </c>
      <c r="J1489" s="12">
        <f>IF('Data Entry'!A1489="","",IF('Data Entry'!D1489&lt;&gt;"",'Data Entry'!D1489,'Data Entry'!E1489))</f>
        <v/>
      </c>
      <c r="K1489" s="10">
        <f>IF('Data Entry'!A1489="","",IFERROR(SUMIFS($H$5:$H$2001,$J$5:$J$2001,$J1489,$B$5:$B$2001,$B1489,$A$5:$A$2001,(MAXIFS($A$5:$A$2001,$J$5:$J$2001,$J1489,$B$5:$B$2001,$B1489,$A$5:$A$2001,"&lt;"&amp;$A1489))),""))</f>
        <v/>
      </c>
      <c r="L1489" s="14">
        <f>IF(OR('Data Entry'!A1489="",$K1489=""),"",$H1489-$K1489)</f>
        <v/>
      </c>
      <c r="M1489" s="15">
        <f>IF(OR('Data Entry'!A1489="",$K1489="",$K1489=0),"",$L1489/$K1489)</f>
        <v/>
      </c>
      <c r="N1489" s="12">
        <f>IF('Data Entry'!A1489="","",IF($L1489="","New item",IF($L1489&gt;0,"UP",IF($L1489&lt;0,"down","same"))))</f>
        <v/>
      </c>
    </row>
    <row r="1490">
      <c r="A1490" s="11">
        <f>IF('Data Entry'!A1490="","",'Data Entry'!A1490)</f>
        <v/>
      </c>
      <c r="B1490" s="12">
        <f>IF('Data Entry'!A1490="","",'Data Entry'!B1490)</f>
        <v/>
      </c>
      <c r="C1490" s="12">
        <f>IF('Data Entry'!A1490="","",'Data Entry'!C1490)</f>
        <v/>
      </c>
      <c r="D1490" s="12">
        <f>IF('Data Entry'!A1490="","",'Data Entry'!D1490)</f>
        <v/>
      </c>
      <c r="E1490" s="12">
        <f>IF('Data Entry'!A1490="","",'Data Entry'!E1490)</f>
        <v/>
      </c>
      <c r="F1490" s="12">
        <f>IF('Data Entry'!A1490="","",'Data Entry'!F1490)</f>
        <v/>
      </c>
      <c r="G1490" s="13">
        <f>IF('Data Entry'!A1490="","",'Data Entry'!G1490)</f>
        <v/>
      </c>
      <c r="H1490" s="10">
        <f>IF('Data Entry'!A1490="","",'Data Entry'!H1490)</f>
        <v/>
      </c>
      <c r="I1490" s="10">
        <f>IF('Data Entry'!A1490="","",'Data Entry'!I1490)</f>
        <v/>
      </c>
      <c r="J1490" s="12">
        <f>IF('Data Entry'!A1490="","",IF('Data Entry'!D1490&lt;&gt;"",'Data Entry'!D1490,'Data Entry'!E1490))</f>
        <v/>
      </c>
      <c r="K1490" s="10">
        <f>IF('Data Entry'!A1490="","",IFERROR(SUMIFS($H$5:$H$2001,$J$5:$J$2001,$J1490,$B$5:$B$2001,$B1490,$A$5:$A$2001,(MAXIFS($A$5:$A$2001,$J$5:$J$2001,$J1490,$B$5:$B$2001,$B1490,$A$5:$A$2001,"&lt;"&amp;$A1490))),""))</f>
        <v/>
      </c>
      <c r="L1490" s="14">
        <f>IF(OR('Data Entry'!A1490="",$K1490=""),"",$H1490-$K1490)</f>
        <v/>
      </c>
      <c r="M1490" s="15">
        <f>IF(OR('Data Entry'!A1490="",$K1490="",$K1490=0),"",$L1490/$K1490)</f>
        <v/>
      </c>
      <c r="N1490" s="12">
        <f>IF('Data Entry'!A1490="","",IF($L1490="","New item",IF($L1490&gt;0,"UP",IF($L1490&lt;0,"down","same"))))</f>
        <v/>
      </c>
    </row>
    <row r="1491">
      <c r="A1491" s="11">
        <f>IF('Data Entry'!A1491="","",'Data Entry'!A1491)</f>
        <v/>
      </c>
      <c r="B1491" s="12">
        <f>IF('Data Entry'!A1491="","",'Data Entry'!B1491)</f>
        <v/>
      </c>
      <c r="C1491" s="12">
        <f>IF('Data Entry'!A1491="","",'Data Entry'!C1491)</f>
        <v/>
      </c>
      <c r="D1491" s="12">
        <f>IF('Data Entry'!A1491="","",'Data Entry'!D1491)</f>
        <v/>
      </c>
      <c r="E1491" s="12">
        <f>IF('Data Entry'!A1491="","",'Data Entry'!E1491)</f>
        <v/>
      </c>
      <c r="F1491" s="12">
        <f>IF('Data Entry'!A1491="","",'Data Entry'!F1491)</f>
        <v/>
      </c>
      <c r="G1491" s="13">
        <f>IF('Data Entry'!A1491="","",'Data Entry'!G1491)</f>
        <v/>
      </c>
      <c r="H1491" s="10">
        <f>IF('Data Entry'!A1491="","",'Data Entry'!H1491)</f>
        <v/>
      </c>
      <c r="I1491" s="10">
        <f>IF('Data Entry'!A1491="","",'Data Entry'!I1491)</f>
        <v/>
      </c>
      <c r="J1491" s="12">
        <f>IF('Data Entry'!A1491="","",IF('Data Entry'!D1491&lt;&gt;"",'Data Entry'!D1491,'Data Entry'!E1491))</f>
        <v/>
      </c>
      <c r="K1491" s="10">
        <f>IF('Data Entry'!A1491="","",IFERROR(SUMIFS($H$5:$H$2001,$J$5:$J$2001,$J1491,$B$5:$B$2001,$B1491,$A$5:$A$2001,(MAXIFS($A$5:$A$2001,$J$5:$J$2001,$J1491,$B$5:$B$2001,$B1491,$A$5:$A$2001,"&lt;"&amp;$A1491))),""))</f>
        <v/>
      </c>
      <c r="L1491" s="14">
        <f>IF(OR('Data Entry'!A1491="",$K1491=""),"",$H1491-$K1491)</f>
        <v/>
      </c>
      <c r="M1491" s="15">
        <f>IF(OR('Data Entry'!A1491="",$K1491="",$K1491=0),"",$L1491/$K1491)</f>
        <v/>
      </c>
      <c r="N1491" s="12">
        <f>IF('Data Entry'!A1491="","",IF($L1491="","New item",IF($L1491&gt;0,"UP",IF($L1491&lt;0,"down","same"))))</f>
        <v/>
      </c>
    </row>
    <row r="1492">
      <c r="A1492" s="11">
        <f>IF('Data Entry'!A1492="","",'Data Entry'!A1492)</f>
        <v/>
      </c>
      <c r="B1492" s="12">
        <f>IF('Data Entry'!A1492="","",'Data Entry'!B1492)</f>
        <v/>
      </c>
      <c r="C1492" s="12">
        <f>IF('Data Entry'!A1492="","",'Data Entry'!C1492)</f>
        <v/>
      </c>
      <c r="D1492" s="12">
        <f>IF('Data Entry'!A1492="","",'Data Entry'!D1492)</f>
        <v/>
      </c>
      <c r="E1492" s="12">
        <f>IF('Data Entry'!A1492="","",'Data Entry'!E1492)</f>
        <v/>
      </c>
      <c r="F1492" s="12">
        <f>IF('Data Entry'!A1492="","",'Data Entry'!F1492)</f>
        <v/>
      </c>
      <c r="G1492" s="13">
        <f>IF('Data Entry'!A1492="","",'Data Entry'!G1492)</f>
        <v/>
      </c>
      <c r="H1492" s="10">
        <f>IF('Data Entry'!A1492="","",'Data Entry'!H1492)</f>
        <v/>
      </c>
      <c r="I1492" s="10">
        <f>IF('Data Entry'!A1492="","",'Data Entry'!I1492)</f>
        <v/>
      </c>
      <c r="J1492" s="12">
        <f>IF('Data Entry'!A1492="","",IF('Data Entry'!D1492&lt;&gt;"",'Data Entry'!D1492,'Data Entry'!E1492))</f>
        <v/>
      </c>
      <c r="K1492" s="10">
        <f>IF('Data Entry'!A1492="","",IFERROR(SUMIFS($H$5:$H$2001,$J$5:$J$2001,$J1492,$B$5:$B$2001,$B1492,$A$5:$A$2001,(MAXIFS($A$5:$A$2001,$J$5:$J$2001,$J1492,$B$5:$B$2001,$B1492,$A$5:$A$2001,"&lt;"&amp;$A1492))),""))</f>
        <v/>
      </c>
      <c r="L1492" s="14">
        <f>IF(OR('Data Entry'!A1492="",$K1492=""),"",$H1492-$K1492)</f>
        <v/>
      </c>
      <c r="M1492" s="15">
        <f>IF(OR('Data Entry'!A1492="",$K1492="",$K1492=0),"",$L1492/$K1492)</f>
        <v/>
      </c>
      <c r="N1492" s="12">
        <f>IF('Data Entry'!A1492="","",IF($L1492="","New item",IF($L1492&gt;0,"UP",IF($L1492&lt;0,"down","same"))))</f>
        <v/>
      </c>
    </row>
    <row r="1493">
      <c r="A1493" s="11">
        <f>IF('Data Entry'!A1493="","",'Data Entry'!A1493)</f>
        <v/>
      </c>
      <c r="B1493" s="12">
        <f>IF('Data Entry'!A1493="","",'Data Entry'!B1493)</f>
        <v/>
      </c>
      <c r="C1493" s="12">
        <f>IF('Data Entry'!A1493="","",'Data Entry'!C1493)</f>
        <v/>
      </c>
      <c r="D1493" s="12">
        <f>IF('Data Entry'!A1493="","",'Data Entry'!D1493)</f>
        <v/>
      </c>
      <c r="E1493" s="12">
        <f>IF('Data Entry'!A1493="","",'Data Entry'!E1493)</f>
        <v/>
      </c>
      <c r="F1493" s="12">
        <f>IF('Data Entry'!A1493="","",'Data Entry'!F1493)</f>
        <v/>
      </c>
      <c r="G1493" s="13">
        <f>IF('Data Entry'!A1493="","",'Data Entry'!G1493)</f>
        <v/>
      </c>
      <c r="H1493" s="10">
        <f>IF('Data Entry'!A1493="","",'Data Entry'!H1493)</f>
        <v/>
      </c>
      <c r="I1493" s="10">
        <f>IF('Data Entry'!A1493="","",'Data Entry'!I1493)</f>
        <v/>
      </c>
      <c r="J1493" s="12">
        <f>IF('Data Entry'!A1493="","",IF('Data Entry'!D1493&lt;&gt;"",'Data Entry'!D1493,'Data Entry'!E1493))</f>
        <v/>
      </c>
      <c r="K1493" s="10">
        <f>IF('Data Entry'!A1493="","",IFERROR(SUMIFS($H$5:$H$2001,$J$5:$J$2001,$J1493,$B$5:$B$2001,$B1493,$A$5:$A$2001,(MAXIFS($A$5:$A$2001,$J$5:$J$2001,$J1493,$B$5:$B$2001,$B1493,$A$5:$A$2001,"&lt;"&amp;$A1493))),""))</f>
        <v/>
      </c>
      <c r="L1493" s="14">
        <f>IF(OR('Data Entry'!A1493="",$K1493=""),"",$H1493-$K1493)</f>
        <v/>
      </c>
      <c r="M1493" s="15">
        <f>IF(OR('Data Entry'!A1493="",$K1493="",$K1493=0),"",$L1493/$K1493)</f>
        <v/>
      </c>
      <c r="N1493" s="12">
        <f>IF('Data Entry'!A1493="","",IF($L1493="","New item",IF($L1493&gt;0,"UP",IF($L1493&lt;0,"down","same"))))</f>
        <v/>
      </c>
    </row>
    <row r="1494">
      <c r="A1494" s="11">
        <f>IF('Data Entry'!A1494="","",'Data Entry'!A1494)</f>
        <v/>
      </c>
      <c r="B1494" s="12">
        <f>IF('Data Entry'!A1494="","",'Data Entry'!B1494)</f>
        <v/>
      </c>
      <c r="C1494" s="12">
        <f>IF('Data Entry'!A1494="","",'Data Entry'!C1494)</f>
        <v/>
      </c>
      <c r="D1494" s="12">
        <f>IF('Data Entry'!A1494="","",'Data Entry'!D1494)</f>
        <v/>
      </c>
      <c r="E1494" s="12">
        <f>IF('Data Entry'!A1494="","",'Data Entry'!E1494)</f>
        <v/>
      </c>
      <c r="F1494" s="12">
        <f>IF('Data Entry'!A1494="","",'Data Entry'!F1494)</f>
        <v/>
      </c>
      <c r="G1494" s="13">
        <f>IF('Data Entry'!A1494="","",'Data Entry'!G1494)</f>
        <v/>
      </c>
      <c r="H1494" s="10">
        <f>IF('Data Entry'!A1494="","",'Data Entry'!H1494)</f>
        <v/>
      </c>
      <c r="I1494" s="10">
        <f>IF('Data Entry'!A1494="","",'Data Entry'!I1494)</f>
        <v/>
      </c>
      <c r="J1494" s="12">
        <f>IF('Data Entry'!A1494="","",IF('Data Entry'!D1494&lt;&gt;"",'Data Entry'!D1494,'Data Entry'!E1494))</f>
        <v/>
      </c>
      <c r="K1494" s="10">
        <f>IF('Data Entry'!A1494="","",IFERROR(SUMIFS($H$5:$H$2001,$J$5:$J$2001,$J1494,$B$5:$B$2001,$B1494,$A$5:$A$2001,(MAXIFS($A$5:$A$2001,$J$5:$J$2001,$J1494,$B$5:$B$2001,$B1494,$A$5:$A$2001,"&lt;"&amp;$A1494))),""))</f>
        <v/>
      </c>
      <c r="L1494" s="14">
        <f>IF(OR('Data Entry'!A1494="",$K1494=""),"",$H1494-$K1494)</f>
        <v/>
      </c>
      <c r="M1494" s="15">
        <f>IF(OR('Data Entry'!A1494="",$K1494="",$K1494=0),"",$L1494/$K1494)</f>
        <v/>
      </c>
      <c r="N1494" s="12">
        <f>IF('Data Entry'!A1494="","",IF($L1494="","New item",IF($L1494&gt;0,"UP",IF($L1494&lt;0,"down","same"))))</f>
        <v/>
      </c>
    </row>
    <row r="1495">
      <c r="A1495" s="11">
        <f>IF('Data Entry'!A1495="","",'Data Entry'!A1495)</f>
        <v/>
      </c>
      <c r="B1495" s="12">
        <f>IF('Data Entry'!A1495="","",'Data Entry'!B1495)</f>
        <v/>
      </c>
      <c r="C1495" s="12">
        <f>IF('Data Entry'!A1495="","",'Data Entry'!C1495)</f>
        <v/>
      </c>
      <c r="D1495" s="12">
        <f>IF('Data Entry'!A1495="","",'Data Entry'!D1495)</f>
        <v/>
      </c>
      <c r="E1495" s="12">
        <f>IF('Data Entry'!A1495="","",'Data Entry'!E1495)</f>
        <v/>
      </c>
      <c r="F1495" s="12">
        <f>IF('Data Entry'!A1495="","",'Data Entry'!F1495)</f>
        <v/>
      </c>
      <c r="G1495" s="13">
        <f>IF('Data Entry'!A1495="","",'Data Entry'!G1495)</f>
        <v/>
      </c>
      <c r="H1495" s="10">
        <f>IF('Data Entry'!A1495="","",'Data Entry'!H1495)</f>
        <v/>
      </c>
      <c r="I1495" s="10">
        <f>IF('Data Entry'!A1495="","",'Data Entry'!I1495)</f>
        <v/>
      </c>
      <c r="J1495" s="12">
        <f>IF('Data Entry'!A1495="","",IF('Data Entry'!D1495&lt;&gt;"",'Data Entry'!D1495,'Data Entry'!E1495))</f>
        <v/>
      </c>
      <c r="K1495" s="10">
        <f>IF('Data Entry'!A1495="","",IFERROR(SUMIFS($H$5:$H$2001,$J$5:$J$2001,$J1495,$B$5:$B$2001,$B1495,$A$5:$A$2001,(MAXIFS($A$5:$A$2001,$J$5:$J$2001,$J1495,$B$5:$B$2001,$B1495,$A$5:$A$2001,"&lt;"&amp;$A1495))),""))</f>
        <v/>
      </c>
      <c r="L1495" s="14">
        <f>IF(OR('Data Entry'!A1495="",$K1495=""),"",$H1495-$K1495)</f>
        <v/>
      </c>
      <c r="M1495" s="15">
        <f>IF(OR('Data Entry'!A1495="",$K1495="",$K1495=0),"",$L1495/$K1495)</f>
        <v/>
      </c>
      <c r="N1495" s="12">
        <f>IF('Data Entry'!A1495="","",IF($L1495="","New item",IF($L1495&gt;0,"UP",IF($L1495&lt;0,"down","same"))))</f>
        <v/>
      </c>
    </row>
    <row r="1496">
      <c r="A1496" s="11">
        <f>IF('Data Entry'!A1496="","",'Data Entry'!A1496)</f>
        <v/>
      </c>
      <c r="B1496" s="12">
        <f>IF('Data Entry'!A1496="","",'Data Entry'!B1496)</f>
        <v/>
      </c>
      <c r="C1496" s="12">
        <f>IF('Data Entry'!A1496="","",'Data Entry'!C1496)</f>
        <v/>
      </c>
      <c r="D1496" s="12">
        <f>IF('Data Entry'!A1496="","",'Data Entry'!D1496)</f>
        <v/>
      </c>
      <c r="E1496" s="12">
        <f>IF('Data Entry'!A1496="","",'Data Entry'!E1496)</f>
        <v/>
      </c>
      <c r="F1496" s="12">
        <f>IF('Data Entry'!A1496="","",'Data Entry'!F1496)</f>
        <v/>
      </c>
      <c r="G1496" s="13">
        <f>IF('Data Entry'!A1496="","",'Data Entry'!G1496)</f>
        <v/>
      </c>
      <c r="H1496" s="10">
        <f>IF('Data Entry'!A1496="","",'Data Entry'!H1496)</f>
        <v/>
      </c>
      <c r="I1496" s="10">
        <f>IF('Data Entry'!A1496="","",'Data Entry'!I1496)</f>
        <v/>
      </c>
      <c r="J1496" s="12">
        <f>IF('Data Entry'!A1496="","",IF('Data Entry'!D1496&lt;&gt;"",'Data Entry'!D1496,'Data Entry'!E1496))</f>
        <v/>
      </c>
      <c r="K1496" s="10">
        <f>IF('Data Entry'!A1496="","",IFERROR(SUMIFS($H$5:$H$2001,$J$5:$J$2001,$J1496,$B$5:$B$2001,$B1496,$A$5:$A$2001,(MAXIFS($A$5:$A$2001,$J$5:$J$2001,$J1496,$B$5:$B$2001,$B1496,$A$5:$A$2001,"&lt;"&amp;$A1496))),""))</f>
        <v/>
      </c>
      <c r="L1496" s="14">
        <f>IF(OR('Data Entry'!A1496="",$K1496=""),"",$H1496-$K1496)</f>
        <v/>
      </c>
      <c r="M1496" s="15">
        <f>IF(OR('Data Entry'!A1496="",$K1496="",$K1496=0),"",$L1496/$K1496)</f>
        <v/>
      </c>
      <c r="N1496" s="12">
        <f>IF('Data Entry'!A1496="","",IF($L1496="","New item",IF($L1496&gt;0,"UP",IF($L1496&lt;0,"down","same"))))</f>
        <v/>
      </c>
    </row>
    <row r="1497">
      <c r="A1497" s="11">
        <f>IF('Data Entry'!A1497="","",'Data Entry'!A1497)</f>
        <v/>
      </c>
      <c r="B1497" s="12">
        <f>IF('Data Entry'!A1497="","",'Data Entry'!B1497)</f>
        <v/>
      </c>
      <c r="C1497" s="12">
        <f>IF('Data Entry'!A1497="","",'Data Entry'!C1497)</f>
        <v/>
      </c>
      <c r="D1497" s="12">
        <f>IF('Data Entry'!A1497="","",'Data Entry'!D1497)</f>
        <v/>
      </c>
      <c r="E1497" s="12">
        <f>IF('Data Entry'!A1497="","",'Data Entry'!E1497)</f>
        <v/>
      </c>
      <c r="F1497" s="12">
        <f>IF('Data Entry'!A1497="","",'Data Entry'!F1497)</f>
        <v/>
      </c>
      <c r="G1497" s="13">
        <f>IF('Data Entry'!A1497="","",'Data Entry'!G1497)</f>
        <v/>
      </c>
      <c r="H1497" s="10">
        <f>IF('Data Entry'!A1497="","",'Data Entry'!H1497)</f>
        <v/>
      </c>
      <c r="I1497" s="10">
        <f>IF('Data Entry'!A1497="","",'Data Entry'!I1497)</f>
        <v/>
      </c>
      <c r="J1497" s="12">
        <f>IF('Data Entry'!A1497="","",IF('Data Entry'!D1497&lt;&gt;"",'Data Entry'!D1497,'Data Entry'!E1497))</f>
        <v/>
      </c>
      <c r="K1497" s="10">
        <f>IF('Data Entry'!A1497="","",IFERROR(SUMIFS($H$5:$H$2001,$J$5:$J$2001,$J1497,$B$5:$B$2001,$B1497,$A$5:$A$2001,(MAXIFS($A$5:$A$2001,$J$5:$J$2001,$J1497,$B$5:$B$2001,$B1497,$A$5:$A$2001,"&lt;"&amp;$A1497))),""))</f>
        <v/>
      </c>
      <c r="L1497" s="14">
        <f>IF(OR('Data Entry'!A1497="",$K1497=""),"",$H1497-$K1497)</f>
        <v/>
      </c>
      <c r="M1497" s="15">
        <f>IF(OR('Data Entry'!A1497="",$K1497="",$K1497=0),"",$L1497/$K1497)</f>
        <v/>
      </c>
      <c r="N1497" s="12">
        <f>IF('Data Entry'!A1497="","",IF($L1497="","New item",IF($L1497&gt;0,"UP",IF($L1497&lt;0,"down","same"))))</f>
        <v/>
      </c>
    </row>
    <row r="1498">
      <c r="A1498" s="11">
        <f>IF('Data Entry'!A1498="","",'Data Entry'!A1498)</f>
        <v/>
      </c>
      <c r="B1498" s="12">
        <f>IF('Data Entry'!A1498="","",'Data Entry'!B1498)</f>
        <v/>
      </c>
      <c r="C1498" s="12">
        <f>IF('Data Entry'!A1498="","",'Data Entry'!C1498)</f>
        <v/>
      </c>
      <c r="D1498" s="12">
        <f>IF('Data Entry'!A1498="","",'Data Entry'!D1498)</f>
        <v/>
      </c>
      <c r="E1498" s="12">
        <f>IF('Data Entry'!A1498="","",'Data Entry'!E1498)</f>
        <v/>
      </c>
      <c r="F1498" s="12">
        <f>IF('Data Entry'!A1498="","",'Data Entry'!F1498)</f>
        <v/>
      </c>
      <c r="G1498" s="13">
        <f>IF('Data Entry'!A1498="","",'Data Entry'!G1498)</f>
        <v/>
      </c>
      <c r="H1498" s="10">
        <f>IF('Data Entry'!A1498="","",'Data Entry'!H1498)</f>
        <v/>
      </c>
      <c r="I1498" s="10">
        <f>IF('Data Entry'!A1498="","",'Data Entry'!I1498)</f>
        <v/>
      </c>
      <c r="J1498" s="12">
        <f>IF('Data Entry'!A1498="","",IF('Data Entry'!D1498&lt;&gt;"",'Data Entry'!D1498,'Data Entry'!E1498))</f>
        <v/>
      </c>
      <c r="K1498" s="10">
        <f>IF('Data Entry'!A1498="","",IFERROR(SUMIFS($H$5:$H$2001,$J$5:$J$2001,$J1498,$B$5:$B$2001,$B1498,$A$5:$A$2001,(MAXIFS($A$5:$A$2001,$J$5:$J$2001,$J1498,$B$5:$B$2001,$B1498,$A$5:$A$2001,"&lt;"&amp;$A1498))),""))</f>
        <v/>
      </c>
      <c r="L1498" s="14">
        <f>IF(OR('Data Entry'!A1498="",$K1498=""),"",$H1498-$K1498)</f>
        <v/>
      </c>
      <c r="M1498" s="15">
        <f>IF(OR('Data Entry'!A1498="",$K1498="",$K1498=0),"",$L1498/$K1498)</f>
        <v/>
      </c>
      <c r="N1498" s="12">
        <f>IF('Data Entry'!A1498="","",IF($L1498="","New item",IF($L1498&gt;0,"UP",IF($L1498&lt;0,"down","same"))))</f>
        <v/>
      </c>
    </row>
    <row r="1499">
      <c r="A1499" s="11">
        <f>IF('Data Entry'!A1499="","",'Data Entry'!A1499)</f>
        <v/>
      </c>
      <c r="B1499" s="12">
        <f>IF('Data Entry'!A1499="","",'Data Entry'!B1499)</f>
        <v/>
      </c>
      <c r="C1499" s="12">
        <f>IF('Data Entry'!A1499="","",'Data Entry'!C1499)</f>
        <v/>
      </c>
      <c r="D1499" s="12">
        <f>IF('Data Entry'!A1499="","",'Data Entry'!D1499)</f>
        <v/>
      </c>
      <c r="E1499" s="12">
        <f>IF('Data Entry'!A1499="","",'Data Entry'!E1499)</f>
        <v/>
      </c>
      <c r="F1499" s="12">
        <f>IF('Data Entry'!A1499="","",'Data Entry'!F1499)</f>
        <v/>
      </c>
      <c r="G1499" s="13">
        <f>IF('Data Entry'!A1499="","",'Data Entry'!G1499)</f>
        <v/>
      </c>
      <c r="H1499" s="10">
        <f>IF('Data Entry'!A1499="","",'Data Entry'!H1499)</f>
        <v/>
      </c>
      <c r="I1499" s="10">
        <f>IF('Data Entry'!A1499="","",'Data Entry'!I1499)</f>
        <v/>
      </c>
      <c r="J1499" s="12">
        <f>IF('Data Entry'!A1499="","",IF('Data Entry'!D1499&lt;&gt;"",'Data Entry'!D1499,'Data Entry'!E1499))</f>
        <v/>
      </c>
      <c r="K1499" s="10">
        <f>IF('Data Entry'!A1499="","",IFERROR(SUMIFS($H$5:$H$2001,$J$5:$J$2001,$J1499,$B$5:$B$2001,$B1499,$A$5:$A$2001,(MAXIFS($A$5:$A$2001,$J$5:$J$2001,$J1499,$B$5:$B$2001,$B1499,$A$5:$A$2001,"&lt;"&amp;$A1499))),""))</f>
        <v/>
      </c>
      <c r="L1499" s="14">
        <f>IF(OR('Data Entry'!A1499="",$K1499=""),"",$H1499-$K1499)</f>
        <v/>
      </c>
      <c r="M1499" s="15">
        <f>IF(OR('Data Entry'!A1499="",$K1499="",$K1499=0),"",$L1499/$K1499)</f>
        <v/>
      </c>
      <c r="N1499" s="12">
        <f>IF('Data Entry'!A1499="","",IF($L1499="","New item",IF($L1499&gt;0,"UP",IF($L1499&lt;0,"down","same"))))</f>
        <v/>
      </c>
    </row>
    <row r="1500">
      <c r="A1500" s="11">
        <f>IF('Data Entry'!A1500="","",'Data Entry'!A1500)</f>
        <v/>
      </c>
      <c r="B1500" s="12">
        <f>IF('Data Entry'!A1500="","",'Data Entry'!B1500)</f>
        <v/>
      </c>
      <c r="C1500" s="12">
        <f>IF('Data Entry'!A1500="","",'Data Entry'!C1500)</f>
        <v/>
      </c>
      <c r="D1500" s="12">
        <f>IF('Data Entry'!A1500="","",'Data Entry'!D1500)</f>
        <v/>
      </c>
      <c r="E1500" s="12">
        <f>IF('Data Entry'!A1500="","",'Data Entry'!E1500)</f>
        <v/>
      </c>
      <c r="F1500" s="12">
        <f>IF('Data Entry'!A1500="","",'Data Entry'!F1500)</f>
        <v/>
      </c>
      <c r="G1500" s="13">
        <f>IF('Data Entry'!A1500="","",'Data Entry'!G1500)</f>
        <v/>
      </c>
      <c r="H1500" s="10">
        <f>IF('Data Entry'!A1500="","",'Data Entry'!H1500)</f>
        <v/>
      </c>
      <c r="I1500" s="10">
        <f>IF('Data Entry'!A1500="","",'Data Entry'!I1500)</f>
        <v/>
      </c>
      <c r="J1500" s="12">
        <f>IF('Data Entry'!A1500="","",IF('Data Entry'!D1500&lt;&gt;"",'Data Entry'!D1500,'Data Entry'!E1500))</f>
        <v/>
      </c>
      <c r="K1500" s="10">
        <f>IF('Data Entry'!A1500="","",IFERROR(SUMIFS($H$5:$H$2001,$J$5:$J$2001,$J1500,$B$5:$B$2001,$B1500,$A$5:$A$2001,(MAXIFS($A$5:$A$2001,$J$5:$J$2001,$J1500,$B$5:$B$2001,$B1500,$A$5:$A$2001,"&lt;"&amp;$A1500))),""))</f>
        <v/>
      </c>
      <c r="L1500" s="14">
        <f>IF(OR('Data Entry'!A1500="",$K1500=""),"",$H1500-$K1500)</f>
        <v/>
      </c>
      <c r="M1500" s="15">
        <f>IF(OR('Data Entry'!A1500="",$K1500="",$K1500=0),"",$L1500/$K1500)</f>
        <v/>
      </c>
      <c r="N1500" s="12">
        <f>IF('Data Entry'!A1500="","",IF($L1500="","New item",IF($L1500&gt;0,"UP",IF($L1500&lt;0,"down","same"))))</f>
        <v/>
      </c>
    </row>
    <row r="1501">
      <c r="A1501" s="11">
        <f>IF('Data Entry'!A1501="","",'Data Entry'!A1501)</f>
        <v/>
      </c>
      <c r="B1501" s="12">
        <f>IF('Data Entry'!A1501="","",'Data Entry'!B1501)</f>
        <v/>
      </c>
      <c r="C1501" s="12">
        <f>IF('Data Entry'!A1501="","",'Data Entry'!C1501)</f>
        <v/>
      </c>
      <c r="D1501" s="12">
        <f>IF('Data Entry'!A1501="","",'Data Entry'!D1501)</f>
        <v/>
      </c>
      <c r="E1501" s="12">
        <f>IF('Data Entry'!A1501="","",'Data Entry'!E1501)</f>
        <v/>
      </c>
      <c r="F1501" s="12">
        <f>IF('Data Entry'!A1501="","",'Data Entry'!F1501)</f>
        <v/>
      </c>
      <c r="G1501" s="13">
        <f>IF('Data Entry'!A1501="","",'Data Entry'!G1501)</f>
        <v/>
      </c>
      <c r="H1501" s="10">
        <f>IF('Data Entry'!A1501="","",'Data Entry'!H1501)</f>
        <v/>
      </c>
      <c r="I1501" s="10">
        <f>IF('Data Entry'!A1501="","",'Data Entry'!I1501)</f>
        <v/>
      </c>
      <c r="J1501" s="12">
        <f>IF('Data Entry'!A1501="","",IF('Data Entry'!D1501&lt;&gt;"",'Data Entry'!D1501,'Data Entry'!E1501))</f>
        <v/>
      </c>
      <c r="K1501" s="10">
        <f>IF('Data Entry'!A1501="","",IFERROR(SUMIFS($H$5:$H$2001,$J$5:$J$2001,$J1501,$B$5:$B$2001,$B1501,$A$5:$A$2001,(MAXIFS($A$5:$A$2001,$J$5:$J$2001,$J1501,$B$5:$B$2001,$B1501,$A$5:$A$2001,"&lt;"&amp;$A1501))),""))</f>
        <v/>
      </c>
      <c r="L1501" s="14">
        <f>IF(OR('Data Entry'!A1501="",$K1501=""),"",$H1501-$K1501)</f>
        <v/>
      </c>
      <c r="M1501" s="15">
        <f>IF(OR('Data Entry'!A1501="",$K1501="",$K1501=0),"",$L1501/$K1501)</f>
        <v/>
      </c>
      <c r="N1501" s="12">
        <f>IF('Data Entry'!A1501="","",IF($L1501="","New item",IF($L1501&gt;0,"UP",IF($L1501&lt;0,"down","same"))))</f>
        <v/>
      </c>
    </row>
    <row r="1502">
      <c r="A1502" s="11">
        <f>IF('Data Entry'!A1502="","",'Data Entry'!A1502)</f>
        <v/>
      </c>
      <c r="B1502" s="12">
        <f>IF('Data Entry'!A1502="","",'Data Entry'!B1502)</f>
        <v/>
      </c>
      <c r="C1502" s="12">
        <f>IF('Data Entry'!A1502="","",'Data Entry'!C1502)</f>
        <v/>
      </c>
      <c r="D1502" s="12">
        <f>IF('Data Entry'!A1502="","",'Data Entry'!D1502)</f>
        <v/>
      </c>
      <c r="E1502" s="12">
        <f>IF('Data Entry'!A1502="","",'Data Entry'!E1502)</f>
        <v/>
      </c>
      <c r="F1502" s="12">
        <f>IF('Data Entry'!A1502="","",'Data Entry'!F1502)</f>
        <v/>
      </c>
      <c r="G1502" s="13">
        <f>IF('Data Entry'!A1502="","",'Data Entry'!G1502)</f>
        <v/>
      </c>
      <c r="H1502" s="10">
        <f>IF('Data Entry'!A1502="","",'Data Entry'!H1502)</f>
        <v/>
      </c>
      <c r="I1502" s="10">
        <f>IF('Data Entry'!A1502="","",'Data Entry'!I1502)</f>
        <v/>
      </c>
      <c r="J1502" s="12">
        <f>IF('Data Entry'!A1502="","",IF('Data Entry'!D1502&lt;&gt;"",'Data Entry'!D1502,'Data Entry'!E1502))</f>
        <v/>
      </c>
      <c r="K1502" s="10">
        <f>IF('Data Entry'!A1502="","",IFERROR(SUMIFS($H$5:$H$2001,$J$5:$J$2001,$J1502,$B$5:$B$2001,$B1502,$A$5:$A$2001,(MAXIFS($A$5:$A$2001,$J$5:$J$2001,$J1502,$B$5:$B$2001,$B1502,$A$5:$A$2001,"&lt;"&amp;$A1502))),""))</f>
        <v/>
      </c>
      <c r="L1502" s="14">
        <f>IF(OR('Data Entry'!A1502="",$K1502=""),"",$H1502-$K1502)</f>
        <v/>
      </c>
      <c r="M1502" s="15">
        <f>IF(OR('Data Entry'!A1502="",$K1502="",$K1502=0),"",$L1502/$K1502)</f>
        <v/>
      </c>
      <c r="N1502" s="12">
        <f>IF('Data Entry'!A1502="","",IF($L1502="","New item",IF($L1502&gt;0,"UP",IF($L1502&lt;0,"down","same"))))</f>
        <v/>
      </c>
    </row>
    <row r="1503">
      <c r="A1503" s="11">
        <f>IF('Data Entry'!A1503="","",'Data Entry'!A1503)</f>
        <v/>
      </c>
      <c r="B1503" s="12">
        <f>IF('Data Entry'!A1503="","",'Data Entry'!B1503)</f>
        <v/>
      </c>
      <c r="C1503" s="12">
        <f>IF('Data Entry'!A1503="","",'Data Entry'!C1503)</f>
        <v/>
      </c>
      <c r="D1503" s="12">
        <f>IF('Data Entry'!A1503="","",'Data Entry'!D1503)</f>
        <v/>
      </c>
      <c r="E1503" s="12">
        <f>IF('Data Entry'!A1503="","",'Data Entry'!E1503)</f>
        <v/>
      </c>
      <c r="F1503" s="12">
        <f>IF('Data Entry'!A1503="","",'Data Entry'!F1503)</f>
        <v/>
      </c>
      <c r="G1503" s="13">
        <f>IF('Data Entry'!A1503="","",'Data Entry'!G1503)</f>
        <v/>
      </c>
      <c r="H1503" s="10">
        <f>IF('Data Entry'!A1503="","",'Data Entry'!H1503)</f>
        <v/>
      </c>
      <c r="I1503" s="10">
        <f>IF('Data Entry'!A1503="","",'Data Entry'!I1503)</f>
        <v/>
      </c>
      <c r="J1503" s="12">
        <f>IF('Data Entry'!A1503="","",IF('Data Entry'!D1503&lt;&gt;"",'Data Entry'!D1503,'Data Entry'!E1503))</f>
        <v/>
      </c>
      <c r="K1503" s="10">
        <f>IF('Data Entry'!A1503="","",IFERROR(SUMIFS($H$5:$H$2001,$J$5:$J$2001,$J1503,$B$5:$B$2001,$B1503,$A$5:$A$2001,(MAXIFS($A$5:$A$2001,$J$5:$J$2001,$J1503,$B$5:$B$2001,$B1503,$A$5:$A$2001,"&lt;"&amp;$A1503))),""))</f>
        <v/>
      </c>
      <c r="L1503" s="14">
        <f>IF(OR('Data Entry'!A1503="",$K1503=""),"",$H1503-$K1503)</f>
        <v/>
      </c>
      <c r="M1503" s="15">
        <f>IF(OR('Data Entry'!A1503="",$K1503="",$K1503=0),"",$L1503/$K1503)</f>
        <v/>
      </c>
      <c r="N1503" s="12">
        <f>IF('Data Entry'!A1503="","",IF($L1503="","New item",IF($L1503&gt;0,"UP",IF($L1503&lt;0,"down","same"))))</f>
        <v/>
      </c>
    </row>
    <row r="1504">
      <c r="A1504" s="11">
        <f>IF('Data Entry'!A1504="","",'Data Entry'!A1504)</f>
        <v/>
      </c>
      <c r="B1504" s="12">
        <f>IF('Data Entry'!A1504="","",'Data Entry'!B1504)</f>
        <v/>
      </c>
      <c r="C1504" s="12">
        <f>IF('Data Entry'!A1504="","",'Data Entry'!C1504)</f>
        <v/>
      </c>
      <c r="D1504" s="12">
        <f>IF('Data Entry'!A1504="","",'Data Entry'!D1504)</f>
        <v/>
      </c>
      <c r="E1504" s="12">
        <f>IF('Data Entry'!A1504="","",'Data Entry'!E1504)</f>
        <v/>
      </c>
      <c r="F1504" s="12">
        <f>IF('Data Entry'!A1504="","",'Data Entry'!F1504)</f>
        <v/>
      </c>
      <c r="G1504" s="13">
        <f>IF('Data Entry'!A1504="","",'Data Entry'!G1504)</f>
        <v/>
      </c>
      <c r="H1504" s="10">
        <f>IF('Data Entry'!A1504="","",'Data Entry'!H1504)</f>
        <v/>
      </c>
      <c r="I1504" s="10">
        <f>IF('Data Entry'!A1504="","",'Data Entry'!I1504)</f>
        <v/>
      </c>
      <c r="J1504" s="12">
        <f>IF('Data Entry'!A1504="","",IF('Data Entry'!D1504&lt;&gt;"",'Data Entry'!D1504,'Data Entry'!E1504))</f>
        <v/>
      </c>
      <c r="K1504" s="10">
        <f>IF('Data Entry'!A1504="","",IFERROR(SUMIFS($H$5:$H$2001,$J$5:$J$2001,$J1504,$B$5:$B$2001,$B1504,$A$5:$A$2001,(MAXIFS($A$5:$A$2001,$J$5:$J$2001,$J1504,$B$5:$B$2001,$B1504,$A$5:$A$2001,"&lt;"&amp;$A1504))),""))</f>
        <v/>
      </c>
      <c r="L1504" s="14">
        <f>IF(OR('Data Entry'!A1504="",$K1504=""),"",$H1504-$K1504)</f>
        <v/>
      </c>
      <c r="M1504" s="15">
        <f>IF(OR('Data Entry'!A1504="",$K1504="",$K1504=0),"",$L1504/$K1504)</f>
        <v/>
      </c>
      <c r="N1504" s="12">
        <f>IF('Data Entry'!A1504="","",IF($L1504="","New item",IF($L1504&gt;0,"UP",IF($L1504&lt;0,"down","same"))))</f>
        <v/>
      </c>
    </row>
    <row r="1505">
      <c r="A1505" s="11">
        <f>IF('Data Entry'!A1505="","",'Data Entry'!A1505)</f>
        <v/>
      </c>
      <c r="B1505" s="12">
        <f>IF('Data Entry'!A1505="","",'Data Entry'!B1505)</f>
        <v/>
      </c>
      <c r="C1505" s="12">
        <f>IF('Data Entry'!A1505="","",'Data Entry'!C1505)</f>
        <v/>
      </c>
      <c r="D1505" s="12">
        <f>IF('Data Entry'!A1505="","",'Data Entry'!D1505)</f>
        <v/>
      </c>
      <c r="E1505" s="12">
        <f>IF('Data Entry'!A1505="","",'Data Entry'!E1505)</f>
        <v/>
      </c>
      <c r="F1505" s="12">
        <f>IF('Data Entry'!A1505="","",'Data Entry'!F1505)</f>
        <v/>
      </c>
      <c r="G1505" s="13">
        <f>IF('Data Entry'!A1505="","",'Data Entry'!G1505)</f>
        <v/>
      </c>
      <c r="H1505" s="10">
        <f>IF('Data Entry'!A1505="","",'Data Entry'!H1505)</f>
        <v/>
      </c>
      <c r="I1505" s="10">
        <f>IF('Data Entry'!A1505="","",'Data Entry'!I1505)</f>
        <v/>
      </c>
      <c r="J1505" s="12">
        <f>IF('Data Entry'!A1505="","",IF('Data Entry'!D1505&lt;&gt;"",'Data Entry'!D1505,'Data Entry'!E1505))</f>
        <v/>
      </c>
      <c r="K1505" s="10">
        <f>IF('Data Entry'!A1505="","",IFERROR(SUMIFS($H$5:$H$2001,$J$5:$J$2001,$J1505,$B$5:$B$2001,$B1505,$A$5:$A$2001,(MAXIFS($A$5:$A$2001,$J$5:$J$2001,$J1505,$B$5:$B$2001,$B1505,$A$5:$A$2001,"&lt;"&amp;$A1505))),""))</f>
        <v/>
      </c>
      <c r="L1505" s="14">
        <f>IF(OR('Data Entry'!A1505="",$K1505=""),"",$H1505-$K1505)</f>
        <v/>
      </c>
      <c r="M1505" s="15">
        <f>IF(OR('Data Entry'!A1505="",$K1505="",$K1505=0),"",$L1505/$K1505)</f>
        <v/>
      </c>
      <c r="N1505" s="12">
        <f>IF('Data Entry'!A1505="","",IF($L1505="","New item",IF($L1505&gt;0,"UP",IF($L1505&lt;0,"down","same"))))</f>
        <v/>
      </c>
    </row>
    <row r="1506">
      <c r="A1506" s="11">
        <f>IF('Data Entry'!A1506="","",'Data Entry'!A1506)</f>
        <v/>
      </c>
      <c r="B1506" s="12">
        <f>IF('Data Entry'!A1506="","",'Data Entry'!B1506)</f>
        <v/>
      </c>
      <c r="C1506" s="12">
        <f>IF('Data Entry'!A1506="","",'Data Entry'!C1506)</f>
        <v/>
      </c>
      <c r="D1506" s="12">
        <f>IF('Data Entry'!A1506="","",'Data Entry'!D1506)</f>
        <v/>
      </c>
      <c r="E1506" s="12">
        <f>IF('Data Entry'!A1506="","",'Data Entry'!E1506)</f>
        <v/>
      </c>
      <c r="F1506" s="12">
        <f>IF('Data Entry'!A1506="","",'Data Entry'!F1506)</f>
        <v/>
      </c>
      <c r="G1506" s="13">
        <f>IF('Data Entry'!A1506="","",'Data Entry'!G1506)</f>
        <v/>
      </c>
      <c r="H1506" s="10">
        <f>IF('Data Entry'!A1506="","",'Data Entry'!H1506)</f>
        <v/>
      </c>
      <c r="I1506" s="10">
        <f>IF('Data Entry'!A1506="","",'Data Entry'!I1506)</f>
        <v/>
      </c>
      <c r="J1506" s="12">
        <f>IF('Data Entry'!A1506="","",IF('Data Entry'!D1506&lt;&gt;"",'Data Entry'!D1506,'Data Entry'!E1506))</f>
        <v/>
      </c>
      <c r="K1506" s="10">
        <f>IF('Data Entry'!A1506="","",IFERROR(SUMIFS($H$5:$H$2001,$J$5:$J$2001,$J1506,$B$5:$B$2001,$B1506,$A$5:$A$2001,(MAXIFS($A$5:$A$2001,$J$5:$J$2001,$J1506,$B$5:$B$2001,$B1506,$A$5:$A$2001,"&lt;"&amp;$A1506))),""))</f>
        <v/>
      </c>
      <c r="L1506" s="14">
        <f>IF(OR('Data Entry'!A1506="",$K1506=""),"",$H1506-$K1506)</f>
        <v/>
      </c>
      <c r="M1506" s="15">
        <f>IF(OR('Data Entry'!A1506="",$K1506="",$K1506=0),"",$L1506/$K1506)</f>
        <v/>
      </c>
      <c r="N1506" s="12">
        <f>IF('Data Entry'!A1506="","",IF($L1506="","New item",IF($L1506&gt;0,"UP",IF($L1506&lt;0,"down","same"))))</f>
        <v/>
      </c>
    </row>
    <row r="1507">
      <c r="A1507" s="11">
        <f>IF('Data Entry'!A1507="","",'Data Entry'!A1507)</f>
        <v/>
      </c>
      <c r="B1507" s="12">
        <f>IF('Data Entry'!A1507="","",'Data Entry'!B1507)</f>
        <v/>
      </c>
      <c r="C1507" s="12">
        <f>IF('Data Entry'!A1507="","",'Data Entry'!C1507)</f>
        <v/>
      </c>
      <c r="D1507" s="12">
        <f>IF('Data Entry'!A1507="","",'Data Entry'!D1507)</f>
        <v/>
      </c>
      <c r="E1507" s="12">
        <f>IF('Data Entry'!A1507="","",'Data Entry'!E1507)</f>
        <v/>
      </c>
      <c r="F1507" s="12">
        <f>IF('Data Entry'!A1507="","",'Data Entry'!F1507)</f>
        <v/>
      </c>
      <c r="G1507" s="13">
        <f>IF('Data Entry'!A1507="","",'Data Entry'!G1507)</f>
        <v/>
      </c>
      <c r="H1507" s="10">
        <f>IF('Data Entry'!A1507="","",'Data Entry'!H1507)</f>
        <v/>
      </c>
      <c r="I1507" s="10">
        <f>IF('Data Entry'!A1507="","",'Data Entry'!I1507)</f>
        <v/>
      </c>
      <c r="J1507" s="12">
        <f>IF('Data Entry'!A1507="","",IF('Data Entry'!D1507&lt;&gt;"",'Data Entry'!D1507,'Data Entry'!E1507))</f>
        <v/>
      </c>
      <c r="K1507" s="10">
        <f>IF('Data Entry'!A1507="","",IFERROR(SUMIFS($H$5:$H$2001,$J$5:$J$2001,$J1507,$B$5:$B$2001,$B1507,$A$5:$A$2001,(MAXIFS($A$5:$A$2001,$J$5:$J$2001,$J1507,$B$5:$B$2001,$B1507,$A$5:$A$2001,"&lt;"&amp;$A1507))),""))</f>
        <v/>
      </c>
      <c r="L1507" s="14">
        <f>IF(OR('Data Entry'!A1507="",$K1507=""),"",$H1507-$K1507)</f>
        <v/>
      </c>
      <c r="M1507" s="15">
        <f>IF(OR('Data Entry'!A1507="",$K1507="",$K1507=0),"",$L1507/$K1507)</f>
        <v/>
      </c>
      <c r="N1507" s="12">
        <f>IF('Data Entry'!A1507="","",IF($L1507="","New item",IF($L1507&gt;0,"UP",IF($L1507&lt;0,"down","same"))))</f>
        <v/>
      </c>
    </row>
    <row r="1508">
      <c r="A1508" s="11">
        <f>IF('Data Entry'!A1508="","",'Data Entry'!A1508)</f>
        <v/>
      </c>
      <c r="B1508" s="12">
        <f>IF('Data Entry'!A1508="","",'Data Entry'!B1508)</f>
        <v/>
      </c>
      <c r="C1508" s="12">
        <f>IF('Data Entry'!A1508="","",'Data Entry'!C1508)</f>
        <v/>
      </c>
      <c r="D1508" s="12">
        <f>IF('Data Entry'!A1508="","",'Data Entry'!D1508)</f>
        <v/>
      </c>
      <c r="E1508" s="12">
        <f>IF('Data Entry'!A1508="","",'Data Entry'!E1508)</f>
        <v/>
      </c>
      <c r="F1508" s="12">
        <f>IF('Data Entry'!A1508="","",'Data Entry'!F1508)</f>
        <v/>
      </c>
      <c r="G1508" s="13">
        <f>IF('Data Entry'!A1508="","",'Data Entry'!G1508)</f>
        <v/>
      </c>
      <c r="H1508" s="10">
        <f>IF('Data Entry'!A1508="","",'Data Entry'!H1508)</f>
        <v/>
      </c>
      <c r="I1508" s="10">
        <f>IF('Data Entry'!A1508="","",'Data Entry'!I1508)</f>
        <v/>
      </c>
      <c r="J1508" s="12">
        <f>IF('Data Entry'!A1508="","",IF('Data Entry'!D1508&lt;&gt;"",'Data Entry'!D1508,'Data Entry'!E1508))</f>
        <v/>
      </c>
      <c r="K1508" s="10">
        <f>IF('Data Entry'!A1508="","",IFERROR(SUMIFS($H$5:$H$2001,$J$5:$J$2001,$J1508,$B$5:$B$2001,$B1508,$A$5:$A$2001,(MAXIFS($A$5:$A$2001,$J$5:$J$2001,$J1508,$B$5:$B$2001,$B1508,$A$5:$A$2001,"&lt;"&amp;$A1508))),""))</f>
        <v/>
      </c>
      <c r="L1508" s="14">
        <f>IF(OR('Data Entry'!A1508="",$K1508=""),"",$H1508-$K1508)</f>
        <v/>
      </c>
      <c r="M1508" s="15">
        <f>IF(OR('Data Entry'!A1508="",$K1508="",$K1508=0),"",$L1508/$K1508)</f>
        <v/>
      </c>
      <c r="N1508" s="12">
        <f>IF('Data Entry'!A1508="","",IF($L1508="","New item",IF($L1508&gt;0,"UP",IF($L1508&lt;0,"down","same"))))</f>
        <v/>
      </c>
    </row>
    <row r="1509">
      <c r="A1509" s="11">
        <f>IF('Data Entry'!A1509="","",'Data Entry'!A1509)</f>
        <v/>
      </c>
      <c r="B1509" s="12">
        <f>IF('Data Entry'!A1509="","",'Data Entry'!B1509)</f>
        <v/>
      </c>
      <c r="C1509" s="12">
        <f>IF('Data Entry'!A1509="","",'Data Entry'!C1509)</f>
        <v/>
      </c>
      <c r="D1509" s="12">
        <f>IF('Data Entry'!A1509="","",'Data Entry'!D1509)</f>
        <v/>
      </c>
      <c r="E1509" s="12">
        <f>IF('Data Entry'!A1509="","",'Data Entry'!E1509)</f>
        <v/>
      </c>
      <c r="F1509" s="12">
        <f>IF('Data Entry'!A1509="","",'Data Entry'!F1509)</f>
        <v/>
      </c>
      <c r="G1509" s="13">
        <f>IF('Data Entry'!A1509="","",'Data Entry'!G1509)</f>
        <v/>
      </c>
      <c r="H1509" s="10">
        <f>IF('Data Entry'!A1509="","",'Data Entry'!H1509)</f>
        <v/>
      </c>
      <c r="I1509" s="10">
        <f>IF('Data Entry'!A1509="","",'Data Entry'!I1509)</f>
        <v/>
      </c>
      <c r="J1509" s="12">
        <f>IF('Data Entry'!A1509="","",IF('Data Entry'!D1509&lt;&gt;"",'Data Entry'!D1509,'Data Entry'!E1509))</f>
        <v/>
      </c>
      <c r="K1509" s="10">
        <f>IF('Data Entry'!A1509="","",IFERROR(SUMIFS($H$5:$H$2001,$J$5:$J$2001,$J1509,$B$5:$B$2001,$B1509,$A$5:$A$2001,(MAXIFS($A$5:$A$2001,$J$5:$J$2001,$J1509,$B$5:$B$2001,$B1509,$A$5:$A$2001,"&lt;"&amp;$A1509))),""))</f>
        <v/>
      </c>
      <c r="L1509" s="14">
        <f>IF(OR('Data Entry'!A1509="",$K1509=""),"",$H1509-$K1509)</f>
        <v/>
      </c>
      <c r="M1509" s="15">
        <f>IF(OR('Data Entry'!A1509="",$K1509="",$K1509=0),"",$L1509/$K1509)</f>
        <v/>
      </c>
      <c r="N1509" s="12">
        <f>IF('Data Entry'!A1509="","",IF($L1509="","New item",IF($L1509&gt;0,"UP",IF($L1509&lt;0,"down","same"))))</f>
        <v/>
      </c>
    </row>
    <row r="1510">
      <c r="A1510" s="11">
        <f>IF('Data Entry'!A1510="","",'Data Entry'!A1510)</f>
        <v/>
      </c>
      <c r="B1510" s="12">
        <f>IF('Data Entry'!A1510="","",'Data Entry'!B1510)</f>
        <v/>
      </c>
      <c r="C1510" s="12">
        <f>IF('Data Entry'!A1510="","",'Data Entry'!C1510)</f>
        <v/>
      </c>
      <c r="D1510" s="12">
        <f>IF('Data Entry'!A1510="","",'Data Entry'!D1510)</f>
        <v/>
      </c>
      <c r="E1510" s="12">
        <f>IF('Data Entry'!A1510="","",'Data Entry'!E1510)</f>
        <v/>
      </c>
      <c r="F1510" s="12">
        <f>IF('Data Entry'!A1510="","",'Data Entry'!F1510)</f>
        <v/>
      </c>
      <c r="G1510" s="13">
        <f>IF('Data Entry'!A1510="","",'Data Entry'!G1510)</f>
        <v/>
      </c>
      <c r="H1510" s="10">
        <f>IF('Data Entry'!A1510="","",'Data Entry'!H1510)</f>
        <v/>
      </c>
      <c r="I1510" s="10">
        <f>IF('Data Entry'!A1510="","",'Data Entry'!I1510)</f>
        <v/>
      </c>
      <c r="J1510" s="12">
        <f>IF('Data Entry'!A1510="","",IF('Data Entry'!D1510&lt;&gt;"",'Data Entry'!D1510,'Data Entry'!E1510))</f>
        <v/>
      </c>
      <c r="K1510" s="10">
        <f>IF('Data Entry'!A1510="","",IFERROR(SUMIFS($H$5:$H$2001,$J$5:$J$2001,$J1510,$B$5:$B$2001,$B1510,$A$5:$A$2001,(MAXIFS($A$5:$A$2001,$J$5:$J$2001,$J1510,$B$5:$B$2001,$B1510,$A$5:$A$2001,"&lt;"&amp;$A1510))),""))</f>
        <v/>
      </c>
      <c r="L1510" s="14">
        <f>IF(OR('Data Entry'!A1510="",$K1510=""),"",$H1510-$K1510)</f>
        <v/>
      </c>
      <c r="M1510" s="15">
        <f>IF(OR('Data Entry'!A1510="",$K1510="",$K1510=0),"",$L1510/$K1510)</f>
        <v/>
      </c>
      <c r="N1510" s="12">
        <f>IF('Data Entry'!A1510="","",IF($L1510="","New item",IF($L1510&gt;0,"UP",IF($L1510&lt;0,"down","same"))))</f>
        <v/>
      </c>
    </row>
    <row r="1511">
      <c r="A1511" s="11">
        <f>IF('Data Entry'!A1511="","",'Data Entry'!A1511)</f>
        <v/>
      </c>
      <c r="B1511" s="12">
        <f>IF('Data Entry'!A1511="","",'Data Entry'!B1511)</f>
        <v/>
      </c>
      <c r="C1511" s="12">
        <f>IF('Data Entry'!A1511="","",'Data Entry'!C1511)</f>
        <v/>
      </c>
      <c r="D1511" s="12">
        <f>IF('Data Entry'!A1511="","",'Data Entry'!D1511)</f>
        <v/>
      </c>
      <c r="E1511" s="12">
        <f>IF('Data Entry'!A1511="","",'Data Entry'!E1511)</f>
        <v/>
      </c>
      <c r="F1511" s="12">
        <f>IF('Data Entry'!A1511="","",'Data Entry'!F1511)</f>
        <v/>
      </c>
      <c r="G1511" s="13">
        <f>IF('Data Entry'!A1511="","",'Data Entry'!G1511)</f>
        <v/>
      </c>
      <c r="H1511" s="10">
        <f>IF('Data Entry'!A1511="","",'Data Entry'!H1511)</f>
        <v/>
      </c>
      <c r="I1511" s="10">
        <f>IF('Data Entry'!A1511="","",'Data Entry'!I1511)</f>
        <v/>
      </c>
      <c r="J1511" s="12">
        <f>IF('Data Entry'!A1511="","",IF('Data Entry'!D1511&lt;&gt;"",'Data Entry'!D1511,'Data Entry'!E1511))</f>
        <v/>
      </c>
      <c r="K1511" s="10">
        <f>IF('Data Entry'!A1511="","",IFERROR(SUMIFS($H$5:$H$2001,$J$5:$J$2001,$J1511,$B$5:$B$2001,$B1511,$A$5:$A$2001,(MAXIFS($A$5:$A$2001,$J$5:$J$2001,$J1511,$B$5:$B$2001,$B1511,$A$5:$A$2001,"&lt;"&amp;$A1511))),""))</f>
        <v/>
      </c>
      <c r="L1511" s="14">
        <f>IF(OR('Data Entry'!A1511="",$K1511=""),"",$H1511-$K1511)</f>
        <v/>
      </c>
      <c r="M1511" s="15">
        <f>IF(OR('Data Entry'!A1511="",$K1511="",$K1511=0),"",$L1511/$K1511)</f>
        <v/>
      </c>
      <c r="N1511" s="12">
        <f>IF('Data Entry'!A1511="","",IF($L1511="","New item",IF($L1511&gt;0,"UP",IF($L1511&lt;0,"down","same"))))</f>
        <v/>
      </c>
    </row>
    <row r="1512">
      <c r="A1512" s="11">
        <f>IF('Data Entry'!A1512="","",'Data Entry'!A1512)</f>
        <v/>
      </c>
      <c r="B1512" s="12">
        <f>IF('Data Entry'!A1512="","",'Data Entry'!B1512)</f>
        <v/>
      </c>
      <c r="C1512" s="12">
        <f>IF('Data Entry'!A1512="","",'Data Entry'!C1512)</f>
        <v/>
      </c>
      <c r="D1512" s="12">
        <f>IF('Data Entry'!A1512="","",'Data Entry'!D1512)</f>
        <v/>
      </c>
      <c r="E1512" s="12">
        <f>IF('Data Entry'!A1512="","",'Data Entry'!E1512)</f>
        <v/>
      </c>
      <c r="F1512" s="12">
        <f>IF('Data Entry'!A1512="","",'Data Entry'!F1512)</f>
        <v/>
      </c>
      <c r="G1512" s="13">
        <f>IF('Data Entry'!A1512="","",'Data Entry'!G1512)</f>
        <v/>
      </c>
      <c r="H1512" s="10">
        <f>IF('Data Entry'!A1512="","",'Data Entry'!H1512)</f>
        <v/>
      </c>
      <c r="I1512" s="10">
        <f>IF('Data Entry'!A1512="","",'Data Entry'!I1512)</f>
        <v/>
      </c>
      <c r="J1512" s="12">
        <f>IF('Data Entry'!A1512="","",IF('Data Entry'!D1512&lt;&gt;"",'Data Entry'!D1512,'Data Entry'!E1512))</f>
        <v/>
      </c>
      <c r="K1512" s="10">
        <f>IF('Data Entry'!A1512="","",IFERROR(SUMIFS($H$5:$H$2001,$J$5:$J$2001,$J1512,$B$5:$B$2001,$B1512,$A$5:$A$2001,(MAXIFS($A$5:$A$2001,$J$5:$J$2001,$J1512,$B$5:$B$2001,$B1512,$A$5:$A$2001,"&lt;"&amp;$A1512))),""))</f>
        <v/>
      </c>
      <c r="L1512" s="14">
        <f>IF(OR('Data Entry'!A1512="",$K1512=""),"",$H1512-$K1512)</f>
        <v/>
      </c>
      <c r="M1512" s="15">
        <f>IF(OR('Data Entry'!A1512="",$K1512="",$K1512=0),"",$L1512/$K1512)</f>
        <v/>
      </c>
      <c r="N1512" s="12">
        <f>IF('Data Entry'!A1512="","",IF($L1512="","New item",IF($L1512&gt;0,"UP",IF($L1512&lt;0,"down","same"))))</f>
        <v/>
      </c>
    </row>
    <row r="1513">
      <c r="A1513" s="11">
        <f>IF('Data Entry'!A1513="","",'Data Entry'!A1513)</f>
        <v/>
      </c>
      <c r="B1513" s="12">
        <f>IF('Data Entry'!A1513="","",'Data Entry'!B1513)</f>
        <v/>
      </c>
      <c r="C1513" s="12">
        <f>IF('Data Entry'!A1513="","",'Data Entry'!C1513)</f>
        <v/>
      </c>
      <c r="D1513" s="12">
        <f>IF('Data Entry'!A1513="","",'Data Entry'!D1513)</f>
        <v/>
      </c>
      <c r="E1513" s="12">
        <f>IF('Data Entry'!A1513="","",'Data Entry'!E1513)</f>
        <v/>
      </c>
      <c r="F1513" s="12">
        <f>IF('Data Entry'!A1513="","",'Data Entry'!F1513)</f>
        <v/>
      </c>
      <c r="G1513" s="13">
        <f>IF('Data Entry'!A1513="","",'Data Entry'!G1513)</f>
        <v/>
      </c>
      <c r="H1513" s="10">
        <f>IF('Data Entry'!A1513="","",'Data Entry'!H1513)</f>
        <v/>
      </c>
      <c r="I1513" s="10">
        <f>IF('Data Entry'!A1513="","",'Data Entry'!I1513)</f>
        <v/>
      </c>
      <c r="J1513" s="12">
        <f>IF('Data Entry'!A1513="","",IF('Data Entry'!D1513&lt;&gt;"",'Data Entry'!D1513,'Data Entry'!E1513))</f>
        <v/>
      </c>
      <c r="K1513" s="10">
        <f>IF('Data Entry'!A1513="","",IFERROR(SUMIFS($H$5:$H$2001,$J$5:$J$2001,$J1513,$B$5:$B$2001,$B1513,$A$5:$A$2001,(MAXIFS($A$5:$A$2001,$J$5:$J$2001,$J1513,$B$5:$B$2001,$B1513,$A$5:$A$2001,"&lt;"&amp;$A1513))),""))</f>
        <v/>
      </c>
      <c r="L1513" s="14">
        <f>IF(OR('Data Entry'!A1513="",$K1513=""),"",$H1513-$K1513)</f>
        <v/>
      </c>
      <c r="M1513" s="15">
        <f>IF(OR('Data Entry'!A1513="",$K1513="",$K1513=0),"",$L1513/$K1513)</f>
        <v/>
      </c>
      <c r="N1513" s="12">
        <f>IF('Data Entry'!A1513="","",IF($L1513="","New item",IF($L1513&gt;0,"UP",IF($L1513&lt;0,"down","same"))))</f>
        <v/>
      </c>
    </row>
    <row r="1514">
      <c r="A1514" s="11">
        <f>IF('Data Entry'!A1514="","",'Data Entry'!A1514)</f>
        <v/>
      </c>
      <c r="B1514" s="12">
        <f>IF('Data Entry'!A1514="","",'Data Entry'!B1514)</f>
        <v/>
      </c>
      <c r="C1514" s="12">
        <f>IF('Data Entry'!A1514="","",'Data Entry'!C1514)</f>
        <v/>
      </c>
      <c r="D1514" s="12">
        <f>IF('Data Entry'!A1514="","",'Data Entry'!D1514)</f>
        <v/>
      </c>
      <c r="E1514" s="12">
        <f>IF('Data Entry'!A1514="","",'Data Entry'!E1514)</f>
        <v/>
      </c>
      <c r="F1514" s="12">
        <f>IF('Data Entry'!A1514="","",'Data Entry'!F1514)</f>
        <v/>
      </c>
      <c r="G1514" s="13">
        <f>IF('Data Entry'!A1514="","",'Data Entry'!G1514)</f>
        <v/>
      </c>
      <c r="H1514" s="10">
        <f>IF('Data Entry'!A1514="","",'Data Entry'!H1514)</f>
        <v/>
      </c>
      <c r="I1514" s="10">
        <f>IF('Data Entry'!A1514="","",'Data Entry'!I1514)</f>
        <v/>
      </c>
      <c r="J1514" s="12">
        <f>IF('Data Entry'!A1514="","",IF('Data Entry'!D1514&lt;&gt;"",'Data Entry'!D1514,'Data Entry'!E1514))</f>
        <v/>
      </c>
      <c r="K1514" s="10">
        <f>IF('Data Entry'!A1514="","",IFERROR(SUMIFS($H$5:$H$2001,$J$5:$J$2001,$J1514,$B$5:$B$2001,$B1514,$A$5:$A$2001,(MAXIFS($A$5:$A$2001,$J$5:$J$2001,$J1514,$B$5:$B$2001,$B1514,$A$5:$A$2001,"&lt;"&amp;$A1514))),""))</f>
        <v/>
      </c>
      <c r="L1514" s="14">
        <f>IF(OR('Data Entry'!A1514="",$K1514=""),"",$H1514-$K1514)</f>
        <v/>
      </c>
      <c r="M1514" s="15">
        <f>IF(OR('Data Entry'!A1514="",$K1514="",$K1514=0),"",$L1514/$K1514)</f>
        <v/>
      </c>
      <c r="N1514" s="12">
        <f>IF('Data Entry'!A1514="","",IF($L1514="","New item",IF($L1514&gt;0,"UP",IF($L1514&lt;0,"down","same"))))</f>
        <v/>
      </c>
    </row>
    <row r="1515">
      <c r="A1515" s="11">
        <f>IF('Data Entry'!A1515="","",'Data Entry'!A1515)</f>
        <v/>
      </c>
      <c r="B1515" s="12">
        <f>IF('Data Entry'!A1515="","",'Data Entry'!B1515)</f>
        <v/>
      </c>
      <c r="C1515" s="12">
        <f>IF('Data Entry'!A1515="","",'Data Entry'!C1515)</f>
        <v/>
      </c>
      <c r="D1515" s="12">
        <f>IF('Data Entry'!A1515="","",'Data Entry'!D1515)</f>
        <v/>
      </c>
      <c r="E1515" s="12">
        <f>IF('Data Entry'!A1515="","",'Data Entry'!E1515)</f>
        <v/>
      </c>
      <c r="F1515" s="12">
        <f>IF('Data Entry'!A1515="","",'Data Entry'!F1515)</f>
        <v/>
      </c>
      <c r="G1515" s="13">
        <f>IF('Data Entry'!A1515="","",'Data Entry'!G1515)</f>
        <v/>
      </c>
      <c r="H1515" s="10">
        <f>IF('Data Entry'!A1515="","",'Data Entry'!H1515)</f>
        <v/>
      </c>
      <c r="I1515" s="10">
        <f>IF('Data Entry'!A1515="","",'Data Entry'!I1515)</f>
        <v/>
      </c>
      <c r="J1515" s="12">
        <f>IF('Data Entry'!A1515="","",IF('Data Entry'!D1515&lt;&gt;"",'Data Entry'!D1515,'Data Entry'!E1515))</f>
        <v/>
      </c>
      <c r="K1515" s="10">
        <f>IF('Data Entry'!A1515="","",IFERROR(SUMIFS($H$5:$H$2001,$J$5:$J$2001,$J1515,$B$5:$B$2001,$B1515,$A$5:$A$2001,(MAXIFS($A$5:$A$2001,$J$5:$J$2001,$J1515,$B$5:$B$2001,$B1515,$A$5:$A$2001,"&lt;"&amp;$A1515))),""))</f>
        <v/>
      </c>
      <c r="L1515" s="14">
        <f>IF(OR('Data Entry'!A1515="",$K1515=""),"",$H1515-$K1515)</f>
        <v/>
      </c>
      <c r="M1515" s="15">
        <f>IF(OR('Data Entry'!A1515="",$K1515="",$K1515=0),"",$L1515/$K1515)</f>
        <v/>
      </c>
      <c r="N1515" s="12">
        <f>IF('Data Entry'!A1515="","",IF($L1515="","New item",IF($L1515&gt;0,"UP",IF($L1515&lt;0,"down","same"))))</f>
        <v/>
      </c>
    </row>
    <row r="1516">
      <c r="A1516" s="11">
        <f>IF('Data Entry'!A1516="","",'Data Entry'!A1516)</f>
        <v/>
      </c>
      <c r="B1516" s="12">
        <f>IF('Data Entry'!A1516="","",'Data Entry'!B1516)</f>
        <v/>
      </c>
      <c r="C1516" s="12">
        <f>IF('Data Entry'!A1516="","",'Data Entry'!C1516)</f>
        <v/>
      </c>
      <c r="D1516" s="12">
        <f>IF('Data Entry'!A1516="","",'Data Entry'!D1516)</f>
        <v/>
      </c>
      <c r="E1516" s="12">
        <f>IF('Data Entry'!A1516="","",'Data Entry'!E1516)</f>
        <v/>
      </c>
      <c r="F1516" s="12">
        <f>IF('Data Entry'!A1516="","",'Data Entry'!F1516)</f>
        <v/>
      </c>
      <c r="G1516" s="13">
        <f>IF('Data Entry'!A1516="","",'Data Entry'!G1516)</f>
        <v/>
      </c>
      <c r="H1516" s="10">
        <f>IF('Data Entry'!A1516="","",'Data Entry'!H1516)</f>
        <v/>
      </c>
      <c r="I1516" s="10">
        <f>IF('Data Entry'!A1516="","",'Data Entry'!I1516)</f>
        <v/>
      </c>
      <c r="J1516" s="12">
        <f>IF('Data Entry'!A1516="","",IF('Data Entry'!D1516&lt;&gt;"",'Data Entry'!D1516,'Data Entry'!E1516))</f>
        <v/>
      </c>
      <c r="K1516" s="10">
        <f>IF('Data Entry'!A1516="","",IFERROR(SUMIFS($H$5:$H$2001,$J$5:$J$2001,$J1516,$B$5:$B$2001,$B1516,$A$5:$A$2001,(MAXIFS($A$5:$A$2001,$J$5:$J$2001,$J1516,$B$5:$B$2001,$B1516,$A$5:$A$2001,"&lt;"&amp;$A1516))),""))</f>
        <v/>
      </c>
      <c r="L1516" s="14">
        <f>IF(OR('Data Entry'!A1516="",$K1516=""),"",$H1516-$K1516)</f>
        <v/>
      </c>
      <c r="M1516" s="15">
        <f>IF(OR('Data Entry'!A1516="",$K1516="",$K1516=0),"",$L1516/$K1516)</f>
        <v/>
      </c>
      <c r="N1516" s="12">
        <f>IF('Data Entry'!A1516="","",IF($L1516="","New item",IF($L1516&gt;0,"UP",IF($L1516&lt;0,"down","same"))))</f>
        <v/>
      </c>
    </row>
    <row r="1517">
      <c r="A1517" s="11">
        <f>IF('Data Entry'!A1517="","",'Data Entry'!A1517)</f>
        <v/>
      </c>
      <c r="B1517" s="12">
        <f>IF('Data Entry'!A1517="","",'Data Entry'!B1517)</f>
        <v/>
      </c>
      <c r="C1517" s="12">
        <f>IF('Data Entry'!A1517="","",'Data Entry'!C1517)</f>
        <v/>
      </c>
      <c r="D1517" s="12">
        <f>IF('Data Entry'!A1517="","",'Data Entry'!D1517)</f>
        <v/>
      </c>
      <c r="E1517" s="12">
        <f>IF('Data Entry'!A1517="","",'Data Entry'!E1517)</f>
        <v/>
      </c>
      <c r="F1517" s="12">
        <f>IF('Data Entry'!A1517="","",'Data Entry'!F1517)</f>
        <v/>
      </c>
      <c r="G1517" s="13">
        <f>IF('Data Entry'!A1517="","",'Data Entry'!G1517)</f>
        <v/>
      </c>
      <c r="H1517" s="10">
        <f>IF('Data Entry'!A1517="","",'Data Entry'!H1517)</f>
        <v/>
      </c>
      <c r="I1517" s="10">
        <f>IF('Data Entry'!A1517="","",'Data Entry'!I1517)</f>
        <v/>
      </c>
      <c r="J1517" s="12">
        <f>IF('Data Entry'!A1517="","",IF('Data Entry'!D1517&lt;&gt;"",'Data Entry'!D1517,'Data Entry'!E1517))</f>
        <v/>
      </c>
      <c r="K1517" s="10">
        <f>IF('Data Entry'!A1517="","",IFERROR(SUMIFS($H$5:$H$2001,$J$5:$J$2001,$J1517,$B$5:$B$2001,$B1517,$A$5:$A$2001,(MAXIFS($A$5:$A$2001,$J$5:$J$2001,$J1517,$B$5:$B$2001,$B1517,$A$5:$A$2001,"&lt;"&amp;$A1517))),""))</f>
        <v/>
      </c>
      <c r="L1517" s="14">
        <f>IF(OR('Data Entry'!A1517="",$K1517=""),"",$H1517-$K1517)</f>
        <v/>
      </c>
      <c r="M1517" s="15">
        <f>IF(OR('Data Entry'!A1517="",$K1517="",$K1517=0),"",$L1517/$K1517)</f>
        <v/>
      </c>
      <c r="N1517" s="12">
        <f>IF('Data Entry'!A1517="","",IF($L1517="","New item",IF($L1517&gt;0,"UP",IF($L1517&lt;0,"down","same"))))</f>
        <v/>
      </c>
    </row>
    <row r="1518">
      <c r="A1518" s="11">
        <f>IF('Data Entry'!A1518="","",'Data Entry'!A1518)</f>
        <v/>
      </c>
      <c r="B1518" s="12">
        <f>IF('Data Entry'!A1518="","",'Data Entry'!B1518)</f>
        <v/>
      </c>
      <c r="C1518" s="12">
        <f>IF('Data Entry'!A1518="","",'Data Entry'!C1518)</f>
        <v/>
      </c>
      <c r="D1518" s="12">
        <f>IF('Data Entry'!A1518="","",'Data Entry'!D1518)</f>
        <v/>
      </c>
      <c r="E1518" s="12">
        <f>IF('Data Entry'!A1518="","",'Data Entry'!E1518)</f>
        <v/>
      </c>
      <c r="F1518" s="12">
        <f>IF('Data Entry'!A1518="","",'Data Entry'!F1518)</f>
        <v/>
      </c>
      <c r="G1518" s="13">
        <f>IF('Data Entry'!A1518="","",'Data Entry'!G1518)</f>
        <v/>
      </c>
      <c r="H1518" s="10">
        <f>IF('Data Entry'!A1518="","",'Data Entry'!H1518)</f>
        <v/>
      </c>
      <c r="I1518" s="10">
        <f>IF('Data Entry'!A1518="","",'Data Entry'!I1518)</f>
        <v/>
      </c>
      <c r="J1518" s="12">
        <f>IF('Data Entry'!A1518="","",IF('Data Entry'!D1518&lt;&gt;"",'Data Entry'!D1518,'Data Entry'!E1518))</f>
        <v/>
      </c>
      <c r="K1518" s="10">
        <f>IF('Data Entry'!A1518="","",IFERROR(SUMIFS($H$5:$H$2001,$J$5:$J$2001,$J1518,$B$5:$B$2001,$B1518,$A$5:$A$2001,(MAXIFS($A$5:$A$2001,$J$5:$J$2001,$J1518,$B$5:$B$2001,$B1518,$A$5:$A$2001,"&lt;"&amp;$A1518))),""))</f>
        <v/>
      </c>
      <c r="L1518" s="14">
        <f>IF(OR('Data Entry'!A1518="",$K1518=""),"",$H1518-$K1518)</f>
        <v/>
      </c>
      <c r="M1518" s="15">
        <f>IF(OR('Data Entry'!A1518="",$K1518="",$K1518=0),"",$L1518/$K1518)</f>
        <v/>
      </c>
      <c r="N1518" s="12">
        <f>IF('Data Entry'!A1518="","",IF($L1518="","New item",IF($L1518&gt;0,"UP",IF($L1518&lt;0,"down","same"))))</f>
        <v/>
      </c>
    </row>
    <row r="1519">
      <c r="A1519" s="11">
        <f>IF('Data Entry'!A1519="","",'Data Entry'!A1519)</f>
        <v/>
      </c>
      <c r="B1519" s="12">
        <f>IF('Data Entry'!A1519="","",'Data Entry'!B1519)</f>
        <v/>
      </c>
      <c r="C1519" s="12">
        <f>IF('Data Entry'!A1519="","",'Data Entry'!C1519)</f>
        <v/>
      </c>
      <c r="D1519" s="12">
        <f>IF('Data Entry'!A1519="","",'Data Entry'!D1519)</f>
        <v/>
      </c>
      <c r="E1519" s="12">
        <f>IF('Data Entry'!A1519="","",'Data Entry'!E1519)</f>
        <v/>
      </c>
      <c r="F1519" s="12">
        <f>IF('Data Entry'!A1519="","",'Data Entry'!F1519)</f>
        <v/>
      </c>
      <c r="G1519" s="13">
        <f>IF('Data Entry'!A1519="","",'Data Entry'!G1519)</f>
        <v/>
      </c>
      <c r="H1519" s="10">
        <f>IF('Data Entry'!A1519="","",'Data Entry'!H1519)</f>
        <v/>
      </c>
      <c r="I1519" s="10">
        <f>IF('Data Entry'!A1519="","",'Data Entry'!I1519)</f>
        <v/>
      </c>
      <c r="J1519" s="12">
        <f>IF('Data Entry'!A1519="","",IF('Data Entry'!D1519&lt;&gt;"",'Data Entry'!D1519,'Data Entry'!E1519))</f>
        <v/>
      </c>
      <c r="K1519" s="10">
        <f>IF('Data Entry'!A1519="","",IFERROR(SUMIFS($H$5:$H$2001,$J$5:$J$2001,$J1519,$B$5:$B$2001,$B1519,$A$5:$A$2001,(MAXIFS($A$5:$A$2001,$J$5:$J$2001,$J1519,$B$5:$B$2001,$B1519,$A$5:$A$2001,"&lt;"&amp;$A1519))),""))</f>
        <v/>
      </c>
      <c r="L1519" s="14">
        <f>IF(OR('Data Entry'!A1519="",$K1519=""),"",$H1519-$K1519)</f>
        <v/>
      </c>
      <c r="M1519" s="15">
        <f>IF(OR('Data Entry'!A1519="",$K1519="",$K1519=0),"",$L1519/$K1519)</f>
        <v/>
      </c>
      <c r="N1519" s="12">
        <f>IF('Data Entry'!A1519="","",IF($L1519="","New item",IF($L1519&gt;0,"UP",IF($L1519&lt;0,"down","same"))))</f>
        <v/>
      </c>
    </row>
    <row r="1520">
      <c r="A1520" s="11">
        <f>IF('Data Entry'!A1520="","",'Data Entry'!A1520)</f>
        <v/>
      </c>
      <c r="B1520" s="12">
        <f>IF('Data Entry'!A1520="","",'Data Entry'!B1520)</f>
        <v/>
      </c>
      <c r="C1520" s="12">
        <f>IF('Data Entry'!A1520="","",'Data Entry'!C1520)</f>
        <v/>
      </c>
      <c r="D1520" s="12">
        <f>IF('Data Entry'!A1520="","",'Data Entry'!D1520)</f>
        <v/>
      </c>
      <c r="E1520" s="12">
        <f>IF('Data Entry'!A1520="","",'Data Entry'!E1520)</f>
        <v/>
      </c>
      <c r="F1520" s="12">
        <f>IF('Data Entry'!A1520="","",'Data Entry'!F1520)</f>
        <v/>
      </c>
      <c r="G1520" s="13">
        <f>IF('Data Entry'!A1520="","",'Data Entry'!G1520)</f>
        <v/>
      </c>
      <c r="H1520" s="10">
        <f>IF('Data Entry'!A1520="","",'Data Entry'!H1520)</f>
        <v/>
      </c>
      <c r="I1520" s="10">
        <f>IF('Data Entry'!A1520="","",'Data Entry'!I1520)</f>
        <v/>
      </c>
      <c r="J1520" s="12">
        <f>IF('Data Entry'!A1520="","",IF('Data Entry'!D1520&lt;&gt;"",'Data Entry'!D1520,'Data Entry'!E1520))</f>
        <v/>
      </c>
      <c r="K1520" s="10">
        <f>IF('Data Entry'!A1520="","",IFERROR(SUMIFS($H$5:$H$2001,$J$5:$J$2001,$J1520,$B$5:$B$2001,$B1520,$A$5:$A$2001,(MAXIFS($A$5:$A$2001,$J$5:$J$2001,$J1520,$B$5:$B$2001,$B1520,$A$5:$A$2001,"&lt;"&amp;$A1520))),""))</f>
        <v/>
      </c>
      <c r="L1520" s="14">
        <f>IF(OR('Data Entry'!A1520="",$K1520=""),"",$H1520-$K1520)</f>
        <v/>
      </c>
      <c r="M1520" s="15">
        <f>IF(OR('Data Entry'!A1520="",$K1520="",$K1520=0),"",$L1520/$K1520)</f>
        <v/>
      </c>
      <c r="N1520" s="12">
        <f>IF('Data Entry'!A1520="","",IF($L1520="","New item",IF($L1520&gt;0,"UP",IF($L1520&lt;0,"down","same"))))</f>
        <v/>
      </c>
    </row>
    <row r="1521">
      <c r="A1521" s="11">
        <f>IF('Data Entry'!A1521="","",'Data Entry'!A1521)</f>
        <v/>
      </c>
      <c r="B1521" s="12">
        <f>IF('Data Entry'!A1521="","",'Data Entry'!B1521)</f>
        <v/>
      </c>
      <c r="C1521" s="12">
        <f>IF('Data Entry'!A1521="","",'Data Entry'!C1521)</f>
        <v/>
      </c>
      <c r="D1521" s="12">
        <f>IF('Data Entry'!A1521="","",'Data Entry'!D1521)</f>
        <v/>
      </c>
      <c r="E1521" s="12">
        <f>IF('Data Entry'!A1521="","",'Data Entry'!E1521)</f>
        <v/>
      </c>
      <c r="F1521" s="12">
        <f>IF('Data Entry'!A1521="","",'Data Entry'!F1521)</f>
        <v/>
      </c>
      <c r="G1521" s="13">
        <f>IF('Data Entry'!A1521="","",'Data Entry'!G1521)</f>
        <v/>
      </c>
      <c r="H1521" s="10">
        <f>IF('Data Entry'!A1521="","",'Data Entry'!H1521)</f>
        <v/>
      </c>
      <c r="I1521" s="10">
        <f>IF('Data Entry'!A1521="","",'Data Entry'!I1521)</f>
        <v/>
      </c>
      <c r="J1521" s="12">
        <f>IF('Data Entry'!A1521="","",IF('Data Entry'!D1521&lt;&gt;"",'Data Entry'!D1521,'Data Entry'!E1521))</f>
        <v/>
      </c>
      <c r="K1521" s="10">
        <f>IF('Data Entry'!A1521="","",IFERROR(SUMIFS($H$5:$H$2001,$J$5:$J$2001,$J1521,$B$5:$B$2001,$B1521,$A$5:$A$2001,(MAXIFS($A$5:$A$2001,$J$5:$J$2001,$J1521,$B$5:$B$2001,$B1521,$A$5:$A$2001,"&lt;"&amp;$A1521))),""))</f>
        <v/>
      </c>
      <c r="L1521" s="14">
        <f>IF(OR('Data Entry'!A1521="",$K1521=""),"",$H1521-$K1521)</f>
        <v/>
      </c>
      <c r="M1521" s="15">
        <f>IF(OR('Data Entry'!A1521="",$K1521="",$K1521=0),"",$L1521/$K1521)</f>
        <v/>
      </c>
      <c r="N1521" s="12">
        <f>IF('Data Entry'!A1521="","",IF($L1521="","New item",IF($L1521&gt;0,"UP",IF($L1521&lt;0,"down","same"))))</f>
        <v/>
      </c>
    </row>
    <row r="1522">
      <c r="A1522" s="11">
        <f>IF('Data Entry'!A1522="","",'Data Entry'!A1522)</f>
        <v/>
      </c>
      <c r="B1522" s="12">
        <f>IF('Data Entry'!A1522="","",'Data Entry'!B1522)</f>
        <v/>
      </c>
      <c r="C1522" s="12">
        <f>IF('Data Entry'!A1522="","",'Data Entry'!C1522)</f>
        <v/>
      </c>
      <c r="D1522" s="12">
        <f>IF('Data Entry'!A1522="","",'Data Entry'!D1522)</f>
        <v/>
      </c>
      <c r="E1522" s="12">
        <f>IF('Data Entry'!A1522="","",'Data Entry'!E1522)</f>
        <v/>
      </c>
      <c r="F1522" s="12">
        <f>IF('Data Entry'!A1522="","",'Data Entry'!F1522)</f>
        <v/>
      </c>
      <c r="G1522" s="13">
        <f>IF('Data Entry'!A1522="","",'Data Entry'!G1522)</f>
        <v/>
      </c>
      <c r="H1522" s="10">
        <f>IF('Data Entry'!A1522="","",'Data Entry'!H1522)</f>
        <v/>
      </c>
      <c r="I1522" s="10">
        <f>IF('Data Entry'!A1522="","",'Data Entry'!I1522)</f>
        <v/>
      </c>
      <c r="J1522" s="12">
        <f>IF('Data Entry'!A1522="","",IF('Data Entry'!D1522&lt;&gt;"",'Data Entry'!D1522,'Data Entry'!E1522))</f>
        <v/>
      </c>
      <c r="K1522" s="10">
        <f>IF('Data Entry'!A1522="","",IFERROR(SUMIFS($H$5:$H$2001,$J$5:$J$2001,$J1522,$B$5:$B$2001,$B1522,$A$5:$A$2001,(MAXIFS($A$5:$A$2001,$J$5:$J$2001,$J1522,$B$5:$B$2001,$B1522,$A$5:$A$2001,"&lt;"&amp;$A1522))),""))</f>
        <v/>
      </c>
      <c r="L1522" s="14">
        <f>IF(OR('Data Entry'!A1522="",$K1522=""),"",$H1522-$K1522)</f>
        <v/>
      </c>
      <c r="M1522" s="15">
        <f>IF(OR('Data Entry'!A1522="",$K1522="",$K1522=0),"",$L1522/$K1522)</f>
        <v/>
      </c>
      <c r="N1522" s="12">
        <f>IF('Data Entry'!A1522="","",IF($L1522="","New item",IF($L1522&gt;0,"UP",IF($L1522&lt;0,"down","same"))))</f>
        <v/>
      </c>
    </row>
    <row r="1523">
      <c r="A1523" s="11">
        <f>IF('Data Entry'!A1523="","",'Data Entry'!A1523)</f>
        <v/>
      </c>
      <c r="B1523" s="12">
        <f>IF('Data Entry'!A1523="","",'Data Entry'!B1523)</f>
        <v/>
      </c>
      <c r="C1523" s="12">
        <f>IF('Data Entry'!A1523="","",'Data Entry'!C1523)</f>
        <v/>
      </c>
      <c r="D1523" s="12">
        <f>IF('Data Entry'!A1523="","",'Data Entry'!D1523)</f>
        <v/>
      </c>
      <c r="E1523" s="12">
        <f>IF('Data Entry'!A1523="","",'Data Entry'!E1523)</f>
        <v/>
      </c>
      <c r="F1523" s="12">
        <f>IF('Data Entry'!A1523="","",'Data Entry'!F1523)</f>
        <v/>
      </c>
      <c r="G1523" s="13">
        <f>IF('Data Entry'!A1523="","",'Data Entry'!G1523)</f>
        <v/>
      </c>
      <c r="H1523" s="10">
        <f>IF('Data Entry'!A1523="","",'Data Entry'!H1523)</f>
        <v/>
      </c>
      <c r="I1523" s="10">
        <f>IF('Data Entry'!A1523="","",'Data Entry'!I1523)</f>
        <v/>
      </c>
      <c r="J1523" s="12">
        <f>IF('Data Entry'!A1523="","",IF('Data Entry'!D1523&lt;&gt;"",'Data Entry'!D1523,'Data Entry'!E1523))</f>
        <v/>
      </c>
      <c r="K1523" s="10">
        <f>IF('Data Entry'!A1523="","",IFERROR(SUMIFS($H$5:$H$2001,$J$5:$J$2001,$J1523,$B$5:$B$2001,$B1523,$A$5:$A$2001,(MAXIFS($A$5:$A$2001,$J$5:$J$2001,$J1523,$B$5:$B$2001,$B1523,$A$5:$A$2001,"&lt;"&amp;$A1523))),""))</f>
        <v/>
      </c>
      <c r="L1523" s="14">
        <f>IF(OR('Data Entry'!A1523="",$K1523=""),"",$H1523-$K1523)</f>
        <v/>
      </c>
      <c r="M1523" s="15">
        <f>IF(OR('Data Entry'!A1523="",$K1523="",$K1523=0),"",$L1523/$K1523)</f>
        <v/>
      </c>
      <c r="N1523" s="12">
        <f>IF('Data Entry'!A1523="","",IF($L1523="","New item",IF($L1523&gt;0,"UP",IF($L1523&lt;0,"down","same"))))</f>
        <v/>
      </c>
    </row>
    <row r="1524">
      <c r="A1524" s="11">
        <f>IF('Data Entry'!A1524="","",'Data Entry'!A1524)</f>
        <v/>
      </c>
      <c r="B1524" s="12">
        <f>IF('Data Entry'!A1524="","",'Data Entry'!B1524)</f>
        <v/>
      </c>
      <c r="C1524" s="12">
        <f>IF('Data Entry'!A1524="","",'Data Entry'!C1524)</f>
        <v/>
      </c>
      <c r="D1524" s="12">
        <f>IF('Data Entry'!A1524="","",'Data Entry'!D1524)</f>
        <v/>
      </c>
      <c r="E1524" s="12">
        <f>IF('Data Entry'!A1524="","",'Data Entry'!E1524)</f>
        <v/>
      </c>
      <c r="F1524" s="12">
        <f>IF('Data Entry'!A1524="","",'Data Entry'!F1524)</f>
        <v/>
      </c>
      <c r="G1524" s="13">
        <f>IF('Data Entry'!A1524="","",'Data Entry'!G1524)</f>
        <v/>
      </c>
      <c r="H1524" s="10">
        <f>IF('Data Entry'!A1524="","",'Data Entry'!H1524)</f>
        <v/>
      </c>
      <c r="I1524" s="10">
        <f>IF('Data Entry'!A1524="","",'Data Entry'!I1524)</f>
        <v/>
      </c>
      <c r="J1524" s="12">
        <f>IF('Data Entry'!A1524="","",IF('Data Entry'!D1524&lt;&gt;"",'Data Entry'!D1524,'Data Entry'!E1524))</f>
        <v/>
      </c>
      <c r="K1524" s="10">
        <f>IF('Data Entry'!A1524="","",IFERROR(SUMIFS($H$5:$H$2001,$J$5:$J$2001,$J1524,$B$5:$B$2001,$B1524,$A$5:$A$2001,(MAXIFS($A$5:$A$2001,$J$5:$J$2001,$J1524,$B$5:$B$2001,$B1524,$A$5:$A$2001,"&lt;"&amp;$A1524))),""))</f>
        <v/>
      </c>
      <c r="L1524" s="14">
        <f>IF(OR('Data Entry'!A1524="",$K1524=""),"",$H1524-$K1524)</f>
        <v/>
      </c>
      <c r="M1524" s="15">
        <f>IF(OR('Data Entry'!A1524="",$K1524="",$K1524=0),"",$L1524/$K1524)</f>
        <v/>
      </c>
      <c r="N1524" s="12">
        <f>IF('Data Entry'!A1524="","",IF($L1524="","New item",IF($L1524&gt;0,"UP",IF($L1524&lt;0,"down","same"))))</f>
        <v/>
      </c>
    </row>
    <row r="1525">
      <c r="A1525" s="11">
        <f>IF('Data Entry'!A1525="","",'Data Entry'!A1525)</f>
        <v/>
      </c>
      <c r="B1525" s="12">
        <f>IF('Data Entry'!A1525="","",'Data Entry'!B1525)</f>
        <v/>
      </c>
      <c r="C1525" s="12">
        <f>IF('Data Entry'!A1525="","",'Data Entry'!C1525)</f>
        <v/>
      </c>
      <c r="D1525" s="12">
        <f>IF('Data Entry'!A1525="","",'Data Entry'!D1525)</f>
        <v/>
      </c>
      <c r="E1525" s="12">
        <f>IF('Data Entry'!A1525="","",'Data Entry'!E1525)</f>
        <v/>
      </c>
      <c r="F1525" s="12">
        <f>IF('Data Entry'!A1525="","",'Data Entry'!F1525)</f>
        <v/>
      </c>
      <c r="G1525" s="13">
        <f>IF('Data Entry'!A1525="","",'Data Entry'!G1525)</f>
        <v/>
      </c>
      <c r="H1525" s="10">
        <f>IF('Data Entry'!A1525="","",'Data Entry'!H1525)</f>
        <v/>
      </c>
      <c r="I1525" s="10">
        <f>IF('Data Entry'!A1525="","",'Data Entry'!I1525)</f>
        <v/>
      </c>
      <c r="J1525" s="12">
        <f>IF('Data Entry'!A1525="","",IF('Data Entry'!D1525&lt;&gt;"",'Data Entry'!D1525,'Data Entry'!E1525))</f>
        <v/>
      </c>
      <c r="K1525" s="10">
        <f>IF('Data Entry'!A1525="","",IFERROR(SUMIFS($H$5:$H$2001,$J$5:$J$2001,$J1525,$B$5:$B$2001,$B1525,$A$5:$A$2001,(MAXIFS($A$5:$A$2001,$J$5:$J$2001,$J1525,$B$5:$B$2001,$B1525,$A$5:$A$2001,"&lt;"&amp;$A1525))),""))</f>
        <v/>
      </c>
      <c r="L1525" s="14">
        <f>IF(OR('Data Entry'!A1525="",$K1525=""),"",$H1525-$K1525)</f>
        <v/>
      </c>
      <c r="M1525" s="15">
        <f>IF(OR('Data Entry'!A1525="",$K1525="",$K1525=0),"",$L1525/$K1525)</f>
        <v/>
      </c>
      <c r="N1525" s="12">
        <f>IF('Data Entry'!A1525="","",IF($L1525="","New item",IF($L1525&gt;0,"UP",IF($L1525&lt;0,"down","same"))))</f>
        <v/>
      </c>
    </row>
    <row r="1526">
      <c r="A1526" s="11">
        <f>IF('Data Entry'!A1526="","",'Data Entry'!A1526)</f>
        <v/>
      </c>
      <c r="B1526" s="12">
        <f>IF('Data Entry'!A1526="","",'Data Entry'!B1526)</f>
        <v/>
      </c>
      <c r="C1526" s="12">
        <f>IF('Data Entry'!A1526="","",'Data Entry'!C1526)</f>
        <v/>
      </c>
      <c r="D1526" s="12">
        <f>IF('Data Entry'!A1526="","",'Data Entry'!D1526)</f>
        <v/>
      </c>
      <c r="E1526" s="12">
        <f>IF('Data Entry'!A1526="","",'Data Entry'!E1526)</f>
        <v/>
      </c>
      <c r="F1526" s="12">
        <f>IF('Data Entry'!A1526="","",'Data Entry'!F1526)</f>
        <v/>
      </c>
      <c r="G1526" s="13">
        <f>IF('Data Entry'!A1526="","",'Data Entry'!G1526)</f>
        <v/>
      </c>
      <c r="H1526" s="10">
        <f>IF('Data Entry'!A1526="","",'Data Entry'!H1526)</f>
        <v/>
      </c>
      <c r="I1526" s="10">
        <f>IF('Data Entry'!A1526="","",'Data Entry'!I1526)</f>
        <v/>
      </c>
      <c r="J1526" s="12">
        <f>IF('Data Entry'!A1526="","",IF('Data Entry'!D1526&lt;&gt;"",'Data Entry'!D1526,'Data Entry'!E1526))</f>
        <v/>
      </c>
      <c r="K1526" s="10">
        <f>IF('Data Entry'!A1526="","",IFERROR(SUMIFS($H$5:$H$2001,$J$5:$J$2001,$J1526,$B$5:$B$2001,$B1526,$A$5:$A$2001,(MAXIFS($A$5:$A$2001,$J$5:$J$2001,$J1526,$B$5:$B$2001,$B1526,$A$5:$A$2001,"&lt;"&amp;$A1526))),""))</f>
        <v/>
      </c>
      <c r="L1526" s="14">
        <f>IF(OR('Data Entry'!A1526="",$K1526=""),"",$H1526-$K1526)</f>
        <v/>
      </c>
      <c r="M1526" s="15">
        <f>IF(OR('Data Entry'!A1526="",$K1526="",$K1526=0),"",$L1526/$K1526)</f>
        <v/>
      </c>
      <c r="N1526" s="12">
        <f>IF('Data Entry'!A1526="","",IF($L1526="","New item",IF($L1526&gt;0,"UP",IF($L1526&lt;0,"down","same"))))</f>
        <v/>
      </c>
    </row>
    <row r="1527">
      <c r="A1527" s="11">
        <f>IF('Data Entry'!A1527="","",'Data Entry'!A1527)</f>
        <v/>
      </c>
      <c r="B1527" s="12">
        <f>IF('Data Entry'!A1527="","",'Data Entry'!B1527)</f>
        <v/>
      </c>
      <c r="C1527" s="12">
        <f>IF('Data Entry'!A1527="","",'Data Entry'!C1527)</f>
        <v/>
      </c>
      <c r="D1527" s="12">
        <f>IF('Data Entry'!A1527="","",'Data Entry'!D1527)</f>
        <v/>
      </c>
      <c r="E1527" s="12">
        <f>IF('Data Entry'!A1527="","",'Data Entry'!E1527)</f>
        <v/>
      </c>
      <c r="F1527" s="12">
        <f>IF('Data Entry'!A1527="","",'Data Entry'!F1527)</f>
        <v/>
      </c>
      <c r="G1527" s="13">
        <f>IF('Data Entry'!A1527="","",'Data Entry'!G1527)</f>
        <v/>
      </c>
      <c r="H1527" s="10">
        <f>IF('Data Entry'!A1527="","",'Data Entry'!H1527)</f>
        <v/>
      </c>
      <c r="I1527" s="10">
        <f>IF('Data Entry'!A1527="","",'Data Entry'!I1527)</f>
        <v/>
      </c>
      <c r="J1527" s="12">
        <f>IF('Data Entry'!A1527="","",IF('Data Entry'!D1527&lt;&gt;"",'Data Entry'!D1527,'Data Entry'!E1527))</f>
        <v/>
      </c>
      <c r="K1527" s="10">
        <f>IF('Data Entry'!A1527="","",IFERROR(SUMIFS($H$5:$H$2001,$J$5:$J$2001,$J1527,$B$5:$B$2001,$B1527,$A$5:$A$2001,(MAXIFS($A$5:$A$2001,$J$5:$J$2001,$J1527,$B$5:$B$2001,$B1527,$A$5:$A$2001,"&lt;"&amp;$A1527))),""))</f>
        <v/>
      </c>
      <c r="L1527" s="14">
        <f>IF(OR('Data Entry'!A1527="",$K1527=""),"",$H1527-$K1527)</f>
        <v/>
      </c>
      <c r="M1527" s="15">
        <f>IF(OR('Data Entry'!A1527="",$K1527="",$K1527=0),"",$L1527/$K1527)</f>
        <v/>
      </c>
      <c r="N1527" s="12">
        <f>IF('Data Entry'!A1527="","",IF($L1527="","New item",IF($L1527&gt;0,"UP",IF($L1527&lt;0,"down","same"))))</f>
        <v/>
      </c>
    </row>
    <row r="1528">
      <c r="A1528" s="11">
        <f>IF('Data Entry'!A1528="","",'Data Entry'!A1528)</f>
        <v/>
      </c>
      <c r="B1528" s="12">
        <f>IF('Data Entry'!A1528="","",'Data Entry'!B1528)</f>
        <v/>
      </c>
      <c r="C1528" s="12">
        <f>IF('Data Entry'!A1528="","",'Data Entry'!C1528)</f>
        <v/>
      </c>
      <c r="D1528" s="12">
        <f>IF('Data Entry'!A1528="","",'Data Entry'!D1528)</f>
        <v/>
      </c>
      <c r="E1528" s="12">
        <f>IF('Data Entry'!A1528="","",'Data Entry'!E1528)</f>
        <v/>
      </c>
      <c r="F1528" s="12">
        <f>IF('Data Entry'!A1528="","",'Data Entry'!F1528)</f>
        <v/>
      </c>
      <c r="G1528" s="13">
        <f>IF('Data Entry'!A1528="","",'Data Entry'!G1528)</f>
        <v/>
      </c>
      <c r="H1528" s="10">
        <f>IF('Data Entry'!A1528="","",'Data Entry'!H1528)</f>
        <v/>
      </c>
      <c r="I1528" s="10">
        <f>IF('Data Entry'!A1528="","",'Data Entry'!I1528)</f>
        <v/>
      </c>
      <c r="J1528" s="12">
        <f>IF('Data Entry'!A1528="","",IF('Data Entry'!D1528&lt;&gt;"",'Data Entry'!D1528,'Data Entry'!E1528))</f>
        <v/>
      </c>
      <c r="K1528" s="10">
        <f>IF('Data Entry'!A1528="","",IFERROR(SUMIFS($H$5:$H$2001,$J$5:$J$2001,$J1528,$B$5:$B$2001,$B1528,$A$5:$A$2001,(MAXIFS($A$5:$A$2001,$J$5:$J$2001,$J1528,$B$5:$B$2001,$B1528,$A$5:$A$2001,"&lt;"&amp;$A1528))),""))</f>
        <v/>
      </c>
      <c r="L1528" s="14">
        <f>IF(OR('Data Entry'!A1528="",$K1528=""),"",$H1528-$K1528)</f>
        <v/>
      </c>
      <c r="M1528" s="15">
        <f>IF(OR('Data Entry'!A1528="",$K1528="",$K1528=0),"",$L1528/$K1528)</f>
        <v/>
      </c>
      <c r="N1528" s="12">
        <f>IF('Data Entry'!A1528="","",IF($L1528="","New item",IF($L1528&gt;0,"UP",IF($L1528&lt;0,"down","same"))))</f>
        <v/>
      </c>
    </row>
    <row r="1529">
      <c r="A1529" s="11">
        <f>IF('Data Entry'!A1529="","",'Data Entry'!A1529)</f>
        <v/>
      </c>
      <c r="B1529" s="12">
        <f>IF('Data Entry'!A1529="","",'Data Entry'!B1529)</f>
        <v/>
      </c>
      <c r="C1529" s="12">
        <f>IF('Data Entry'!A1529="","",'Data Entry'!C1529)</f>
        <v/>
      </c>
      <c r="D1529" s="12">
        <f>IF('Data Entry'!A1529="","",'Data Entry'!D1529)</f>
        <v/>
      </c>
      <c r="E1529" s="12">
        <f>IF('Data Entry'!A1529="","",'Data Entry'!E1529)</f>
        <v/>
      </c>
      <c r="F1529" s="12">
        <f>IF('Data Entry'!A1529="","",'Data Entry'!F1529)</f>
        <v/>
      </c>
      <c r="G1529" s="13">
        <f>IF('Data Entry'!A1529="","",'Data Entry'!G1529)</f>
        <v/>
      </c>
      <c r="H1529" s="10">
        <f>IF('Data Entry'!A1529="","",'Data Entry'!H1529)</f>
        <v/>
      </c>
      <c r="I1529" s="10">
        <f>IF('Data Entry'!A1529="","",'Data Entry'!I1529)</f>
        <v/>
      </c>
      <c r="J1529" s="12">
        <f>IF('Data Entry'!A1529="","",IF('Data Entry'!D1529&lt;&gt;"",'Data Entry'!D1529,'Data Entry'!E1529))</f>
        <v/>
      </c>
      <c r="K1529" s="10">
        <f>IF('Data Entry'!A1529="","",IFERROR(SUMIFS($H$5:$H$2001,$J$5:$J$2001,$J1529,$B$5:$B$2001,$B1529,$A$5:$A$2001,(MAXIFS($A$5:$A$2001,$J$5:$J$2001,$J1529,$B$5:$B$2001,$B1529,$A$5:$A$2001,"&lt;"&amp;$A1529))),""))</f>
        <v/>
      </c>
      <c r="L1529" s="14">
        <f>IF(OR('Data Entry'!A1529="",$K1529=""),"",$H1529-$K1529)</f>
        <v/>
      </c>
      <c r="M1529" s="15">
        <f>IF(OR('Data Entry'!A1529="",$K1529="",$K1529=0),"",$L1529/$K1529)</f>
        <v/>
      </c>
      <c r="N1529" s="12">
        <f>IF('Data Entry'!A1529="","",IF($L1529="","New item",IF($L1529&gt;0,"UP",IF($L1529&lt;0,"down","same"))))</f>
        <v/>
      </c>
    </row>
    <row r="1530">
      <c r="A1530" s="11">
        <f>IF('Data Entry'!A1530="","",'Data Entry'!A1530)</f>
        <v/>
      </c>
      <c r="B1530" s="12">
        <f>IF('Data Entry'!A1530="","",'Data Entry'!B1530)</f>
        <v/>
      </c>
      <c r="C1530" s="12">
        <f>IF('Data Entry'!A1530="","",'Data Entry'!C1530)</f>
        <v/>
      </c>
      <c r="D1530" s="12">
        <f>IF('Data Entry'!A1530="","",'Data Entry'!D1530)</f>
        <v/>
      </c>
      <c r="E1530" s="12">
        <f>IF('Data Entry'!A1530="","",'Data Entry'!E1530)</f>
        <v/>
      </c>
      <c r="F1530" s="12">
        <f>IF('Data Entry'!A1530="","",'Data Entry'!F1530)</f>
        <v/>
      </c>
      <c r="G1530" s="13">
        <f>IF('Data Entry'!A1530="","",'Data Entry'!G1530)</f>
        <v/>
      </c>
      <c r="H1530" s="10">
        <f>IF('Data Entry'!A1530="","",'Data Entry'!H1530)</f>
        <v/>
      </c>
      <c r="I1530" s="10">
        <f>IF('Data Entry'!A1530="","",'Data Entry'!I1530)</f>
        <v/>
      </c>
      <c r="J1530" s="12">
        <f>IF('Data Entry'!A1530="","",IF('Data Entry'!D1530&lt;&gt;"",'Data Entry'!D1530,'Data Entry'!E1530))</f>
        <v/>
      </c>
      <c r="K1530" s="10">
        <f>IF('Data Entry'!A1530="","",IFERROR(SUMIFS($H$5:$H$2001,$J$5:$J$2001,$J1530,$B$5:$B$2001,$B1530,$A$5:$A$2001,(MAXIFS($A$5:$A$2001,$J$5:$J$2001,$J1530,$B$5:$B$2001,$B1530,$A$5:$A$2001,"&lt;"&amp;$A1530))),""))</f>
        <v/>
      </c>
      <c r="L1530" s="14">
        <f>IF(OR('Data Entry'!A1530="",$K1530=""),"",$H1530-$K1530)</f>
        <v/>
      </c>
      <c r="M1530" s="15">
        <f>IF(OR('Data Entry'!A1530="",$K1530="",$K1530=0),"",$L1530/$K1530)</f>
        <v/>
      </c>
      <c r="N1530" s="12">
        <f>IF('Data Entry'!A1530="","",IF($L1530="","New item",IF($L1530&gt;0,"UP",IF($L1530&lt;0,"down","same"))))</f>
        <v/>
      </c>
    </row>
    <row r="1531">
      <c r="A1531" s="11">
        <f>IF('Data Entry'!A1531="","",'Data Entry'!A1531)</f>
        <v/>
      </c>
      <c r="B1531" s="12">
        <f>IF('Data Entry'!A1531="","",'Data Entry'!B1531)</f>
        <v/>
      </c>
      <c r="C1531" s="12">
        <f>IF('Data Entry'!A1531="","",'Data Entry'!C1531)</f>
        <v/>
      </c>
      <c r="D1531" s="12">
        <f>IF('Data Entry'!A1531="","",'Data Entry'!D1531)</f>
        <v/>
      </c>
      <c r="E1531" s="12">
        <f>IF('Data Entry'!A1531="","",'Data Entry'!E1531)</f>
        <v/>
      </c>
      <c r="F1531" s="12">
        <f>IF('Data Entry'!A1531="","",'Data Entry'!F1531)</f>
        <v/>
      </c>
      <c r="G1531" s="13">
        <f>IF('Data Entry'!A1531="","",'Data Entry'!G1531)</f>
        <v/>
      </c>
      <c r="H1531" s="10">
        <f>IF('Data Entry'!A1531="","",'Data Entry'!H1531)</f>
        <v/>
      </c>
      <c r="I1531" s="10">
        <f>IF('Data Entry'!A1531="","",'Data Entry'!I1531)</f>
        <v/>
      </c>
      <c r="J1531" s="12">
        <f>IF('Data Entry'!A1531="","",IF('Data Entry'!D1531&lt;&gt;"",'Data Entry'!D1531,'Data Entry'!E1531))</f>
        <v/>
      </c>
      <c r="K1531" s="10">
        <f>IF('Data Entry'!A1531="","",IFERROR(SUMIFS($H$5:$H$2001,$J$5:$J$2001,$J1531,$B$5:$B$2001,$B1531,$A$5:$A$2001,(MAXIFS($A$5:$A$2001,$J$5:$J$2001,$J1531,$B$5:$B$2001,$B1531,$A$5:$A$2001,"&lt;"&amp;$A1531))),""))</f>
        <v/>
      </c>
      <c r="L1531" s="14">
        <f>IF(OR('Data Entry'!A1531="",$K1531=""),"",$H1531-$K1531)</f>
        <v/>
      </c>
      <c r="M1531" s="15">
        <f>IF(OR('Data Entry'!A1531="",$K1531="",$K1531=0),"",$L1531/$K1531)</f>
        <v/>
      </c>
      <c r="N1531" s="12">
        <f>IF('Data Entry'!A1531="","",IF($L1531="","New item",IF($L1531&gt;0,"UP",IF($L1531&lt;0,"down","same"))))</f>
        <v/>
      </c>
    </row>
    <row r="1532">
      <c r="A1532" s="11">
        <f>IF('Data Entry'!A1532="","",'Data Entry'!A1532)</f>
        <v/>
      </c>
      <c r="B1532" s="12">
        <f>IF('Data Entry'!A1532="","",'Data Entry'!B1532)</f>
        <v/>
      </c>
      <c r="C1532" s="12">
        <f>IF('Data Entry'!A1532="","",'Data Entry'!C1532)</f>
        <v/>
      </c>
      <c r="D1532" s="12">
        <f>IF('Data Entry'!A1532="","",'Data Entry'!D1532)</f>
        <v/>
      </c>
      <c r="E1532" s="12">
        <f>IF('Data Entry'!A1532="","",'Data Entry'!E1532)</f>
        <v/>
      </c>
      <c r="F1532" s="12">
        <f>IF('Data Entry'!A1532="","",'Data Entry'!F1532)</f>
        <v/>
      </c>
      <c r="G1532" s="13">
        <f>IF('Data Entry'!A1532="","",'Data Entry'!G1532)</f>
        <v/>
      </c>
      <c r="H1532" s="10">
        <f>IF('Data Entry'!A1532="","",'Data Entry'!H1532)</f>
        <v/>
      </c>
      <c r="I1532" s="10">
        <f>IF('Data Entry'!A1532="","",'Data Entry'!I1532)</f>
        <v/>
      </c>
      <c r="J1532" s="12">
        <f>IF('Data Entry'!A1532="","",IF('Data Entry'!D1532&lt;&gt;"",'Data Entry'!D1532,'Data Entry'!E1532))</f>
        <v/>
      </c>
      <c r="K1532" s="10">
        <f>IF('Data Entry'!A1532="","",IFERROR(SUMIFS($H$5:$H$2001,$J$5:$J$2001,$J1532,$B$5:$B$2001,$B1532,$A$5:$A$2001,(MAXIFS($A$5:$A$2001,$J$5:$J$2001,$J1532,$B$5:$B$2001,$B1532,$A$5:$A$2001,"&lt;"&amp;$A1532))),""))</f>
        <v/>
      </c>
      <c r="L1532" s="14">
        <f>IF(OR('Data Entry'!A1532="",$K1532=""),"",$H1532-$K1532)</f>
        <v/>
      </c>
      <c r="M1532" s="15">
        <f>IF(OR('Data Entry'!A1532="",$K1532="",$K1532=0),"",$L1532/$K1532)</f>
        <v/>
      </c>
      <c r="N1532" s="12">
        <f>IF('Data Entry'!A1532="","",IF($L1532="","New item",IF($L1532&gt;0,"UP",IF($L1532&lt;0,"down","same"))))</f>
        <v/>
      </c>
    </row>
    <row r="1533">
      <c r="A1533" s="11">
        <f>IF('Data Entry'!A1533="","",'Data Entry'!A1533)</f>
        <v/>
      </c>
      <c r="B1533" s="12">
        <f>IF('Data Entry'!A1533="","",'Data Entry'!B1533)</f>
        <v/>
      </c>
      <c r="C1533" s="12">
        <f>IF('Data Entry'!A1533="","",'Data Entry'!C1533)</f>
        <v/>
      </c>
      <c r="D1533" s="12">
        <f>IF('Data Entry'!A1533="","",'Data Entry'!D1533)</f>
        <v/>
      </c>
      <c r="E1533" s="12">
        <f>IF('Data Entry'!A1533="","",'Data Entry'!E1533)</f>
        <v/>
      </c>
      <c r="F1533" s="12">
        <f>IF('Data Entry'!A1533="","",'Data Entry'!F1533)</f>
        <v/>
      </c>
      <c r="G1533" s="13">
        <f>IF('Data Entry'!A1533="","",'Data Entry'!G1533)</f>
        <v/>
      </c>
      <c r="H1533" s="10">
        <f>IF('Data Entry'!A1533="","",'Data Entry'!H1533)</f>
        <v/>
      </c>
      <c r="I1533" s="10">
        <f>IF('Data Entry'!A1533="","",'Data Entry'!I1533)</f>
        <v/>
      </c>
      <c r="J1533" s="12">
        <f>IF('Data Entry'!A1533="","",IF('Data Entry'!D1533&lt;&gt;"",'Data Entry'!D1533,'Data Entry'!E1533))</f>
        <v/>
      </c>
      <c r="K1533" s="10">
        <f>IF('Data Entry'!A1533="","",IFERROR(SUMIFS($H$5:$H$2001,$J$5:$J$2001,$J1533,$B$5:$B$2001,$B1533,$A$5:$A$2001,(MAXIFS($A$5:$A$2001,$J$5:$J$2001,$J1533,$B$5:$B$2001,$B1533,$A$5:$A$2001,"&lt;"&amp;$A1533))),""))</f>
        <v/>
      </c>
      <c r="L1533" s="14">
        <f>IF(OR('Data Entry'!A1533="",$K1533=""),"",$H1533-$K1533)</f>
        <v/>
      </c>
      <c r="M1533" s="15">
        <f>IF(OR('Data Entry'!A1533="",$K1533="",$K1533=0),"",$L1533/$K1533)</f>
        <v/>
      </c>
      <c r="N1533" s="12">
        <f>IF('Data Entry'!A1533="","",IF($L1533="","New item",IF($L1533&gt;0,"UP",IF($L1533&lt;0,"down","same"))))</f>
        <v/>
      </c>
    </row>
    <row r="1534">
      <c r="A1534" s="11">
        <f>IF('Data Entry'!A1534="","",'Data Entry'!A1534)</f>
        <v/>
      </c>
      <c r="B1534" s="12">
        <f>IF('Data Entry'!A1534="","",'Data Entry'!B1534)</f>
        <v/>
      </c>
      <c r="C1534" s="12">
        <f>IF('Data Entry'!A1534="","",'Data Entry'!C1534)</f>
        <v/>
      </c>
      <c r="D1534" s="12">
        <f>IF('Data Entry'!A1534="","",'Data Entry'!D1534)</f>
        <v/>
      </c>
      <c r="E1534" s="12">
        <f>IF('Data Entry'!A1534="","",'Data Entry'!E1534)</f>
        <v/>
      </c>
      <c r="F1534" s="12">
        <f>IF('Data Entry'!A1534="","",'Data Entry'!F1534)</f>
        <v/>
      </c>
      <c r="G1534" s="13">
        <f>IF('Data Entry'!A1534="","",'Data Entry'!G1534)</f>
        <v/>
      </c>
      <c r="H1534" s="10">
        <f>IF('Data Entry'!A1534="","",'Data Entry'!H1534)</f>
        <v/>
      </c>
      <c r="I1534" s="10">
        <f>IF('Data Entry'!A1534="","",'Data Entry'!I1534)</f>
        <v/>
      </c>
      <c r="J1534" s="12">
        <f>IF('Data Entry'!A1534="","",IF('Data Entry'!D1534&lt;&gt;"",'Data Entry'!D1534,'Data Entry'!E1534))</f>
        <v/>
      </c>
      <c r="K1534" s="10">
        <f>IF('Data Entry'!A1534="","",IFERROR(SUMIFS($H$5:$H$2001,$J$5:$J$2001,$J1534,$B$5:$B$2001,$B1534,$A$5:$A$2001,(MAXIFS($A$5:$A$2001,$J$5:$J$2001,$J1534,$B$5:$B$2001,$B1534,$A$5:$A$2001,"&lt;"&amp;$A1534))),""))</f>
        <v/>
      </c>
      <c r="L1534" s="14">
        <f>IF(OR('Data Entry'!A1534="",$K1534=""),"",$H1534-$K1534)</f>
        <v/>
      </c>
      <c r="M1534" s="15">
        <f>IF(OR('Data Entry'!A1534="",$K1534="",$K1534=0),"",$L1534/$K1534)</f>
        <v/>
      </c>
      <c r="N1534" s="12">
        <f>IF('Data Entry'!A1534="","",IF($L1534="","New item",IF($L1534&gt;0,"UP",IF($L1534&lt;0,"down","same"))))</f>
        <v/>
      </c>
    </row>
    <row r="1535">
      <c r="A1535" s="11">
        <f>IF('Data Entry'!A1535="","",'Data Entry'!A1535)</f>
        <v/>
      </c>
      <c r="B1535" s="12">
        <f>IF('Data Entry'!A1535="","",'Data Entry'!B1535)</f>
        <v/>
      </c>
      <c r="C1535" s="12">
        <f>IF('Data Entry'!A1535="","",'Data Entry'!C1535)</f>
        <v/>
      </c>
      <c r="D1535" s="12">
        <f>IF('Data Entry'!A1535="","",'Data Entry'!D1535)</f>
        <v/>
      </c>
      <c r="E1535" s="12">
        <f>IF('Data Entry'!A1535="","",'Data Entry'!E1535)</f>
        <v/>
      </c>
      <c r="F1535" s="12">
        <f>IF('Data Entry'!A1535="","",'Data Entry'!F1535)</f>
        <v/>
      </c>
      <c r="G1535" s="13">
        <f>IF('Data Entry'!A1535="","",'Data Entry'!G1535)</f>
        <v/>
      </c>
      <c r="H1535" s="10">
        <f>IF('Data Entry'!A1535="","",'Data Entry'!H1535)</f>
        <v/>
      </c>
      <c r="I1535" s="10">
        <f>IF('Data Entry'!A1535="","",'Data Entry'!I1535)</f>
        <v/>
      </c>
      <c r="J1535" s="12">
        <f>IF('Data Entry'!A1535="","",IF('Data Entry'!D1535&lt;&gt;"",'Data Entry'!D1535,'Data Entry'!E1535))</f>
        <v/>
      </c>
      <c r="K1535" s="10">
        <f>IF('Data Entry'!A1535="","",IFERROR(SUMIFS($H$5:$H$2001,$J$5:$J$2001,$J1535,$B$5:$B$2001,$B1535,$A$5:$A$2001,(MAXIFS($A$5:$A$2001,$J$5:$J$2001,$J1535,$B$5:$B$2001,$B1535,$A$5:$A$2001,"&lt;"&amp;$A1535))),""))</f>
        <v/>
      </c>
      <c r="L1535" s="14">
        <f>IF(OR('Data Entry'!A1535="",$K1535=""),"",$H1535-$K1535)</f>
        <v/>
      </c>
      <c r="M1535" s="15">
        <f>IF(OR('Data Entry'!A1535="",$K1535="",$K1535=0),"",$L1535/$K1535)</f>
        <v/>
      </c>
      <c r="N1535" s="12">
        <f>IF('Data Entry'!A1535="","",IF($L1535="","New item",IF($L1535&gt;0,"UP",IF($L1535&lt;0,"down","same"))))</f>
        <v/>
      </c>
    </row>
    <row r="1536">
      <c r="A1536" s="11">
        <f>IF('Data Entry'!A1536="","",'Data Entry'!A1536)</f>
        <v/>
      </c>
      <c r="B1536" s="12">
        <f>IF('Data Entry'!A1536="","",'Data Entry'!B1536)</f>
        <v/>
      </c>
      <c r="C1536" s="12">
        <f>IF('Data Entry'!A1536="","",'Data Entry'!C1536)</f>
        <v/>
      </c>
      <c r="D1536" s="12">
        <f>IF('Data Entry'!A1536="","",'Data Entry'!D1536)</f>
        <v/>
      </c>
      <c r="E1536" s="12">
        <f>IF('Data Entry'!A1536="","",'Data Entry'!E1536)</f>
        <v/>
      </c>
      <c r="F1536" s="12">
        <f>IF('Data Entry'!A1536="","",'Data Entry'!F1536)</f>
        <v/>
      </c>
      <c r="G1536" s="13">
        <f>IF('Data Entry'!A1536="","",'Data Entry'!G1536)</f>
        <v/>
      </c>
      <c r="H1536" s="10">
        <f>IF('Data Entry'!A1536="","",'Data Entry'!H1536)</f>
        <v/>
      </c>
      <c r="I1536" s="10">
        <f>IF('Data Entry'!A1536="","",'Data Entry'!I1536)</f>
        <v/>
      </c>
      <c r="J1536" s="12">
        <f>IF('Data Entry'!A1536="","",IF('Data Entry'!D1536&lt;&gt;"",'Data Entry'!D1536,'Data Entry'!E1536))</f>
        <v/>
      </c>
      <c r="K1536" s="10">
        <f>IF('Data Entry'!A1536="","",IFERROR(SUMIFS($H$5:$H$2001,$J$5:$J$2001,$J1536,$B$5:$B$2001,$B1536,$A$5:$A$2001,(MAXIFS($A$5:$A$2001,$J$5:$J$2001,$J1536,$B$5:$B$2001,$B1536,$A$5:$A$2001,"&lt;"&amp;$A1536))),""))</f>
        <v/>
      </c>
      <c r="L1536" s="14">
        <f>IF(OR('Data Entry'!A1536="",$K1536=""),"",$H1536-$K1536)</f>
        <v/>
      </c>
      <c r="M1536" s="15">
        <f>IF(OR('Data Entry'!A1536="",$K1536="",$K1536=0),"",$L1536/$K1536)</f>
        <v/>
      </c>
      <c r="N1536" s="12">
        <f>IF('Data Entry'!A1536="","",IF($L1536="","New item",IF($L1536&gt;0,"UP",IF($L1536&lt;0,"down","same"))))</f>
        <v/>
      </c>
    </row>
    <row r="1537">
      <c r="A1537" s="11">
        <f>IF('Data Entry'!A1537="","",'Data Entry'!A1537)</f>
        <v/>
      </c>
      <c r="B1537" s="12">
        <f>IF('Data Entry'!A1537="","",'Data Entry'!B1537)</f>
        <v/>
      </c>
      <c r="C1537" s="12">
        <f>IF('Data Entry'!A1537="","",'Data Entry'!C1537)</f>
        <v/>
      </c>
      <c r="D1537" s="12">
        <f>IF('Data Entry'!A1537="","",'Data Entry'!D1537)</f>
        <v/>
      </c>
      <c r="E1537" s="12">
        <f>IF('Data Entry'!A1537="","",'Data Entry'!E1537)</f>
        <v/>
      </c>
      <c r="F1537" s="12">
        <f>IF('Data Entry'!A1537="","",'Data Entry'!F1537)</f>
        <v/>
      </c>
      <c r="G1537" s="13">
        <f>IF('Data Entry'!A1537="","",'Data Entry'!G1537)</f>
        <v/>
      </c>
      <c r="H1537" s="10">
        <f>IF('Data Entry'!A1537="","",'Data Entry'!H1537)</f>
        <v/>
      </c>
      <c r="I1537" s="10">
        <f>IF('Data Entry'!A1537="","",'Data Entry'!I1537)</f>
        <v/>
      </c>
      <c r="J1537" s="12">
        <f>IF('Data Entry'!A1537="","",IF('Data Entry'!D1537&lt;&gt;"",'Data Entry'!D1537,'Data Entry'!E1537))</f>
        <v/>
      </c>
      <c r="K1537" s="10">
        <f>IF('Data Entry'!A1537="","",IFERROR(SUMIFS($H$5:$H$2001,$J$5:$J$2001,$J1537,$B$5:$B$2001,$B1537,$A$5:$A$2001,(MAXIFS($A$5:$A$2001,$J$5:$J$2001,$J1537,$B$5:$B$2001,$B1537,$A$5:$A$2001,"&lt;"&amp;$A1537))),""))</f>
        <v/>
      </c>
      <c r="L1537" s="14">
        <f>IF(OR('Data Entry'!A1537="",$K1537=""),"",$H1537-$K1537)</f>
        <v/>
      </c>
      <c r="M1537" s="15">
        <f>IF(OR('Data Entry'!A1537="",$K1537="",$K1537=0),"",$L1537/$K1537)</f>
        <v/>
      </c>
      <c r="N1537" s="12">
        <f>IF('Data Entry'!A1537="","",IF($L1537="","New item",IF($L1537&gt;0,"UP",IF($L1537&lt;0,"down","same"))))</f>
        <v/>
      </c>
    </row>
    <row r="1538">
      <c r="A1538" s="11">
        <f>IF('Data Entry'!A1538="","",'Data Entry'!A1538)</f>
        <v/>
      </c>
      <c r="B1538" s="12">
        <f>IF('Data Entry'!A1538="","",'Data Entry'!B1538)</f>
        <v/>
      </c>
      <c r="C1538" s="12">
        <f>IF('Data Entry'!A1538="","",'Data Entry'!C1538)</f>
        <v/>
      </c>
      <c r="D1538" s="12">
        <f>IF('Data Entry'!A1538="","",'Data Entry'!D1538)</f>
        <v/>
      </c>
      <c r="E1538" s="12">
        <f>IF('Data Entry'!A1538="","",'Data Entry'!E1538)</f>
        <v/>
      </c>
      <c r="F1538" s="12">
        <f>IF('Data Entry'!A1538="","",'Data Entry'!F1538)</f>
        <v/>
      </c>
      <c r="G1538" s="13">
        <f>IF('Data Entry'!A1538="","",'Data Entry'!G1538)</f>
        <v/>
      </c>
      <c r="H1538" s="10">
        <f>IF('Data Entry'!A1538="","",'Data Entry'!H1538)</f>
        <v/>
      </c>
      <c r="I1538" s="10">
        <f>IF('Data Entry'!A1538="","",'Data Entry'!I1538)</f>
        <v/>
      </c>
      <c r="J1538" s="12">
        <f>IF('Data Entry'!A1538="","",IF('Data Entry'!D1538&lt;&gt;"",'Data Entry'!D1538,'Data Entry'!E1538))</f>
        <v/>
      </c>
      <c r="K1538" s="10">
        <f>IF('Data Entry'!A1538="","",IFERROR(SUMIFS($H$5:$H$2001,$J$5:$J$2001,$J1538,$B$5:$B$2001,$B1538,$A$5:$A$2001,(MAXIFS($A$5:$A$2001,$J$5:$J$2001,$J1538,$B$5:$B$2001,$B1538,$A$5:$A$2001,"&lt;"&amp;$A1538))),""))</f>
        <v/>
      </c>
      <c r="L1538" s="14">
        <f>IF(OR('Data Entry'!A1538="",$K1538=""),"",$H1538-$K1538)</f>
        <v/>
      </c>
      <c r="M1538" s="15">
        <f>IF(OR('Data Entry'!A1538="",$K1538="",$K1538=0),"",$L1538/$K1538)</f>
        <v/>
      </c>
      <c r="N1538" s="12">
        <f>IF('Data Entry'!A1538="","",IF($L1538="","New item",IF($L1538&gt;0,"UP",IF($L1538&lt;0,"down","same"))))</f>
        <v/>
      </c>
    </row>
    <row r="1539">
      <c r="A1539" s="11">
        <f>IF('Data Entry'!A1539="","",'Data Entry'!A1539)</f>
        <v/>
      </c>
      <c r="B1539" s="12">
        <f>IF('Data Entry'!A1539="","",'Data Entry'!B1539)</f>
        <v/>
      </c>
      <c r="C1539" s="12">
        <f>IF('Data Entry'!A1539="","",'Data Entry'!C1539)</f>
        <v/>
      </c>
      <c r="D1539" s="12">
        <f>IF('Data Entry'!A1539="","",'Data Entry'!D1539)</f>
        <v/>
      </c>
      <c r="E1539" s="12">
        <f>IF('Data Entry'!A1539="","",'Data Entry'!E1539)</f>
        <v/>
      </c>
      <c r="F1539" s="12">
        <f>IF('Data Entry'!A1539="","",'Data Entry'!F1539)</f>
        <v/>
      </c>
      <c r="G1539" s="13">
        <f>IF('Data Entry'!A1539="","",'Data Entry'!G1539)</f>
        <v/>
      </c>
      <c r="H1539" s="10">
        <f>IF('Data Entry'!A1539="","",'Data Entry'!H1539)</f>
        <v/>
      </c>
      <c r="I1539" s="10">
        <f>IF('Data Entry'!A1539="","",'Data Entry'!I1539)</f>
        <v/>
      </c>
      <c r="J1539" s="12">
        <f>IF('Data Entry'!A1539="","",IF('Data Entry'!D1539&lt;&gt;"",'Data Entry'!D1539,'Data Entry'!E1539))</f>
        <v/>
      </c>
      <c r="K1539" s="10">
        <f>IF('Data Entry'!A1539="","",IFERROR(SUMIFS($H$5:$H$2001,$J$5:$J$2001,$J1539,$B$5:$B$2001,$B1539,$A$5:$A$2001,(MAXIFS($A$5:$A$2001,$J$5:$J$2001,$J1539,$B$5:$B$2001,$B1539,$A$5:$A$2001,"&lt;"&amp;$A1539))),""))</f>
        <v/>
      </c>
      <c r="L1539" s="14">
        <f>IF(OR('Data Entry'!A1539="",$K1539=""),"",$H1539-$K1539)</f>
        <v/>
      </c>
      <c r="M1539" s="15">
        <f>IF(OR('Data Entry'!A1539="",$K1539="",$K1539=0),"",$L1539/$K1539)</f>
        <v/>
      </c>
      <c r="N1539" s="12">
        <f>IF('Data Entry'!A1539="","",IF($L1539="","New item",IF($L1539&gt;0,"UP",IF($L1539&lt;0,"down","same"))))</f>
        <v/>
      </c>
    </row>
    <row r="1540">
      <c r="A1540" s="11">
        <f>IF('Data Entry'!A1540="","",'Data Entry'!A1540)</f>
        <v/>
      </c>
      <c r="B1540" s="12">
        <f>IF('Data Entry'!A1540="","",'Data Entry'!B1540)</f>
        <v/>
      </c>
      <c r="C1540" s="12">
        <f>IF('Data Entry'!A1540="","",'Data Entry'!C1540)</f>
        <v/>
      </c>
      <c r="D1540" s="12">
        <f>IF('Data Entry'!A1540="","",'Data Entry'!D1540)</f>
        <v/>
      </c>
      <c r="E1540" s="12">
        <f>IF('Data Entry'!A1540="","",'Data Entry'!E1540)</f>
        <v/>
      </c>
      <c r="F1540" s="12">
        <f>IF('Data Entry'!A1540="","",'Data Entry'!F1540)</f>
        <v/>
      </c>
      <c r="G1540" s="13">
        <f>IF('Data Entry'!A1540="","",'Data Entry'!G1540)</f>
        <v/>
      </c>
      <c r="H1540" s="10">
        <f>IF('Data Entry'!A1540="","",'Data Entry'!H1540)</f>
        <v/>
      </c>
      <c r="I1540" s="10">
        <f>IF('Data Entry'!A1540="","",'Data Entry'!I1540)</f>
        <v/>
      </c>
      <c r="J1540" s="12">
        <f>IF('Data Entry'!A1540="","",IF('Data Entry'!D1540&lt;&gt;"",'Data Entry'!D1540,'Data Entry'!E1540))</f>
        <v/>
      </c>
      <c r="K1540" s="10">
        <f>IF('Data Entry'!A1540="","",IFERROR(SUMIFS($H$5:$H$2001,$J$5:$J$2001,$J1540,$B$5:$B$2001,$B1540,$A$5:$A$2001,(MAXIFS($A$5:$A$2001,$J$5:$J$2001,$J1540,$B$5:$B$2001,$B1540,$A$5:$A$2001,"&lt;"&amp;$A1540))),""))</f>
        <v/>
      </c>
      <c r="L1540" s="14">
        <f>IF(OR('Data Entry'!A1540="",$K1540=""),"",$H1540-$K1540)</f>
        <v/>
      </c>
      <c r="M1540" s="15">
        <f>IF(OR('Data Entry'!A1540="",$K1540="",$K1540=0),"",$L1540/$K1540)</f>
        <v/>
      </c>
      <c r="N1540" s="12">
        <f>IF('Data Entry'!A1540="","",IF($L1540="","New item",IF($L1540&gt;0,"UP",IF($L1540&lt;0,"down","same"))))</f>
        <v/>
      </c>
    </row>
    <row r="1541">
      <c r="A1541" s="11">
        <f>IF('Data Entry'!A1541="","",'Data Entry'!A1541)</f>
        <v/>
      </c>
      <c r="B1541" s="12">
        <f>IF('Data Entry'!A1541="","",'Data Entry'!B1541)</f>
        <v/>
      </c>
      <c r="C1541" s="12">
        <f>IF('Data Entry'!A1541="","",'Data Entry'!C1541)</f>
        <v/>
      </c>
      <c r="D1541" s="12">
        <f>IF('Data Entry'!A1541="","",'Data Entry'!D1541)</f>
        <v/>
      </c>
      <c r="E1541" s="12">
        <f>IF('Data Entry'!A1541="","",'Data Entry'!E1541)</f>
        <v/>
      </c>
      <c r="F1541" s="12">
        <f>IF('Data Entry'!A1541="","",'Data Entry'!F1541)</f>
        <v/>
      </c>
      <c r="G1541" s="13">
        <f>IF('Data Entry'!A1541="","",'Data Entry'!G1541)</f>
        <v/>
      </c>
      <c r="H1541" s="10">
        <f>IF('Data Entry'!A1541="","",'Data Entry'!H1541)</f>
        <v/>
      </c>
      <c r="I1541" s="10">
        <f>IF('Data Entry'!A1541="","",'Data Entry'!I1541)</f>
        <v/>
      </c>
      <c r="J1541" s="12">
        <f>IF('Data Entry'!A1541="","",IF('Data Entry'!D1541&lt;&gt;"",'Data Entry'!D1541,'Data Entry'!E1541))</f>
        <v/>
      </c>
      <c r="K1541" s="10">
        <f>IF('Data Entry'!A1541="","",IFERROR(SUMIFS($H$5:$H$2001,$J$5:$J$2001,$J1541,$B$5:$B$2001,$B1541,$A$5:$A$2001,(MAXIFS($A$5:$A$2001,$J$5:$J$2001,$J1541,$B$5:$B$2001,$B1541,$A$5:$A$2001,"&lt;"&amp;$A1541))),""))</f>
        <v/>
      </c>
      <c r="L1541" s="14">
        <f>IF(OR('Data Entry'!A1541="",$K1541=""),"",$H1541-$K1541)</f>
        <v/>
      </c>
      <c r="M1541" s="15">
        <f>IF(OR('Data Entry'!A1541="",$K1541="",$K1541=0),"",$L1541/$K1541)</f>
        <v/>
      </c>
      <c r="N1541" s="12">
        <f>IF('Data Entry'!A1541="","",IF($L1541="","New item",IF($L1541&gt;0,"UP",IF($L1541&lt;0,"down","same"))))</f>
        <v/>
      </c>
    </row>
    <row r="1542">
      <c r="A1542" s="11">
        <f>IF('Data Entry'!A1542="","",'Data Entry'!A1542)</f>
        <v/>
      </c>
      <c r="B1542" s="12">
        <f>IF('Data Entry'!A1542="","",'Data Entry'!B1542)</f>
        <v/>
      </c>
      <c r="C1542" s="12">
        <f>IF('Data Entry'!A1542="","",'Data Entry'!C1542)</f>
        <v/>
      </c>
      <c r="D1542" s="12">
        <f>IF('Data Entry'!A1542="","",'Data Entry'!D1542)</f>
        <v/>
      </c>
      <c r="E1542" s="12">
        <f>IF('Data Entry'!A1542="","",'Data Entry'!E1542)</f>
        <v/>
      </c>
      <c r="F1542" s="12">
        <f>IF('Data Entry'!A1542="","",'Data Entry'!F1542)</f>
        <v/>
      </c>
      <c r="G1542" s="13">
        <f>IF('Data Entry'!A1542="","",'Data Entry'!G1542)</f>
        <v/>
      </c>
      <c r="H1542" s="10">
        <f>IF('Data Entry'!A1542="","",'Data Entry'!H1542)</f>
        <v/>
      </c>
      <c r="I1542" s="10">
        <f>IF('Data Entry'!A1542="","",'Data Entry'!I1542)</f>
        <v/>
      </c>
      <c r="J1542" s="12">
        <f>IF('Data Entry'!A1542="","",IF('Data Entry'!D1542&lt;&gt;"",'Data Entry'!D1542,'Data Entry'!E1542))</f>
        <v/>
      </c>
      <c r="K1542" s="10">
        <f>IF('Data Entry'!A1542="","",IFERROR(SUMIFS($H$5:$H$2001,$J$5:$J$2001,$J1542,$B$5:$B$2001,$B1542,$A$5:$A$2001,(MAXIFS($A$5:$A$2001,$J$5:$J$2001,$J1542,$B$5:$B$2001,$B1542,$A$5:$A$2001,"&lt;"&amp;$A1542))),""))</f>
        <v/>
      </c>
      <c r="L1542" s="14">
        <f>IF(OR('Data Entry'!A1542="",$K1542=""),"",$H1542-$K1542)</f>
        <v/>
      </c>
      <c r="M1542" s="15">
        <f>IF(OR('Data Entry'!A1542="",$K1542="",$K1542=0),"",$L1542/$K1542)</f>
        <v/>
      </c>
      <c r="N1542" s="12">
        <f>IF('Data Entry'!A1542="","",IF($L1542="","New item",IF($L1542&gt;0,"UP",IF($L1542&lt;0,"down","same"))))</f>
        <v/>
      </c>
    </row>
    <row r="1543">
      <c r="A1543" s="11">
        <f>IF('Data Entry'!A1543="","",'Data Entry'!A1543)</f>
        <v/>
      </c>
      <c r="B1543" s="12">
        <f>IF('Data Entry'!A1543="","",'Data Entry'!B1543)</f>
        <v/>
      </c>
      <c r="C1543" s="12">
        <f>IF('Data Entry'!A1543="","",'Data Entry'!C1543)</f>
        <v/>
      </c>
      <c r="D1543" s="12">
        <f>IF('Data Entry'!A1543="","",'Data Entry'!D1543)</f>
        <v/>
      </c>
      <c r="E1543" s="12">
        <f>IF('Data Entry'!A1543="","",'Data Entry'!E1543)</f>
        <v/>
      </c>
      <c r="F1543" s="12">
        <f>IF('Data Entry'!A1543="","",'Data Entry'!F1543)</f>
        <v/>
      </c>
      <c r="G1543" s="13">
        <f>IF('Data Entry'!A1543="","",'Data Entry'!G1543)</f>
        <v/>
      </c>
      <c r="H1543" s="10">
        <f>IF('Data Entry'!A1543="","",'Data Entry'!H1543)</f>
        <v/>
      </c>
      <c r="I1543" s="10">
        <f>IF('Data Entry'!A1543="","",'Data Entry'!I1543)</f>
        <v/>
      </c>
      <c r="J1543" s="12">
        <f>IF('Data Entry'!A1543="","",IF('Data Entry'!D1543&lt;&gt;"",'Data Entry'!D1543,'Data Entry'!E1543))</f>
        <v/>
      </c>
      <c r="K1543" s="10">
        <f>IF('Data Entry'!A1543="","",IFERROR(SUMIFS($H$5:$H$2001,$J$5:$J$2001,$J1543,$B$5:$B$2001,$B1543,$A$5:$A$2001,(MAXIFS($A$5:$A$2001,$J$5:$J$2001,$J1543,$B$5:$B$2001,$B1543,$A$5:$A$2001,"&lt;"&amp;$A1543))),""))</f>
        <v/>
      </c>
      <c r="L1543" s="14">
        <f>IF(OR('Data Entry'!A1543="",$K1543=""),"",$H1543-$K1543)</f>
        <v/>
      </c>
      <c r="M1543" s="15">
        <f>IF(OR('Data Entry'!A1543="",$K1543="",$K1543=0),"",$L1543/$K1543)</f>
        <v/>
      </c>
      <c r="N1543" s="12">
        <f>IF('Data Entry'!A1543="","",IF($L1543="","New item",IF($L1543&gt;0,"UP",IF($L1543&lt;0,"down","same"))))</f>
        <v/>
      </c>
    </row>
    <row r="1544">
      <c r="A1544" s="11">
        <f>IF('Data Entry'!A1544="","",'Data Entry'!A1544)</f>
        <v/>
      </c>
      <c r="B1544" s="12">
        <f>IF('Data Entry'!A1544="","",'Data Entry'!B1544)</f>
        <v/>
      </c>
      <c r="C1544" s="12">
        <f>IF('Data Entry'!A1544="","",'Data Entry'!C1544)</f>
        <v/>
      </c>
      <c r="D1544" s="12">
        <f>IF('Data Entry'!A1544="","",'Data Entry'!D1544)</f>
        <v/>
      </c>
      <c r="E1544" s="12">
        <f>IF('Data Entry'!A1544="","",'Data Entry'!E1544)</f>
        <v/>
      </c>
      <c r="F1544" s="12">
        <f>IF('Data Entry'!A1544="","",'Data Entry'!F1544)</f>
        <v/>
      </c>
      <c r="G1544" s="13">
        <f>IF('Data Entry'!A1544="","",'Data Entry'!G1544)</f>
        <v/>
      </c>
      <c r="H1544" s="10">
        <f>IF('Data Entry'!A1544="","",'Data Entry'!H1544)</f>
        <v/>
      </c>
      <c r="I1544" s="10">
        <f>IF('Data Entry'!A1544="","",'Data Entry'!I1544)</f>
        <v/>
      </c>
      <c r="J1544" s="12">
        <f>IF('Data Entry'!A1544="","",IF('Data Entry'!D1544&lt;&gt;"",'Data Entry'!D1544,'Data Entry'!E1544))</f>
        <v/>
      </c>
      <c r="K1544" s="10">
        <f>IF('Data Entry'!A1544="","",IFERROR(SUMIFS($H$5:$H$2001,$J$5:$J$2001,$J1544,$B$5:$B$2001,$B1544,$A$5:$A$2001,(MAXIFS($A$5:$A$2001,$J$5:$J$2001,$J1544,$B$5:$B$2001,$B1544,$A$5:$A$2001,"&lt;"&amp;$A1544))),""))</f>
        <v/>
      </c>
      <c r="L1544" s="14">
        <f>IF(OR('Data Entry'!A1544="",$K1544=""),"",$H1544-$K1544)</f>
        <v/>
      </c>
      <c r="M1544" s="15">
        <f>IF(OR('Data Entry'!A1544="",$K1544="",$K1544=0),"",$L1544/$K1544)</f>
        <v/>
      </c>
      <c r="N1544" s="12">
        <f>IF('Data Entry'!A1544="","",IF($L1544="","New item",IF($L1544&gt;0,"UP",IF($L1544&lt;0,"down","same"))))</f>
        <v/>
      </c>
    </row>
    <row r="1545">
      <c r="A1545" s="11">
        <f>IF('Data Entry'!A1545="","",'Data Entry'!A1545)</f>
        <v/>
      </c>
      <c r="B1545" s="12">
        <f>IF('Data Entry'!A1545="","",'Data Entry'!B1545)</f>
        <v/>
      </c>
      <c r="C1545" s="12">
        <f>IF('Data Entry'!A1545="","",'Data Entry'!C1545)</f>
        <v/>
      </c>
      <c r="D1545" s="12">
        <f>IF('Data Entry'!A1545="","",'Data Entry'!D1545)</f>
        <v/>
      </c>
      <c r="E1545" s="12">
        <f>IF('Data Entry'!A1545="","",'Data Entry'!E1545)</f>
        <v/>
      </c>
      <c r="F1545" s="12">
        <f>IF('Data Entry'!A1545="","",'Data Entry'!F1545)</f>
        <v/>
      </c>
      <c r="G1545" s="13">
        <f>IF('Data Entry'!A1545="","",'Data Entry'!G1545)</f>
        <v/>
      </c>
      <c r="H1545" s="10">
        <f>IF('Data Entry'!A1545="","",'Data Entry'!H1545)</f>
        <v/>
      </c>
      <c r="I1545" s="10">
        <f>IF('Data Entry'!A1545="","",'Data Entry'!I1545)</f>
        <v/>
      </c>
      <c r="J1545" s="12">
        <f>IF('Data Entry'!A1545="","",IF('Data Entry'!D1545&lt;&gt;"",'Data Entry'!D1545,'Data Entry'!E1545))</f>
        <v/>
      </c>
      <c r="K1545" s="10">
        <f>IF('Data Entry'!A1545="","",IFERROR(SUMIFS($H$5:$H$2001,$J$5:$J$2001,$J1545,$B$5:$B$2001,$B1545,$A$5:$A$2001,(MAXIFS($A$5:$A$2001,$J$5:$J$2001,$J1545,$B$5:$B$2001,$B1545,$A$5:$A$2001,"&lt;"&amp;$A1545))),""))</f>
        <v/>
      </c>
      <c r="L1545" s="14">
        <f>IF(OR('Data Entry'!A1545="",$K1545=""),"",$H1545-$K1545)</f>
        <v/>
      </c>
      <c r="M1545" s="15">
        <f>IF(OR('Data Entry'!A1545="",$K1545="",$K1545=0),"",$L1545/$K1545)</f>
        <v/>
      </c>
      <c r="N1545" s="12">
        <f>IF('Data Entry'!A1545="","",IF($L1545="","New item",IF($L1545&gt;0,"UP",IF($L1545&lt;0,"down","same"))))</f>
        <v/>
      </c>
    </row>
    <row r="1546">
      <c r="A1546" s="11">
        <f>IF('Data Entry'!A1546="","",'Data Entry'!A1546)</f>
        <v/>
      </c>
      <c r="B1546" s="12">
        <f>IF('Data Entry'!A1546="","",'Data Entry'!B1546)</f>
        <v/>
      </c>
      <c r="C1546" s="12">
        <f>IF('Data Entry'!A1546="","",'Data Entry'!C1546)</f>
        <v/>
      </c>
      <c r="D1546" s="12">
        <f>IF('Data Entry'!A1546="","",'Data Entry'!D1546)</f>
        <v/>
      </c>
      <c r="E1546" s="12">
        <f>IF('Data Entry'!A1546="","",'Data Entry'!E1546)</f>
        <v/>
      </c>
      <c r="F1546" s="12">
        <f>IF('Data Entry'!A1546="","",'Data Entry'!F1546)</f>
        <v/>
      </c>
      <c r="G1546" s="13">
        <f>IF('Data Entry'!A1546="","",'Data Entry'!G1546)</f>
        <v/>
      </c>
      <c r="H1546" s="10">
        <f>IF('Data Entry'!A1546="","",'Data Entry'!H1546)</f>
        <v/>
      </c>
      <c r="I1546" s="10">
        <f>IF('Data Entry'!A1546="","",'Data Entry'!I1546)</f>
        <v/>
      </c>
      <c r="J1546" s="12">
        <f>IF('Data Entry'!A1546="","",IF('Data Entry'!D1546&lt;&gt;"",'Data Entry'!D1546,'Data Entry'!E1546))</f>
        <v/>
      </c>
      <c r="K1546" s="10">
        <f>IF('Data Entry'!A1546="","",IFERROR(SUMIFS($H$5:$H$2001,$J$5:$J$2001,$J1546,$B$5:$B$2001,$B1546,$A$5:$A$2001,(MAXIFS($A$5:$A$2001,$J$5:$J$2001,$J1546,$B$5:$B$2001,$B1546,$A$5:$A$2001,"&lt;"&amp;$A1546))),""))</f>
        <v/>
      </c>
      <c r="L1546" s="14">
        <f>IF(OR('Data Entry'!A1546="",$K1546=""),"",$H1546-$K1546)</f>
        <v/>
      </c>
      <c r="M1546" s="15">
        <f>IF(OR('Data Entry'!A1546="",$K1546="",$K1546=0),"",$L1546/$K1546)</f>
        <v/>
      </c>
      <c r="N1546" s="12">
        <f>IF('Data Entry'!A1546="","",IF($L1546="","New item",IF($L1546&gt;0,"UP",IF($L1546&lt;0,"down","same"))))</f>
        <v/>
      </c>
    </row>
    <row r="1547">
      <c r="A1547" s="11">
        <f>IF('Data Entry'!A1547="","",'Data Entry'!A1547)</f>
        <v/>
      </c>
      <c r="B1547" s="12">
        <f>IF('Data Entry'!A1547="","",'Data Entry'!B1547)</f>
        <v/>
      </c>
      <c r="C1547" s="12">
        <f>IF('Data Entry'!A1547="","",'Data Entry'!C1547)</f>
        <v/>
      </c>
      <c r="D1547" s="12">
        <f>IF('Data Entry'!A1547="","",'Data Entry'!D1547)</f>
        <v/>
      </c>
      <c r="E1547" s="12">
        <f>IF('Data Entry'!A1547="","",'Data Entry'!E1547)</f>
        <v/>
      </c>
      <c r="F1547" s="12">
        <f>IF('Data Entry'!A1547="","",'Data Entry'!F1547)</f>
        <v/>
      </c>
      <c r="G1547" s="13">
        <f>IF('Data Entry'!A1547="","",'Data Entry'!G1547)</f>
        <v/>
      </c>
      <c r="H1547" s="10">
        <f>IF('Data Entry'!A1547="","",'Data Entry'!H1547)</f>
        <v/>
      </c>
      <c r="I1547" s="10">
        <f>IF('Data Entry'!A1547="","",'Data Entry'!I1547)</f>
        <v/>
      </c>
      <c r="J1547" s="12">
        <f>IF('Data Entry'!A1547="","",IF('Data Entry'!D1547&lt;&gt;"",'Data Entry'!D1547,'Data Entry'!E1547))</f>
        <v/>
      </c>
      <c r="K1547" s="10">
        <f>IF('Data Entry'!A1547="","",IFERROR(SUMIFS($H$5:$H$2001,$J$5:$J$2001,$J1547,$B$5:$B$2001,$B1547,$A$5:$A$2001,(MAXIFS($A$5:$A$2001,$J$5:$J$2001,$J1547,$B$5:$B$2001,$B1547,$A$5:$A$2001,"&lt;"&amp;$A1547))),""))</f>
        <v/>
      </c>
      <c r="L1547" s="14">
        <f>IF(OR('Data Entry'!A1547="",$K1547=""),"",$H1547-$K1547)</f>
        <v/>
      </c>
      <c r="M1547" s="15">
        <f>IF(OR('Data Entry'!A1547="",$K1547="",$K1547=0),"",$L1547/$K1547)</f>
        <v/>
      </c>
      <c r="N1547" s="12">
        <f>IF('Data Entry'!A1547="","",IF($L1547="","New item",IF($L1547&gt;0,"UP",IF($L1547&lt;0,"down","same"))))</f>
        <v/>
      </c>
    </row>
    <row r="1548">
      <c r="A1548" s="11">
        <f>IF('Data Entry'!A1548="","",'Data Entry'!A1548)</f>
        <v/>
      </c>
      <c r="B1548" s="12">
        <f>IF('Data Entry'!A1548="","",'Data Entry'!B1548)</f>
        <v/>
      </c>
      <c r="C1548" s="12">
        <f>IF('Data Entry'!A1548="","",'Data Entry'!C1548)</f>
        <v/>
      </c>
      <c r="D1548" s="12">
        <f>IF('Data Entry'!A1548="","",'Data Entry'!D1548)</f>
        <v/>
      </c>
      <c r="E1548" s="12">
        <f>IF('Data Entry'!A1548="","",'Data Entry'!E1548)</f>
        <v/>
      </c>
      <c r="F1548" s="12">
        <f>IF('Data Entry'!A1548="","",'Data Entry'!F1548)</f>
        <v/>
      </c>
      <c r="G1548" s="13">
        <f>IF('Data Entry'!A1548="","",'Data Entry'!G1548)</f>
        <v/>
      </c>
      <c r="H1548" s="10">
        <f>IF('Data Entry'!A1548="","",'Data Entry'!H1548)</f>
        <v/>
      </c>
      <c r="I1548" s="10">
        <f>IF('Data Entry'!A1548="","",'Data Entry'!I1548)</f>
        <v/>
      </c>
      <c r="J1548" s="12">
        <f>IF('Data Entry'!A1548="","",IF('Data Entry'!D1548&lt;&gt;"",'Data Entry'!D1548,'Data Entry'!E1548))</f>
        <v/>
      </c>
      <c r="K1548" s="10">
        <f>IF('Data Entry'!A1548="","",IFERROR(SUMIFS($H$5:$H$2001,$J$5:$J$2001,$J1548,$B$5:$B$2001,$B1548,$A$5:$A$2001,(MAXIFS($A$5:$A$2001,$J$5:$J$2001,$J1548,$B$5:$B$2001,$B1548,$A$5:$A$2001,"&lt;"&amp;$A1548))),""))</f>
        <v/>
      </c>
      <c r="L1548" s="14">
        <f>IF(OR('Data Entry'!A1548="",$K1548=""),"",$H1548-$K1548)</f>
        <v/>
      </c>
      <c r="M1548" s="15">
        <f>IF(OR('Data Entry'!A1548="",$K1548="",$K1548=0),"",$L1548/$K1548)</f>
        <v/>
      </c>
      <c r="N1548" s="12">
        <f>IF('Data Entry'!A1548="","",IF($L1548="","New item",IF($L1548&gt;0,"UP",IF($L1548&lt;0,"down","same"))))</f>
        <v/>
      </c>
    </row>
    <row r="1549">
      <c r="A1549" s="11">
        <f>IF('Data Entry'!A1549="","",'Data Entry'!A1549)</f>
        <v/>
      </c>
      <c r="B1549" s="12">
        <f>IF('Data Entry'!A1549="","",'Data Entry'!B1549)</f>
        <v/>
      </c>
      <c r="C1549" s="12">
        <f>IF('Data Entry'!A1549="","",'Data Entry'!C1549)</f>
        <v/>
      </c>
      <c r="D1549" s="12">
        <f>IF('Data Entry'!A1549="","",'Data Entry'!D1549)</f>
        <v/>
      </c>
      <c r="E1549" s="12">
        <f>IF('Data Entry'!A1549="","",'Data Entry'!E1549)</f>
        <v/>
      </c>
      <c r="F1549" s="12">
        <f>IF('Data Entry'!A1549="","",'Data Entry'!F1549)</f>
        <v/>
      </c>
      <c r="G1549" s="13">
        <f>IF('Data Entry'!A1549="","",'Data Entry'!G1549)</f>
        <v/>
      </c>
      <c r="H1549" s="10">
        <f>IF('Data Entry'!A1549="","",'Data Entry'!H1549)</f>
        <v/>
      </c>
      <c r="I1549" s="10">
        <f>IF('Data Entry'!A1549="","",'Data Entry'!I1549)</f>
        <v/>
      </c>
      <c r="J1549" s="12">
        <f>IF('Data Entry'!A1549="","",IF('Data Entry'!D1549&lt;&gt;"",'Data Entry'!D1549,'Data Entry'!E1549))</f>
        <v/>
      </c>
      <c r="K1549" s="10">
        <f>IF('Data Entry'!A1549="","",IFERROR(SUMIFS($H$5:$H$2001,$J$5:$J$2001,$J1549,$B$5:$B$2001,$B1549,$A$5:$A$2001,(MAXIFS($A$5:$A$2001,$J$5:$J$2001,$J1549,$B$5:$B$2001,$B1549,$A$5:$A$2001,"&lt;"&amp;$A1549))),""))</f>
        <v/>
      </c>
      <c r="L1549" s="14">
        <f>IF(OR('Data Entry'!A1549="",$K1549=""),"",$H1549-$K1549)</f>
        <v/>
      </c>
      <c r="M1549" s="15">
        <f>IF(OR('Data Entry'!A1549="",$K1549="",$K1549=0),"",$L1549/$K1549)</f>
        <v/>
      </c>
      <c r="N1549" s="12">
        <f>IF('Data Entry'!A1549="","",IF($L1549="","New item",IF($L1549&gt;0,"UP",IF($L1549&lt;0,"down","same"))))</f>
        <v/>
      </c>
    </row>
    <row r="1550">
      <c r="A1550" s="11">
        <f>IF('Data Entry'!A1550="","",'Data Entry'!A1550)</f>
        <v/>
      </c>
      <c r="B1550" s="12">
        <f>IF('Data Entry'!A1550="","",'Data Entry'!B1550)</f>
        <v/>
      </c>
      <c r="C1550" s="12">
        <f>IF('Data Entry'!A1550="","",'Data Entry'!C1550)</f>
        <v/>
      </c>
      <c r="D1550" s="12">
        <f>IF('Data Entry'!A1550="","",'Data Entry'!D1550)</f>
        <v/>
      </c>
      <c r="E1550" s="12">
        <f>IF('Data Entry'!A1550="","",'Data Entry'!E1550)</f>
        <v/>
      </c>
      <c r="F1550" s="12">
        <f>IF('Data Entry'!A1550="","",'Data Entry'!F1550)</f>
        <v/>
      </c>
      <c r="G1550" s="13">
        <f>IF('Data Entry'!A1550="","",'Data Entry'!G1550)</f>
        <v/>
      </c>
      <c r="H1550" s="10">
        <f>IF('Data Entry'!A1550="","",'Data Entry'!H1550)</f>
        <v/>
      </c>
      <c r="I1550" s="10">
        <f>IF('Data Entry'!A1550="","",'Data Entry'!I1550)</f>
        <v/>
      </c>
      <c r="J1550" s="12">
        <f>IF('Data Entry'!A1550="","",IF('Data Entry'!D1550&lt;&gt;"",'Data Entry'!D1550,'Data Entry'!E1550))</f>
        <v/>
      </c>
      <c r="K1550" s="10">
        <f>IF('Data Entry'!A1550="","",IFERROR(SUMIFS($H$5:$H$2001,$J$5:$J$2001,$J1550,$B$5:$B$2001,$B1550,$A$5:$A$2001,(MAXIFS($A$5:$A$2001,$J$5:$J$2001,$J1550,$B$5:$B$2001,$B1550,$A$5:$A$2001,"&lt;"&amp;$A1550))),""))</f>
        <v/>
      </c>
      <c r="L1550" s="14">
        <f>IF(OR('Data Entry'!A1550="",$K1550=""),"",$H1550-$K1550)</f>
        <v/>
      </c>
      <c r="M1550" s="15">
        <f>IF(OR('Data Entry'!A1550="",$K1550="",$K1550=0),"",$L1550/$K1550)</f>
        <v/>
      </c>
      <c r="N1550" s="12">
        <f>IF('Data Entry'!A1550="","",IF($L1550="","New item",IF($L1550&gt;0,"UP",IF($L1550&lt;0,"down","same"))))</f>
        <v/>
      </c>
    </row>
    <row r="1551">
      <c r="A1551" s="11">
        <f>IF('Data Entry'!A1551="","",'Data Entry'!A1551)</f>
        <v/>
      </c>
      <c r="B1551" s="12">
        <f>IF('Data Entry'!A1551="","",'Data Entry'!B1551)</f>
        <v/>
      </c>
      <c r="C1551" s="12">
        <f>IF('Data Entry'!A1551="","",'Data Entry'!C1551)</f>
        <v/>
      </c>
      <c r="D1551" s="12">
        <f>IF('Data Entry'!A1551="","",'Data Entry'!D1551)</f>
        <v/>
      </c>
      <c r="E1551" s="12">
        <f>IF('Data Entry'!A1551="","",'Data Entry'!E1551)</f>
        <v/>
      </c>
      <c r="F1551" s="12">
        <f>IF('Data Entry'!A1551="","",'Data Entry'!F1551)</f>
        <v/>
      </c>
      <c r="G1551" s="13">
        <f>IF('Data Entry'!A1551="","",'Data Entry'!G1551)</f>
        <v/>
      </c>
      <c r="H1551" s="10">
        <f>IF('Data Entry'!A1551="","",'Data Entry'!H1551)</f>
        <v/>
      </c>
      <c r="I1551" s="10">
        <f>IF('Data Entry'!A1551="","",'Data Entry'!I1551)</f>
        <v/>
      </c>
      <c r="J1551" s="12">
        <f>IF('Data Entry'!A1551="","",IF('Data Entry'!D1551&lt;&gt;"",'Data Entry'!D1551,'Data Entry'!E1551))</f>
        <v/>
      </c>
      <c r="K1551" s="10">
        <f>IF('Data Entry'!A1551="","",IFERROR(SUMIFS($H$5:$H$2001,$J$5:$J$2001,$J1551,$B$5:$B$2001,$B1551,$A$5:$A$2001,(MAXIFS($A$5:$A$2001,$J$5:$J$2001,$J1551,$B$5:$B$2001,$B1551,$A$5:$A$2001,"&lt;"&amp;$A1551))),""))</f>
        <v/>
      </c>
      <c r="L1551" s="14">
        <f>IF(OR('Data Entry'!A1551="",$K1551=""),"",$H1551-$K1551)</f>
        <v/>
      </c>
      <c r="M1551" s="15">
        <f>IF(OR('Data Entry'!A1551="",$K1551="",$K1551=0),"",$L1551/$K1551)</f>
        <v/>
      </c>
      <c r="N1551" s="12">
        <f>IF('Data Entry'!A1551="","",IF($L1551="","New item",IF($L1551&gt;0,"UP",IF($L1551&lt;0,"down","same"))))</f>
        <v/>
      </c>
    </row>
    <row r="1552">
      <c r="A1552" s="11">
        <f>IF('Data Entry'!A1552="","",'Data Entry'!A1552)</f>
        <v/>
      </c>
      <c r="B1552" s="12">
        <f>IF('Data Entry'!A1552="","",'Data Entry'!B1552)</f>
        <v/>
      </c>
      <c r="C1552" s="12">
        <f>IF('Data Entry'!A1552="","",'Data Entry'!C1552)</f>
        <v/>
      </c>
      <c r="D1552" s="12">
        <f>IF('Data Entry'!A1552="","",'Data Entry'!D1552)</f>
        <v/>
      </c>
      <c r="E1552" s="12">
        <f>IF('Data Entry'!A1552="","",'Data Entry'!E1552)</f>
        <v/>
      </c>
      <c r="F1552" s="12">
        <f>IF('Data Entry'!A1552="","",'Data Entry'!F1552)</f>
        <v/>
      </c>
      <c r="G1552" s="13">
        <f>IF('Data Entry'!A1552="","",'Data Entry'!G1552)</f>
        <v/>
      </c>
      <c r="H1552" s="10">
        <f>IF('Data Entry'!A1552="","",'Data Entry'!H1552)</f>
        <v/>
      </c>
      <c r="I1552" s="10">
        <f>IF('Data Entry'!A1552="","",'Data Entry'!I1552)</f>
        <v/>
      </c>
      <c r="J1552" s="12">
        <f>IF('Data Entry'!A1552="","",IF('Data Entry'!D1552&lt;&gt;"",'Data Entry'!D1552,'Data Entry'!E1552))</f>
        <v/>
      </c>
      <c r="K1552" s="10">
        <f>IF('Data Entry'!A1552="","",IFERROR(SUMIFS($H$5:$H$2001,$J$5:$J$2001,$J1552,$B$5:$B$2001,$B1552,$A$5:$A$2001,(MAXIFS($A$5:$A$2001,$J$5:$J$2001,$J1552,$B$5:$B$2001,$B1552,$A$5:$A$2001,"&lt;"&amp;$A1552))),""))</f>
        <v/>
      </c>
      <c r="L1552" s="14">
        <f>IF(OR('Data Entry'!A1552="",$K1552=""),"",$H1552-$K1552)</f>
        <v/>
      </c>
      <c r="M1552" s="15">
        <f>IF(OR('Data Entry'!A1552="",$K1552="",$K1552=0),"",$L1552/$K1552)</f>
        <v/>
      </c>
      <c r="N1552" s="12">
        <f>IF('Data Entry'!A1552="","",IF($L1552="","New item",IF($L1552&gt;0,"UP",IF($L1552&lt;0,"down","same"))))</f>
        <v/>
      </c>
    </row>
    <row r="1553">
      <c r="A1553" s="11">
        <f>IF('Data Entry'!A1553="","",'Data Entry'!A1553)</f>
        <v/>
      </c>
      <c r="B1553" s="12">
        <f>IF('Data Entry'!A1553="","",'Data Entry'!B1553)</f>
        <v/>
      </c>
      <c r="C1553" s="12">
        <f>IF('Data Entry'!A1553="","",'Data Entry'!C1553)</f>
        <v/>
      </c>
      <c r="D1553" s="12">
        <f>IF('Data Entry'!A1553="","",'Data Entry'!D1553)</f>
        <v/>
      </c>
      <c r="E1553" s="12">
        <f>IF('Data Entry'!A1553="","",'Data Entry'!E1553)</f>
        <v/>
      </c>
      <c r="F1553" s="12">
        <f>IF('Data Entry'!A1553="","",'Data Entry'!F1553)</f>
        <v/>
      </c>
      <c r="G1553" s="13">
        <f>IF('Data Entry'!A1553="","",'Data Entry'!G1553)</f>
        <v/>
      </c>
      <c r="H1553" s="10">
        <f>IF('Data Entry'!A1553="","",'Data Entry'!H1553)</f>
        <v/>
      </c>
      <c r="I1553" s="10">
        <f>IF('Data Entry'!A1553="","",'Data Entry'!I1553)</f>
        <v/>
      </c>
      <c r="J1553" s="12">
        <f>IF('Data Entry'!A1553="","",IF('Data Entry'!D1553&lt;&gt;"",'Data Entry'!D1553,'Data Entry'!E1553))</f>
        <v/>
      </c>
      <c r="K1553" s="10">
        <f>IF('Data Entry'!A1553="","",IFERROR(SUMIFS($H$5:$H$2001,$J$5:$J$2001,$J1553,$B$5:$B$2001,$B1553,$A$5:$A$2001,(MAXIFS($A$5:$A$2001,$J$5:$J$2001,$J1553,$B$5:$B$2001,$B1553,$A$5:$A$2001,"&lt;"&amp;$A1553))),""))</f>
        <v/>
      </c>
      <c r="L1553" s="14">
        <f>IF(OR('Data Entry'!A1553="",$K1553=""),"",$H1553-$K1553)</f>
        <v/>
      </c>
      <c r="M1553" s="15">
        <f>IF(OR('Data Entry'!A1553="",$K1553="",$K1553=0),"",$L1553/$K1553)</f>
        <v/>
      </c>
      <c r="N1553" s="12">
        <f>IF('Data Entry'!A1553="","",IF($L1553="","New item",IF($L1553&gt;0,"UP",IF($L1553&lt;0,"down","same"))))</f>
        <v/>
      </c>
    </row>
    <row r="1554">
      <c r="A1554" s="11">
        <f>IF('Data Entry'!A1554="","",'Data Entry'!A1554)</f>
        <v/>
      </c>
      <c r="B1554" s="12">
        <f>IF('Data Entry'!A1554="","",'Data Entry'!B1554)</f>
        <v/>
      </c>
      <c r="C1554" s="12">
        <f>IF('Data Entry'!A1554="","",'Data Entry'!C1554)</f>
        <v/>
      </c>
      <c r="D1554" s="12">
        <f>IF('Data Entry'!A1554="","",'Data Entry'!D1554)</f>
        <v/>
      </c>
      <c r="E1554" s="12">
        <f>IF('Data Entry'!A1554="","",'Data Entry'!E1554)</f>
        <v/>
      </c>
      <c r="F1554" s="12">
        <f>IF('Data Entry'!A1554="","",'Data Entry'!F1554)</f>
        <v/>
      </c>
      <c r="G1554" s="13">
        <f>IF('Data Entry'!A1554="","",'Data Entry'!G1554)</f>
        <v/>
      </c>
      <c r="H1554" s="10">
        <f>IF('Data Entry'!A1554="","",'Data Entry'!H1554)</f>
        <v/>
      </c>
      <c r="I1554" s="10">
        <f>IF('Data Entry'!A1554="","",'Data Entry'!I1554)</f>
        <v/>
      </c>
      <c r="J1554" s="12">
        <f>IF('Data Entry'!A1554="","",IF('Data Entry'!D1554&lt;&gt;"",'Data Entry'!D1554,'Data Entry'!E1554))</f>
        <v/>
      </c>
      <c r="K1554" s="10">
        <f>IF('Data Entry'!A1554="","",IFERROR(SUMIFS($H$5:$H$2001,$J$5:$J$2001,$J1554,$B$5:$B$2001,$B1554,$A$5:$A$2001,(MAXIFS($A$5:$A$2001,$J$5:$J$2001,$J1554,$B$5:$B$2001,$B1554,$A$5:$A$2001,"&lt;"&amp;$A1554))),""))</f>
        <v/>
      </c>
      <c r="L1554" s="14">
        <f>IF(OR('Data Entry'!A1554="",$K1554=""),"",$H1554-$K1554)</f>
        <v/>
      </c>
      <c r="M1554" s="15">
        <f>IF(OR('Data Entry'!A1554="",$K1554="",$K1554=0),"",$L1554/$K1554)</f>
        <v/>
      </c>
      <c r="N1554" s="12">
        <f>IF('Data Entry'!A1554="","",IF($L1554="","New item",IF($L1554&gt;0,"UP",IF($L1554&lt;0,"down","same"))))</f>
        <v/>
      </c>
    </row>
    <row r="1555">
      <c r="A1555" s="11">
        <f>IF('Data Entry'!A1555="","",'Data Entry'!A1555)</f>
        <v/>
      </c>
      <c r="B1555" s="12">
        <f>IF('Data Entry'!A1555="","",'Data Entry'!B1555)</f>
        <v/>
      </c>
      <c r="C1555" s="12">
        <f>IF('Data Entry'!A1555="","",'Data Entry'!C1555)</f>
        <v/>
      </c>
      <c r="D1555" s="12">
        <f>IF('Data Entry'!A1555="","",'Data Entry'!D1555)</f>
        <v/>
      </c>
      <c r="E1555" s="12">
        <f>IF('Data Entry'!A1555="","",'Data Entry'!E1555)</f>
        <v/>
      </c>
      <c r="F1555" s="12">
        <f>IF('Data Entry'!A1555="","",'Data Entry'!F1555)</f>
        <v/>
      </c>
      <c r="G1555" s="13">
        <f>IF('Data Entry'!A1555="","",'Data Entry'!G1555)</f>
        <v/>
      </c>
      <c r="H1555" s="10">
        <f>IF('Data Entry'!A1555="","",'Data Entry'!H1555)</f>
        <v/>
      </c>
      <c r="I1555" s="10">
        <f>IF('Data Entry'!A1555="","",'Data Entry'!I1555)</f>
        <v/>
      </c>
      <c r="J1555" s="12">
        <f>IF('Data Entry'!A1555="","",IF('Data Entry'!D1555&lt;&gt;"",'Data Entry'!D1555,'Data Entry'!E1555))</f>
        <v/>
      </c>
      <c r="K1555" s="10">
        <f>IF('Data Entry'!A1555="","",IFERROR(SUMIFS($H$5:$H$2001,$J$5:$J$2001,$J1555,$B$5:$B$2001,$B1555,$A$5:$A$2001,(MAXIFS($A$5:$A$2001,$J$5:$J$2001,$J1555,$B$5:$B$2001,$B1555,$A$5:$A$2001,"&lt;"&amp;$A1555))),""))</f>
        <v/>
      </c>
      <c r="L1555" s="14">
        <f>IF(OR('Data Entry'!A1555="",$K1555=""),"",$H1555-$K1555)</f>
        <v/>
      </c>
      <c r="M1555" s="15">
        <f>IF(OR('Data Entry'!A1555="",$K1555="",$K1555=0),"",$L1555/$K1555)</f>
        <v/>
      </c>
      <c r="N1555" s="12">
        <f>IF('Data Entry'!A1555="","",IF($L1555="","New item",IF($L1555&gt;0,"UP",IF($L1555&lt;0,"down","same"))))</f>
        <v/>
      </c>
    </row>
    <row r="1556">
      <c r="A1556" s="11">
        <f>IF('Data Entry'!A1556="","",'Data Entry'!A1556)</f>
        <v/>
      </c>
      <c r="B1556" s="12">
        <f>IF('Data Entry'!A1556="","",'Data Entry'!B1556)</f>
        <v/>
      </c>
      <c r="C1556" s="12">
        <f>IF('Data Entry'!A1556="","",'Data Entry'!C1556)</f>
        <v/>
      </c>
      <c r="D1556" s="12">
        <f>IF('Data Entry'!A1556="","",'Data Entry'!D1556)</f>
        <v/>
      </c>
      <c r="E1556" s="12">
        <f>IF('Data Entry'!A1556="","",'Data Entry'!E1556)</f>
        <v/>
      </c>
      <c r="F1556" s="12">
        <f>IF('Data Entry'!A1556="","",'Data Entry'!F1556)</f>
        <v/>
      </c>
      <c r="G1556" s="13">
        <f>IF('Data Entry'!A1556="","",'Data Entry'!G1556)</f>
        <v/>
      </c>
      <c r="H1556" s="10">
        <f>IF('Data Entry'!A1556="","",'Data Entry'!H1556)</f>
        <v/>
      </c>
      <c r="I1556" s="10">
        <f>IF('Data Entry'!A1556="","",'Data Entry'!I1556)</f>
        <v/>
      </c>
      <c r="J1556" s="12">
        <f>IF('Data Entry'!A1556="","",IF('Data Entry'!D1556&lt;&gt;"",'Data Entry'!D1556,'Data Entry'!E1556))</f>
        <v/>
      </c>
      <c r="K1556" s="10">
        <f>IF('Data Entry'!A1556="","",IFERROR(SUMIFS($H$5:$H$2001,$J$5:$J$2001,$J1556,$B$5:$B$2001,$B1556,$A$5:$A$2001,(MAXIFS($A$5:$A$2001,$J$5:$J$2001,$J1556,$B$5:$B$2001,$B1556,$A$5:$A$2001,"&lt;"&amp;$A1556))),""))</f>
        <v/>
      </c>
      <c r="L1556" s="14">
        <f>IF(OR('Data Entry'!A1556="",$K1556=""),"",$H1556-$K1556)</f>
        <v/>
      </c>
      <c r="M1556" s="15">
        <f>IF(OR('Data Entry'!A1556="",$K1556="",$K1556=0),"",$L1556/$K1556)</f>
        <v/>
      </c>
      <c r="N1556" s="12">
        <f>IF('Data Entry'!A1556="","",IF($L1556="","New item",IF($L1556&gt;0,"UP",IF($L1556&lt;0,"down","same"))))</f>
        <v/>
      </c>
    </row>
    <row r="1557">
      <c r="A1557" s="11">
        <f>IF('Data Entry'!A1557="","",'Data Entry'!A1557)</f>
        <v/>
      </c>
      <c r="B1557" s="12">
        <f>IF('Data Entry'!A1557="","",'Data Entry'!B1557)</f>
        <v/>
      </c>
      <c r="C1557" s="12">
        <f>IF('Data Entry'!A1557="","",'Data Entry'!C1557)</f>
        <v/>
      </c>
      <c r="D1557" s="12">
        <f>IF('Data Entry'!A1557="","",'Data Entry'!D1557)</f>
        <v/>
      </c>
      <c r="E1557" s="12">
        <f>IF('Data Entry'!A1557="","",'Data Entry'!E1557)</f>
        <v/>
      </c>
      <c r="F1557" s="12">
        <f>IF('Data Entry'!A1557="","",'Data Entry'!F1557)</f>
        <v/>
      </c>
      <c r="G1557" s="13">
        <f>IF('Data Entry'!A1557="","",'Data Entry'!G1557)</f>
        <v/>
      </c>
      <c r="H1557" s="10">
        <f>IF('Data Entry'!A1557="","",'Data Entry'!H1557)</f>
        <v/>
      </c>
      <c r="I1557" s="10">
        <f>IF('Data Entry'!A1557="","",'Data Entry'!I1557)</f>
        <v/>
      </c>
      <c r="J1557" s="12">
        <f>IF('Data Entry'!A1557="","",IF('Data Entry'!D1557&lt;&gt;"",'Data Entry'!D1557,'Data Entry'!E1557))</f>
        <v/>
      </c>
      <c r="K1557" s="10">
        <f>IF('Data Entry'!A1557="","",IFERROR(SUMIFS($H$5:$H$2001,$J$5:$J$2001,$J1557,$B$5:$B$2001,$B1557,$A$5:$A$2001,(MAXIFS($A$5:$A$2001,$J$5:$J$2001,$J1557,$B$5:$B$2001,$B1557,$A$5:$A$2001,"&lt;"&amp;$A1557))),""))</f>
        <v/>
      </c>
      <c r="L1557" s="14">
        <f>IF(OR('Data Entry'!A1557="",$K1557=""),"",$H1557-$K1557)</f>
        <v/>
      </c>
      <c r="M1557" s="15">
        <f>IF(OR('Data Entry'!A1557="",$K1557="",$K1557=0),"",$L1557/$K1557)</f>
        <v/>
      </c>
      <c r="N1557" s="12">
        <f>IF('Data Entry'!A1557="","",IF($L1557="","New item",IF($L1557&gt;0,"UP",IF($L1557&lt;0,"down","same"))))</f>
        <v/>
      </c>
    </row>
    <row r="1558">
      <c r="A1558" s="11">
        <f>IF('Data Entry'!A1558="","",'Data Entry'!A1558)</f>
        <v/>
      </c>
      <c r="B1558" s="12">
        <f>IF('Data Entry'!A1558="","",'Data Entry'!B1558)</f>
        <v/>
      </c>
      <c r="C1558" s="12">
        <f>IF('Data Entry'!A1558="","",'Data Entry'!C1558)</f>
        <v/>
      </c>
      <c r="D1558" s="12">
        <f>IF('Data Entry'!A1558="","",'Data Entry'!D1558)</f>
        <v/>
      </c>
      <c r="E1558" s="12">
        <f>IF('Data Entry'!A1558="","",'Data Entry'!E1558)</f>
        <v/>
      </c>
      <c r="F1558" s="12">
        <f>IF('Data Entry'!A1558="","",'Data Entry'!F1558)</f>
        <v/>
      </c>
      <c r="G1558" s="13">
        <f>IF('Data Entry'!A1558="","",'Data Entry'!G1558)</f>
        <v/>
      </c>
      <c r="H1558" s="10">
        <f>IF('Data Entry'!A1558="","",'Data Entry'!H1558)</f>
        <v/>
      </c>
      <c r="I1558" s="10">
        <f>IF('Data Entry'!A1558="","",'Data Entry'!I1558)</f>
        <v/>
      </c>
      <c r="J1558" s="12">
        <f>IF('Data Entry'!A1558="","",IF('Data Entry'!D1558&lt;&gt;"",'Data Entry'!D1558,'Data Entry'!E1558))</f>
        <v/>
      </c>
      <c r="K1558" s="10">
        <f>IF('Data Entry'!A1558="","",IFERROR(SUMIFS($H$5:$H$2001,$J$5:$J$2001,$J1558,$B$5:$B$2001,$B1558,$A$5:$A$2001,(MAXIFS($A$5:$A$2001,$J$5:$J$2001,$J1558,$B$5:$B$2001,$B1558,$A$5:$A$2001,"&lt;"&amp;$A1558))),""))</f>
        <v/>
      </c>
      <c r="L1558" s="14">
        <f>IF(OR('Data Entry'!A1558="",$K1558=""),"",$H1558-$K1558)</f>
        <v/>
      </c>
      <c r="M1558" s="15">
        <f>IF(OR('Data Entry'!A1558="",$K1558="",$K1558=0),"",$L1558/$K1558)</f>
        <v/>
      </c>
      <c r="N1558" s="12">
        <f>IF('Data Entry'!A1558="","",IF($L1558="","New item",IF($L1558&gt;0,"UP",IF($L1558&lt;0,"down","same"))))</f>
        <v/>
      </c>
    </row>
    <row r="1559">
      <c r="A1559" s="11">
        <f>IF('Data Entry'!A1559="","",'Data Entry'!A1559)</f>
        <v/>
      </c>
      <c r="B1559" s="12">
        <f>IF('Data Entry'!A1559="","",'Data Entry'!B1559)</f>
        <v/>
      </c>
      <c r="C1559" s="12">
        <f>IF('Data Entry'!A1559="","",'Data Entry'!C1559)</f>
        <v/>
      </c>
      <c r="D1559" s="12">
        <f>IF('Data Entry'!A1559="","",'Data Entry'!D1559)</f>
        <v/>
      </c>
      <c r="E1559" s="12">
        <f>IF('Data Entry'!A1559="","",'Data Entry'!E1559)</f>
        <v/>
      </c>
      <c r="F1559" s="12">
        <f>IF('Data Entry'!A1559="","",'Data Entry'!F1559)</f>
        <v/>
      </c>
      <c r="G1559" s="13">
        <f>IF('Data Entry'!A1559="","",'Data Entry'!G1559)</f>
        <v/>
      </c>
      <c r="H1559" s="10">
        <f>IF('Data Entry'!A1559="","",'Data Entry'!H1559)</f>
        <v/>
      </c>
      <c r="I1559" s="10">
        <f>IF('Data Entry'!A1559="","",'Data Entry'!I1559)</f>
        <v/>
      </c>
      <c r="J1559" s="12">
        <f>IF('Data Entry'!A1559="","",IF('Data Entry'!D1559&lt;&gt;"",'Data Entry'!D1559,'Data Entry'!E1559))</f>
        <v/>
      </c>
      <c r="K1559" s="10">
        <f>IF('Data Entry'!A1559="","",IFERROR(SUMIFS($H$5:$H$2001,$J$5:$J$2001,$J1559,$B$5:$B$2001,$B1559,$A$5:$A$2001,(MAXIFS($A$5:$A$2001,$J$5:$J$2001,$J1559,$B$5:$B$2001,$B1559,$A$5:$A$2001,"&lt;"&amp;$A1559))),""))</f>
        <v/>
      </c>
      <c r="L1559" s="14">
        <f>IF(OR('Data Entry'!A1559="",$K1559=""),"",$H1559-$K1559)</f>
        <v/>
      </c>
      <c r="M1559" s="15">
        <f>IF(OR('Data Entry'!A1559="",$K1559="",$K1559=0),"",$L1559/$K1559)</f>
        <v/>
      </c>
      <c r="N1559" s="12">
        <f>IF('Data Entry'!A1559="","",IF($L1559="","New item",IF($L1559&gt;0,"UP",IF($L1559&lt;0,"down","same"))))</f>
        <v/>
      </c>
    </row>
    <row r="1560">
      <c r="A1560" s="11">
        <f>IF('Data Entry'!A1560="","",'Data Entry'!A1560)</f>
        <v/>
      </c>
      <c r="B1560" s="12">
        <f>IF('Data Entry'!A1560="","",'Data Entry'!B1560)</f>
        <v/>
      </c>
      <c r="C1560" s="12">
        <f>IF('Data Entry'!A1560="","",'Data Entry'!C1560)</f>
        <v/>
      </c>
      <c r="D1560" s="12">
        <f>IF('Data Entry'!A1560="","",'Data Entry'!D1560)</f>
        <v/>
      </c>
      <c r="E1560" s="12">
        <f>IF('Data Entry'!A1560="","",'Data Entry'!E1560)</f>
        <v/>
      </c>
      <c r="F1560" s="12">
        <f>IF('Data Entry'!A1560="","",'Data Entry'!F1560)</f>
        <v/>
      </c>
      <c r="G1560" s="13">
        <f>IF('Data Entry'!A1560="","",'Data Entry'!G1560)</f>
        <v/>
      </c>
      <c r="H1560" s="10">
        <f>IF('Data Entry'!A1560="","",'Data Entry'!H1560)</f>
        <v/>
      </c>
      <c r="I1560" s="10">
        <f>IF('Data Entry'!A1560="","",'Data Entry'!I1560)</f>
        <v/>
      </c>
      <c r="J1560" s="12">
        <f>IF('Data Entry'!A1560="","",IF('Data Entry'!D1560&lt;&gt;"",'Data Entry'!D1560,'Data Entry'!E1560))</f>
        <v/>
      </c>
      <c r="K1560" s="10">
        <f>IF('Data Entry'!A1560="","",IFERROR(SUMIFS($H$5:$H$2001,$J$5:$J$2001,$J1560,$B$5:$B$2001,$B1560,$A$5:$A$2001,(MAXIFS($A$5:$A$2001,$J$5:$J$2001,$J1560,$B$5:$B$2001,$B1560,$A$5:$A$2001,"&lt;"&amp;$A1560))),""))</f>
        <v/>
      </c>
      <c r="L1560" s="14">
        <f>IF(OR('Data Entry'!A1560="",$K1560=""),"",$H1560-$K1560)</f>
        <v/>
      </c>
      <c r="M1560" s="15">
        <f>IF(OR('Data Entry'!A1560="",$K1560="",$K1560=0),"",$L1560/$K1560)</f>
        <v/>
      </c>
      <c r="N1560" s="12">
        <f>IF('Data Entry'!A1560="","",IF($L1560="","New item",IF($L1560&gt;0,"UP",IF($L1560&lt;0,"down","same"))))</f>
        <v/>
      </c>
    </row>
    <row r="1561">
      <c r="A1561" s="11">
        <f>IF('Data Entry'!A1561="","",'Data Entry'!A1561)</f>
        <v/>
      </c>
      <c r="B1561" s="12">
        <f>IF('Data Entry'!A1561="","",'Data Entry'!B1561)</f>
        <v/>
      </c>
      <c r="C1561" s="12">
        <f>IF('Data Entry'!A1561="","",'Data Entry'!C1561)</f>
        <v/>
      </c>
      <c r="D1561" s="12">
        <f>IF('Data Entry'!A1561="","",'Data Entry'!D1561)</f>
        <v/>
      </c>
      <c r="E1561" s="12">
        <f>IF('Data Entry'!A1561="","",'Data Entry'!E1561)</f>
        <v/>
      </c>
      <c r="F1561" s="12">
        <f>IF('Data Entry'!A1561="","",'Data Entry'!F1561)</f>
        <v/>
      </c>
      <c r="G1561" s="13">
        <f>IF('Data Entry'!A1561="","",'Data Entry'!G1561)</f>
        <v/>
      </c>
      <c r="H1561" s="10">
        <f>IF('Data Entry'!A1561="","",'Data Entry'!H1561)</f>
        <v/>
      </c>
      <c r="I1561" s="10">
        <f>IF('Data Entry'!A1561="","",'Data Entry'!I1561)</f>
        <v/>
      </c>
      <c r="J1561" s="12">
        <f>IF('Data Entry'!A1561="","",IF('Data Entry'!D1561&lt;&gt;"",'Data Entry'!D1561,'Data Entry'!E1561))</f>
        <v/>
      </c>
      <c r="K1561" s="10">
        <f>IF('Data Entry'!A1561="","",IFERROR(SUMIFS($H$5:$H$2001,$J$5:$J$2001,$J1561,$B$5:$B$2001,$B1561,$A$5:$A$2001,(MAXIFS($A$5:$A$2001,$J$5:$J$2001,$J1561,$B$5:$B$2001,$B1561,$A$5:$A$2001,"&lt;"&amp;$A1561))),""))</f>
        <v/>
      </c>
      <c r="L1561" s="14">
        <f>IF(OR('Data Entry'!A1561="",$K1561=""),"",$H1561-$K1561)</f>
        <v/>
      </c>
      <c r="M1561" s="15">
        <f>IF(OR('Data Entry'!A1561="",$K1561="",$K1561=0),"",$L1561/$K1561)</f>
        <v/>
      </c>
      <c r="N1561" s="12">
        <f>IF('Data Entry'!A1561="","",IF($L1561="","New item",IF($L1561&gt;0,"UP",IF($L1561&lt;0,"down","same"))))</f>
        <v/>
      </c>
    </row>
    <row r="1562">
      <c r="A1562" s="11">
        <f>IF('Data Entry'!A1562="","",'Data Entry'!A1562)</f>
        <v/>
      </c>
      <c r="B1562" s="12">
        <f>IF('Data Entry'!A1562="","",'Data Entry'!B1562)</f>
        <v/>
      </c>
      <c r="C1562" s="12">
        <f>IF('Data Entry'!A1562="","",'Data Entry'!C1562)</f>
        <v/>
      </c>
      <c r="D1562" s="12">
        <f>IF('Data Entry'!A1562="","",'Data Entry'!D1562)</f>
        <v/>
      </c>
      <c r="E1562" s="12">
        <f>IF('Data Entry'!A1562="","",'Data Entry'!E1562)</f>
        <v/>
      </c>
      <c r="F1562" s="12">
        <f>IF('Data Entry'!A1562="","",'Data Entry'!F1562)</f>
        <v/>
      </c>
      <c r="G1562" s="13">
        <f>IF('Data Entry'!A1562="","",'Data Entry'!G1562)</f>
        <v/>
      </c>
      <c r="H1562" s="10">
        <f>IF('Data Entry'!A1562="","",'Data Entry'!H1562)</f>
        <v/>
      </c>
      <c r="I1562" s="10">
        <f>IF('Data Entry'!A1562="","",'Data Entry'!I1562)</f>
        <v/>
      </c>
      <c r="J1562" s="12">
        <f>IF('Data Entry'!A1562="","",IF('Data Entry'!D1562&lt;&gt;"",'Data Entry'!D1562,'Data Entry'!E1562))</f>
        <v/>
      </c>
      <c r="K1562" s="10">
        <f>IF('Data Entry'!A1562="","",IFERROR(SUMIFS($H$5:$H$2001,$J$5:$J$2001,$J1562,$B$5:$B$2001,$B1562,$A$5:$A$2001,(MAXIFS($A$5:$A$2001,$J$5:$J$2001,$J1562,$B$5:$B$2001,$B1562,$A$5:$A$2001,"&lt;"&amp;$A1562))),""))</f>
        <v/>
      </c>
      <c r="L1562" s="14">
        <f>IF(OR('Data Entry'!A1562="",$K1562=""),"",$H1562-$K1562)</f>
        <v/>
      </c>
      <c r="M1562" s="15">
        <f>IF(OR('Data Entry'!A1562="",$K1562="",$K1562=0),"",$L1562/$K1562)</f>
        <v/>
      </c>
      <c r="N1562" s="12">
        <f>IF('Data Entry'!A1562="","",IF($L1562="","New item",IF($L1562&gt;0,"UP",IF($L1562&lt;0,"down","same"))))</f>
        <v/>
      </c>
    </row>
    <row r="1563">
      <c r="A1563" s="11">
        <f>IF('Data Entry'!A1563="","",'Data Entry'!A1563)</f>
        <v/>
      </c>
      <c r="B1563" s="12">
        <f>IF('Data Entry'!A1563="","",'Data Entry'!B1563)</f>
        <v/>
      </c>
      <c r="C1563" s="12">
        <f>IF('Data Entry'!A1563="","",'Data Entry'!C1563)</f>
        <v/>
      </c>
      <c r="D1563" s="12">
        <f>IF('Data Entry'!A1563="","",'Data Entry'!D1563)</f>
        <v/>
      </c>
      <c r="E1563" s="12">
        <f>IF('Data Entry'!A1563="","",'Data Entry'!E1563)</f>
        <v/>
      </c>
      <c r="F1563" s="12">
        <f>IF('Data Entry'!A1563="","",'Data Entry'!F1563)</f>
        <v/>
      </c>
      <c r="G1563" s="13">
        <f>IF('Data Entry'!A1563="","",'Data Entry'!G1563)</f>
        <v/>
      </c>
      <c r="H1563" s="10">
        <f>IF('Data Entry'!A1563="","",'Data Entry'!H1563)</f>
        <v/>
      </c>
      <c r="I1563" s="10">
        <f>IF('Data Entry'!A1563="","",'Data Entry'!I1563)</f>
        <v/>
      </c>
      <c r="J1563" s="12">
        <f>IF('Data Entry'!A1563="","",IF('Data Entry'!D1563&lt;&gt;"",'Data Entry'!D1563,'Data Entry'!E1563))</f>
        <v/>
      </c>
      <c r="K1563" s="10">
        <f>IF('Data Entry'!A1563="","",IFERROR(SUMIFS($H$5:$H$2001,$J$5:$J$2001,$J1563,$B$5:$B$2001,$B1563,$A$5:$A$2001,(MAXIFS($A$5:$A$2001,$J$5:$J$2001,$J1563,$B$5:$B$2001,$B1563,$A$5:$A$2001,"&lt;"&amp;$A1563))),""))</f>
        <v/>
      </c>
      <c r="L1563" s="14">
        <f>IF(OR('Data Entry'!A1563="",$K1563=""),"",$H1563-$K1563)</f>
        <v/>
      </c>
      <c r="M1563" s="15">
        <f>IF(OR('Data Entry'!A1563="",$K1563="",$K1563=0),"",$L1563/$K1563)</f>
        <v/>
      </c>
      <c r="N1563" s="12">
        <f>IF('Data Entry'!A1563="","",IF($L1563="","New item",IF($L1563&gt;0,"UP",IF($L1563&lt;0,"down","same"))))</f>
        <v/>
      </c>
    </row>
    <row r="1564">
      <c r="A1564" s="11">
        <f>IF('Data Entry'!A1564="","",'Data Entry'!A1564)</f>
        <v/>
      </c>
      <c r="B1564" s="12">
        <f>IF('Data Entry'!A1564="","",'Data Entry'!B1564)</f>
        <v/>
      </c>
      <c r="C1564" s="12">
        <f>IF('Data Entry'!A1564="","",'Data Entry'!C1564)</f>
        <v/>
      </c>
      <c r="D1564" s="12">
        <f>IF('Data Entry'!A1564="","",'Data Entry'!D1564)</f>
        <v/>
      </c>
      <c r="E1564" s="12">
        <f>IF('Data Entry'!A1564="","",'Data Entry'!E1564)</f>
        <v/>
      </c>
      <c r="F1564" s="12">
        <f>IF('Data Entry'!A1564="","",'Data Entry'!F1564)</f>
        <v/>
      </c>
      <c r="G1564" s="13">
        <f>IF('Data Entry'!A1564="","",'Data Entry'!G1564)</f>
        <v/>
      </c>
      <c r="H1564" s="10">
        <f>IF('Data Entry'!A1564="","",'Data Entry'!H1564)</f>
        <v/>
      </c>
      <c r="I1564" s="10">
        <f>IF('Data Entry'!A1564="","",'Data Entry'!I1564)</f>
        <v/>
      </c>
      <c r="J1564" s="12">
        <f>IF('Data Entry'!A1564="","",IF('Data Entry'!D1564&lt;&gt;"",'Data Entry'!D1564,'Data Entry'!E1564))</f>
        <v/>
      </c>
      <c r="K1564" s="10">
        <f>IF('Data Entry'!A1564="","",IFERROR(SUMIFS($H$5:$H$2001,$J$5:$J$2001,$J1564,$B$5:$B$2001,$B1564,$A$5:$A$2001,(MAXIFS($A$5:$A$2001,$J$5:$J$2001,$J1564,$B$5:$B$2001,$B1564,$A$5:$A$2001,"&lt;"&amp;$A1564))),""))</f>
        <v/>
      </c>
      <c r="L1564" s="14">
        <f>IF(OR('Data Entry'!A1564="",$K1564=""),"",$H1564-$K1564)</f>
        <v/>
      </c>
      <c r="M1564" s="15">
        <f>IF(OR('Data Entry'!A1564="",$K1564="",$K1564=0),"",$L1564/$K1564)</f>
        <v/>
      </c>
      <c r="N1564" s="12">
        <f>IF('Data Entry'!A1564="","",IF($L1564="","New item",IF($L1564&gt;0,"UP",IF($L1564&lt;0,"down","same"))))</f>
        <v/>
      </c>
    </row>
    <row r="1565">
      <c r="A1565" s="11">
        <f>IF('Data Entry'!A1565="","",'Data Entry'!A1565)</f>
        <v/>
      </c>
      <c r="B1565" s="12">
        <f>IF('Data Entry'!A1565="","",'Data Entry'!B1565)</f>
        <v/>
      </c>
      <c r="C1565" s="12">
        <f>IF('Data Entry'!A1565="","",'Data Entry'!C1565)</f>
        <v/>
      </c>
      <c r="D1565" s="12">
        <f>IF('Data Entry'!A1565="","",'Data Entry'!D1565)</f>
        <v/>
      </c>
      <c r="E1565" s="12">
        <f>IF('Data Entry'!A1565="","",'Data Entry'!E1565)</f>
        <v/>
      </c>
      <c r="F1565" s="12">
        <f>IF('Data Entry'!A1565="","",'Data Entry'!F1565)</f>
        <v/>
      </c>
      <c r="G1565" s="13">
        <f>IF('Data Entry'!A1565="","",'Data Entry'!G1565)</f>
        <v/>
      </c>
      <c r="H1565" s="10">
        <f>IF('Data Entry'!A1565="","",'Data Entry'!H1565)</f>
        <v/>
      </c>
      <c r="I1565" s="10">
        <f>IF('Data Entry'!A1565="","",'Data Entry'!I1565)</f>
        <v/>
      </c>
      <c r="J1565" s="12">
        <f>IF('Data Entry'!A1565="","",IF('Data Entry'!D1565&lt;&gt;"",'Data Entry'!D1565,'Data Entry'!E1565))</f>
        <v/>
      </c>
      <c r="K1565" s="10">
        <f>IF('Data Entry'!A1565="","",IFERROR(SUMIFS($H$5:$H$2001,$J$5:$J$2001,$J1565,$B$5:$B$2001,$B1565,$A$5:$A$2001,(MAXIFS($A$5:$A$2001,$J$5:$J$2001,$J1565,$B$5:$B$2001,$B1565,$A$5:$A$2001,"&lt;"&amp;$A1565))),""))</f>
        <v/>
      </c>
      <c r="L1565" s="14">
        <f>IF(OR('Data Entry'!A1565="",$K1565=""),"",$H1565-$K1565)</f>
        <v/>
      </c>
      <c r="M1565" s="15">
        <f>IF(OR('Data Entry'!A1565="",$K1565="",$K1565=0),"",$L1565/$K1565)</f>
        <v/>
      </c>
      <c r="N1565" s="12">
        <f>IF('Data Entry'!A1565="","",IF($L1565="","New item",IF($L1565&gt;0,"UP",IF($L1565&lt;0,"down","same"))))</f>
        <v/>
      </c>
    </row>
    <row r="1566">
      <c r="A1566" s="11">
        <f>IF('Data Entry'!A1566="","",'Data Entry'!A1566)</f>
        <v/>
      </c>
      <c r="B1566" s="12">
        <f>IF('Data Entry'!A1566="","",'Data Entry'!B1566)</f>
        <v/>
      </c>
      <c r="C1566" s="12">
        <f>IF('Data Entry'!A1566="","",'Data Entry'!C1566)</f>
        <v/>
      </c>
      <c r="D1566" s="12">
        <f>IF('Data Entry'!A1566="","",'Data Entry'!D1566)</f>
        <v/>
      </c>
      <c r="E1566" s="12">
        <f>IF('Data Entry'!A1566="","",'Data Entry'!E1566)</f>
        <v/>
      </c>
      <c r="F1566" s="12">
        <f>IF('Data Entry'!A1566="","",'Data Entry'!F1566)</f>
        <v/>
      </c>
      <c r="G1566" s="13">
        <f>IF('Data Entry'!A1566="","",'Data Entry'!G1566)</f>
        <v/>
      </c>
      <c r="H1566" s="10">
        <f>IF('Data Entry'!A1566="","",'Data Entry'!H1566)</f>
        <v/>
      </c>
      <c r="I1566" s="10">
        <f>IF('Data Entry'!A1566="","",'Data Entry'!I1566)</f>
        <v/>
      </c>
      <c r="J1566" s="12">
        <f>IF('Data Entry'!A1566="","",IF('Data Entry'!D1566&lt;&gt;"",'Data Entry'!D1566,'Data Entry'!E1566))</f>
        <v/>
      </c>
      <c r="K1566" s="10">
        <f>IF('Data Entry'!A1566="","",IFERROR(SUMIFS($H$5:$H$2001,$J$5:$J$2001,$J1566,$B$5:$B$2001,$B1566,$A$5:$A$2001,(MAXIFS($A$5:$A$2001,$J$5:$J$2001,$J1566,$B$5:$B$2001,$B1566,$A$5:$A$2001,"&lt;"&amp;$A1566))),""))</f>
        <v/>
      </c>
      <c r="L1566" s="14">
        <f>IF(OR('Data Entry'!A1566="",$K1566=""),"",$H1566-$K1566)</f>
        <v/>
      </c>
      <c r="M1566" s="15">
        <f>IF(OR('Data Entry'!A1566="",$K1566="",$K1566=0),"",$L1566/$K1566)</f>
        <v/>
      </c>
      <c r="N1566" s="12">
        <f>IF('Data Entry'!A1566="","",IF($L1566="","New item",IF($L1566&gt;0,"UP",IF($L1566&lt;0,"down","same"))))</f>
        <v/>
      </c>
    </row>
    <row r="1567">
      <c r="A1567" s="11">
        <f>IF('Data Entry'!A1567="","",'Data Entry'!A1567)</f>
        <v/>
      </c>
      <c r="B1567" s="12">
        <f>IF('Data Entry'!A1567="","",'Data Entry'!B1567)</f>
        <v/>
      </c>
      <c r="C1567" s="12">
        <f>IF('Data Entry'!A1567="","",'Data Entry'!C1567)</f>
        <v/>
      </c>
      <c r="D1567" s="12">
        <f>IF('Data Entry'!A1567="","",'Data Entry'!D1567)</f>
        <v/>
      </c>
      <c r="E1567" s="12">
        <f>IF('Data Entry'!A1567="","",'Data Entry'!E1567)</f>
        <v/>
      </c>
      <c r="F1567" s="12">
        <f>IF('Data Entry'!A1567="","",'Data Entry'!F1567)</f>
        <v/>
      </c>
      <c r="G1567" s="13">
        <f>IF('Data Entry'!A1567="","",'Data Entry'!G1567)</f>
        <v/>
      </c>
      <c r="H1567" s="10">
        <f>IF('Data Entry'!A1567="","",'Data Entry'!H1567)</f>
        <v/>
      </c>
      <c r="I1567" s="10">
        <f>IF('Data Entry'!A1567="","",'Data Entry'!I1567)</f>
        <v/>
      </c>
      <c r="J1567" s="12">
        <f>IF('Data Entry'!A1567="","",IF('Data Entry'!D1567&lt;&gt;"",'Data Entry'!D1567,'Data Entry'!E1567))</f>
        <v/>
      </c>
      <c r="K1567" s="10">
        <f>IF('Data Entry'!A1567="","",IFERROR(SUMIFS($H$5:$H$2001,$J$5:$J$2001,$J1567,$B$5:$B$2001,$B1567,$A$5:$A$2001,(MAXIFS($A$5:$A$2001,$J$5:$J$2001,$J1567,$B$5:$B$2001,$B1567,$A$5:$A$2001,"&lt;"&amp;$A1567))),""))</f>
        <v/>
      </c>
      <c r="L1567" s="14">
        <f>IF(OR('Data Entry'!A1567="",$K1567=""),"",$H1567-$K1567)</f>
        <v/>
      </c>
      <c r="M1567" s="15">
        <f>IF(OR('Data Entry'!A1567="",$K1567="",$K1567=0),"",$L1567/$K1567)</f>
        <v/>
      </c>
      <c r="N1567" s="12">
        <f>IF('Data Entry'!A1567="","",IF($L1567="","New item",IF($L1567&gt;0,"UP",IF($L1567&lt;0,"down","same"))))</f>
        <v/>
      </c>
    </row>
    <row r="1568">
      <c r="A1568" s="11">
        <f>IF('Data Entry'!A1568="","",'Data Entry'!A1568)</f>
        <v/>
      </c>
      <c r="B1568" s="12">
        <f>IF('Data Entry'!A1568="","",'Data Entry'!B1568)</f>
        <v/>
      </c>
      <c r="C1568" s="12">
        <f>IF('Data Entry'!A1568="","",'Data Entry'!C1568)</f>
        <v/>
      </c>
      <c r="D1568" s="12">
        <f>IF('Data Entry'!A1568="","",'Data Entry'!D1568)</f>
        <v/>
      </c>
      <c r="E1568" s="12">
        <f>IF('Data Entry'!A1568="","",'Data Entry'!E1568)</f>
        <v/>
      </c>
      <c r="F1568" s="12">
        <f>IF('Data Entry'!A1568="","",'Data Entry'!F1568)</f>
        <v/>
      </c>
      <c r="G1568" s="13">
        <f>IF('Data Entry'!A1568="","",'Data Entry'!G1568)</f>
        <v/>
      </c>
      <c r="H1568" s="10">
        <f>IF('Data Entry'!A1568="","",'Data Entry'!H1568)</f>
        <v/>
      </c>
      <c r="I1568" s="10">
        <f>IF('Data Entry'!A1568="","",'Data Entry'!I1568)</f>
        <v/>
      </c>
      <c r="J1568" s="12">
        <f>IF('Data Entry'!A1568="","",IF('Data Entry'!D1568&lt;&gt;"",'Data Entry'!D1568,'Data Entry'!E1568))</f>
        <v/>
      </c>
      <c r="K1568" s="10">
        <f>IF('Data Entry'!A1568="","",IFERROR(SUMIFS($H$5:$H$2001,$J$5:$J$2001,$J1568,$B$5:$B$2001,$B1568,$A$5:$A$2001,(MAXIFS($A$5:$A$2001,$J$5:$J$2001,$J1568,$B$5:$B$2001,$B1568,$A$5:$A$2001,"&lt;"&amp;$A1568))),""))</f>
        <v/>
      </c>
      <c r="L1568" s="14">
        <f>IF(OR('Data Entry'!A1568="",$K1568=""),"",$H1568-$K1568)</f>
        <v/>
      </c>
      <c r="M1568" s="15">
        <f>IF(OR('Data Entry'!A1568="",$K1568="",$K1568=0),"",$L1568/$K1568)</f>
        <v/>
      </c>
      <c r="N1568" s="12">
        <f>IF('Data Entry'!A1568="","",IF($L1568="","New item",IF($L1568&gt;0,"UP",IF($L1568&lt;0,"down","same"))))</f>
        <v/>
      </c>
    </row>
    <row r="1569">
      <c r="A1569" s="11">
        <f>IF('Data Entry'!A1569="","",'Data Entry'!A1569)</f>
        <v/>
      </c>
      <c r="B1569" s="12">
        <f>IF('Data Entry'!A1569="","",'Data Entry'!B1569)</f>
        <v/>
      </c>
      <c r="C1569" s="12">
        <f>IF('Data Entry'!A1569="","",'Data Entry'!C1569)</f>
        <v/>
      </c>
      <c r="D1569" s="12">
        <f>IF('Data Entry'!A1569="","",'Data Entry'!D1569)</f>
        <v/>
      </c>
      <c r="E1569" s="12">
        <f>IF('Data Entry'!A1569="","",'Data Entry'!E1569)</f>
        <v/>
      </c>
      <c r="F1569" s="12">
        <f>IF('Data Entry'!A1569="","",'Data Entry'!F1569)</f>
        <v/>
      </c>
      <c r="G1569" s="13">
        <f>IF('Data Entry'!A1569="","",'Data Entry'!G1569)</f>
        <v/>
      </c>
      <c r="H1569" s="10">
        <f>IF('Data Entry'!A1569="","",'Data Entry'!H1569)</f>
        <v/>
      </c>
      <c r="I1569" s="10">
        <f>IF('Data Entry'!A1569="","",'Data Entry'!I1569)</f>
        <v/>
      </c>
      <c r="J1569" s="12">
        <f>IF('Data Entry'!A1569="","",IF('Data Entry'!D1569&lt;&gt;"",'Data Entry'!D1569,'Data Entry'!E1569))</f>
        <v/>
      </c>
      <c r="K1569" s="10">
        <f>IF('Data Entry'!A1569="","",IFERROR(SUMIFS($H$5:$H$2001,$J$5:$J$2001,$J1569,$B$5:$B$2001,$B1569,$A$5:$A$2001,(MAXIFS($A$5:$A$2001,$J$5:$J$2001,$J1569,$B$5:$B$2001,$B1569,$A$5:$A$2001,"&lt;"&amp;$A1569))),""))</f>
        <v/>
      </c>
      <c r="L1569" s="14">
        <f>IF(OR('Data Entry'!A1569="",$K1569=""),"",$H1569-$K1569)</f>
        <v/>
      </c>
      <c r="M1569" s="15">
        <f>IF(OR('Data Entry'!A1569="",$K1569="",$K1569=0),"",$L1569/$K1569)</f>
        <v/>
      </c>
      <c r="N1569" s="12">
        <f>IF('Data Entry'!A1569="","",IF($L1569="","New item",IF($L1569&gt;0,"UP",IF($L1569&lt;0,"down","same"))))</f>
        <v/>
      </c>
    </row>
    <row r="1570">
      <c r="A1570" s="11">
        <f>IF('Data Entry'!A1570="","",'Data Entry'!A1570)</f>
        <v/>
      </c>
      <c r="B1570" s="12">
        <f>IF('Data Entry'!A1570="","",'Data Entry'!B1570)</f>
        <v/>
      </c>
      <c r="C1570" s="12">
        <f>IF('Data Entry'!A1570="","",'Data Entry'!C1570)</f>
        <v/>
      </c>
      <c r="D1570" s="12">
        <f>IF('Data Entry'!A1570="","",'Data Entry'!D1570)</f>
        <v/>
      </c>
      <c r="E1570" s="12">
        <f>IF('Data Entry'!A1570="","",'Data Entry'!E1570)</f>
        <v/>
      </c>
      <c r="F1570" s="12">
        <f>IF('Data Entry'!A1570="","",'Data Entry'!F1570)</f>
        <v/>
      </c>
      <c r="G1570" s="13">
        <f>IF('Data Entry'!A1570="","",'Data Entry'!G1570)</f>
        <v/>
      </c>
      <c r="H1570" s="10">
        <f>IF('Data Entry'!A1570="","",'Data Entry'!H1570)</f>
        <v/>
      </c>
      <c r="I1570" s="10">
        <f>IF('Data Entry'!A1570="","",'Data Entry'!I1570)</f>
        <v/>
      </c>
      <c r="J1570" s="12">
        <f>IF('Data Entry'!A1570="","",IF('Data Entry'!D1570&lt;&gt;"",'Data Entry'!D1570,'Data Entry'!E1570))</f>
        <v/>
      </c>
      <c r="K1570" s="10">
        <f>IF('Data Entry'!A1570="","",IFERROR(SUMIFS($H$5:$H$2001,$J$5:$J$2001,$J1570,$B$5:$B$2001,$B1570,$A$5:$A$2001,(MAXIFS($A$5:$A$2001,$J$5:$J$2001,$J1570,$B$5:$B$2001,$B1570,$A$5:$A$2001,"&lt;"&amp;$A1570))),""))</f>
        <v/>
      </c>
      <c r="L1570" s="14">
        <f>IF(OR('Data Entry'!A1570="",$K1570=""),"",$H1570-$K1570)</f>
        <v/>
      </c>
      <c r="M1570" s="15">
        <f>IF(OR('Data Entry'!A1570="",$K1570="",$K1570=0),"",$L1570/$K1570)</f>
        <v/>
      </c>
      <c r="N1570" s="12">
        <f>IF('Data Entry'!A1570="","",IF($L1570="","New item",IF($L1570&gt;0,"UP",IF($L1570&lt;0,"down","same"))))</f>
        <v/>
      </c>
    </row>
    <row r="1571">
      <c r="A1571" s="11">
        <f>IF('Data Entry'!A1571="","",'Data Entry'!A1571)</f>
        <v/>
      </c>
      <c r="B1571" s="12">
        <f>IF('Data Entry'!A1571="","",'Data Entry'!B1571)</f>
        <v/>
      </c>
      <c r="C1571" s="12">
        <f>IF('Data Entry'!A1571="","",'Data Entry'!C1571)</f>
        <v/>
      </c>
      <c r="D1571" s="12">
        <f>IF('Data Entry'!A1571="","",'Data Entry'!D1571)</f>
        <v/>
      </c>
      <c r="E1571" s="12">
        <f>IF('Data Entry'!A1571="","",'Data Entry'!E1571)</f>
        <v/>
      </c>
      <c r="F1571" s="12">
        <f>IF('Data Entry'!A1571="","",'Data Entry'!F1571)</f>
        <v/>
      </c>
      <c r="G1571" s="13">
        <f>IF('Data Entry'!A1571="","",'Data Entry'!G1571)</f>
        <v/>
      </c>
      <c r="H1571" s="10">
        <f>IF('Data Entry'!A1571="","",'Data Entry'!H1571)</f>
        <v/>
      </c>
      <c r="I1571" s="10">
        <f>IF('Data Entry'!A1571="","",'Data Entry'!I1571)</f>
        <v/>
      </c>
      <c r="J1571" s="12">
        <f>IF('Data Entry'!A1571="","",IF('Data Entry'!D1571&lt;&gt;"",'Data Entry'!D1571,'Data Entry'!E1571))</f>
        <v/>
      </c>
      <c r="K1571" s="10">
        <f>IF('Data Entry'!A1571="","",IFERROR(SUMIFS($H$5:$H$2001,$J$5:$J$2001,$J1571,$B$5:$B$2001,$B1571,$A$5:$A$2001,(MAXIFS($A$5:$A$2001,$J$5:$J$2001,$J1571,$B$5:$B$2001,$B1571,$A$5:$A$2001,"&lt;"&amp;$A1571))),""))</f>
        <v/>
      </c>
      <c r="L1571" s="14">
        <f>IF(OR('Data Entry'!A1571="",$K1571=""),"",$H1571-$K1571)</f>
        <v/>
      </c>
      <c r="M1571" s="15">
        <f>IF(OR('Data Entry'!A1571="",$K1571="",$K1571=0),"",$L1571/$K1571)</f>
        <v/>
      </c>
      <c r="N1571" s="12">
        <f>IF('Data Entry'!A1571="","",IF($L1571="","New item",IF($L1571&gt;0,"UP",IF($L1571&lt;0,"down","same"))))</f>
        <v/>
      </c>
    </row>
    <row r="1572">
      <c r="A1572" s="11">
        <f>IF('Data Entry'!A1572="","",'Data Entry'!A1572)</f>
        <v/>
      </c>
      <c r="B1572" s="12">
        <f>IF('Data Entry'!A1572="","",'Data Entry'!B1572)</f>
        <v/>
      </c>
      <c r="C1572" s="12">
        <f>IF('Data Entry'!A1572="","",'Data Entry'!C1572)</f>
        <v/>
      </c>
      <c r="D1572" s="12">
        <f>IF('Data Entry'!A1572="","",'Data Entry'!D1572)</f>
        <v/>
      </c>
      <c r="E1572" s="12">
        <f>IF('Data Entry'!A1572="","",'Data Entry'!E1572)</f>
        <v/>
      </c>
      <c r="F1572" s="12">
        <f>IF('Data Entry'!A1572="","",'Data Entry'!F1572)</f>
        <v/>
      </c>
      <c r="G1572" s="13">
        <f>IF('Data Entry'!A1572="","",'Data Entry'!G1572)</f>
        <v/>
      </c>
      <c r="H1572" s="10">
        <f>IF('Data Entry'!A1572="","",'Data Entry'!H1572)</f>
        <v/>
      </c>
      <c r="I1572" s="10">
        <f>IF('Data Entry'!A1572="","",'Data Entry'!I1572)</f>
        <v/>
      </c>
      <c r="J1572" s="12">
        <f>IF('Data Entry'!A1572="","",IF('Data Entry'!D1572&lt;&gt;"",'Data Entry'!D1572,'Data Entry'!E1572))</f>
        <v/>
      </c>
      <c r="K1572" s="10">
        <f>IF('Data Entry'!A1572="","",IFERROR(SUMIFS($H$5:$H$2001,$J$5:$J$2001,$J1572,$B$5:$B$2001,$B1572,$A$5:$A$2001,(MAXIFS($A$5:$A$2001,$J$5:$J$2001,$J1572,$B$5:$B$2001,$B1572,$A$5:$A$2001,"&lt;"&amp;$A1572))),""))</f>
        <v/>
      </c>
      <c r="L1572" s="14">
        <f>IF(OR('Data Entry'!A1572="",$K1572=""),"",$H1572-$K1572)</f>
        <v/>
      </c>
      <c r="M1572" s="15">
        <f>IF(OR('Data Entry'!A1572="",$K1572="",$K1572=0),"",$L1572/$K1572)</f>
        <v/>
      </c>
      <c r="N1572" s="12">
        <f>IF('Data Entry'!A1572="","",IF($L1572="","New item",IF($L1572&gt;0,"UP",IF($L1572&lt;0,"down","same"))))</f>
        <v/>
      </c>
    </row>
    <row r="1573">
      <c r="A1573" s="11">
        <f>IF('Data Entry'!A1573="","",'Data Entry'!A1573)</f>
        <v/>
      </c>
      <c r="B1573" s="12">
        <f>IF('Data Entry'!A1573="","",'Data Entry'!B1573)</f>
        <v/>
      </c>
      <c r="C1573" s="12">
        <f>IF('Data Entry'!A1573="","",'Data Entry'!C1573)</f>
        <v/>
      </c>
      <c r="D1573" s="12">
        <f>IF('Data Entry'!A1573="","",'Data Entry'!D1573)</f>
        <v/>
      </c>
      <c r="E1573" s="12">
        <f>IF('Data Entry'!A1573="","",'Data Entry'!E1573)</f>
        <v/>
      </c>
      <c r="F1573" s="12">
        <f>IF('Data Entry'!A1573="","",'Data Entry'!F1573)</f>
        <v/>
      </c>
      <c r="G1573" s="13">
        <f>IF('Data Entry'!A1573="","",'Data Entry'!G1573)</f>
        <v/>
      </c>
      <c r="H1573" s="10">
        <f>IF('Data Entry'!A1573="","",'Data Entry'!H1573)</f>
        <v/>
      </c>
      <c r="I1573" s="10">
        <f>IF('Data Entry'!A1573="","",'Data Entry'!I1573)</f>
        <v/>
      </c>
      <c r="J1573" s="12">
        <f>IF('Data Entry'!A1573="","",IF('Data Entry'!D1573&lt;&gt;"",'Data Entry'!D1573,'Data Entry'!E1573))</f>
        <v/>
      </c>
      <c r="K1573" s="10">
        <f>IF('Data Entry'!A1573="","",IFERROR(SUMIFS($H$5:$H$2001,$J$5:$J$2001,$J1573,$B$5:$B$2001,$B1573,$A$5:$A$2001,(MAXIFS($A$5:$A$2001,$J$5:$J$2001,$J1573,$B$5:$B$2001,$B1573,$A$5:$A$2001,"&lt;"&amp;$A1573))),""))</f>
        <v/>
      </c>
      <c r="L1573" s="14">
        <f>IF(OR('Data Entry'!A1573="",$K1573=""),"",$H1573-$K1573)</f>
        <v/>
      </c>
      <c r="M1573" s="15">
        <f>IF(OR('Data Entry'!A1573="",$K1573="",$K1573=0),"",$L1573/$K1573)</f>
        <v/>
      </c>
      <c r="N1573" s="12">
        <f>IF('Data Entry'!A1573="","",IF($L1573="","New item",IF($L1573&gt;0,"UP",IF($L1573&lt;0,"down","same"))))</f>
        <v/>
      </c>
    </row>
    <row r="1574">
      <c r="A1574" s="11">
        <f>IF('Data Entry'!A1574="","",'Data Entry'!A1574)</f>
        <v/>
      </c>
      <c r="B1574" s="12">
        <f>IF('Data Entry'!A1574="","",'Data Entry'!B1574)</f>
        <v/>
      </c>
      <c r="C1574" s="12">
        <f>IF('Data Entry'!A1574="","",'Data Entry'!C1574)</f>
        <v/>
      </c>
      <c r="D1574" s="12">
        <f>IF('Data Entry'!A1574="","",'Data Entry'!D1574)</f>
        <v/>
      </c>
      <c r="E1574" s="12">
        <f>IF('Data Entry'!A1574="","",'Data Entry'!E1574)</f>
        <v/>
      </c>
      <c r="F1574" s="12">
        <f>IF('Data Entry'!A1574="","",'Data Entry'!F1574)</f>
        <v/>
      </c>
      <c r="G1574" s="13">
        <f>IF('Data Entry'!A1574="","",'Data Entry'!G1574)</f>
        <v/>
      </c>
      <c r="H1574" s="10">
        <f>IF('Data Entry'!A1574="","",'Data Entry'!H1574)</f>
        <v/>
      </c>
      <c r="I1574" s="10">
        <f>IF('Data Entry'!A1574="","",'Data Entry'!I1574)</f>
        <v/>
      </c>
      <c r="J1574" s="12">
        <f>IF('Data Entry'!A1574="","",IF('Data Entry'!D1574&lt;&gt;"",'Data Entry'!D1574,'Data Entry'!E1574))</f>
        <v/>
      </c>
      <c r="K1574" s="10">
        <f>IF('Data Entry'!A1574="","",IFERROR(SUMIFS($H$5:$H$2001,$J$5:$J$2001,$J1574,$B$5:$B$2001,$B1574,$A$5:$A$2001,(MAXIFS($A$5:$A$2001,$J$5:$J$2001,$J1574,$B$5:$B$2001,$B1574,$A$5:$A$2001,"&lt;"&amp;$A1574))),""))</f>
        <v/>
      </c>
      <c r="L1574" s="14">
        <f>IF(OR('Data Entry'!A1574="",$K1574=""),"",$H1574-$K1574)</f>
        <v/>
      </c>
      <c r="M1574" s="15">
        <f>IF(OR('Data Entry'!A1574="",$K1574="",$K1574=0),"",$L1574/$K1574)</f>
        <v/>
      </c>
      <c r="N1574" s="12">
        <f>IF('Data Entry'!A1574="","",IF($L1574="","New item",IF($L1574&gt;0,"UP",IF($L1574&lt;0,"down","same"))))</f>
        <v/>
      </c>
    </row>
    <row r="1575">
      <c r="A1575" s="11">
        <f>IF('Data Entry'!A1575="","",'Data Entry'!A1575)</f>
        <v/>
      </c>
      <c r="B1575" s="12">
        <f>IF('Data Entry'!A1575="","",'Data Entry'!B1575)</f>
        <v/>
      </c>
      <c r="C1575" s="12">
        <f>IF('Data Entry'!A1575="","",'Data Entry'!C1575)</f>
        <v/>
      </c>
      <c r="D1575" s="12">
        <f>IF('Data Entry'!A1575="","",'Data Entry'!D1575)</f>
        <v/>
      </c>
      <c r="E1575" s="12">
        <f>IF('Data Entry'!A1575="","",'Data Entry'!E1575)</f>
        <v/>
      </c>
      <c r="F1575" s="12">
        <f>IF('Data Entry'!A1575="","",'Data Entry'!F1575)</f>
        <v/>
      </c>
      <c r="G1575" s="13">
        <f>IF('Data Entry'!A1575="","",'Data Entry'!G1575)</f>
        <v/>
      </c>
      <c r="H1575" s="10">
        <f>IF('Data Entry'!A1575="","",'Data Entry'!H1575)</f>
        <v/>
      </c>
      <c r="I1575" s="10">
        <f>IF('Data Entry'!A1575="","",'Data Entry'!I1575)</f>
        <v/>
      </c>
      <c r="J1575" s="12">
        <f>IF('Data Entry'!A1575="","",IF('Data Entry'!D1575&lt;&gt;"",'Data Entry'!D1575,'Data Entry'!E1575))</f>
        <v/>
      </c>
      <c r="K1575" s="10">
        <f>IF('Data Entry'!A1575="","",IFERROR(SUMIFS($H$5:$H$2001,$J$5:$J$2001,$J1575,$B$5:$B$2001,$B1575,$A$5:$A$2001,(MAXIFS($A$5:$A$2001,$J$5:$J$2001,$J1575,$B$5:$B$2001,$B1575,$A$5:$A$2001,"&lt;"&amp;$A1575))),""))</f>
        <v/>
      </c>
      <c r="L1575" s="14">
        <f>IF(OR('Data Entry'!A1575="",$K1575=""),"",$H1575-$K1575)</f>
        <v/>
      </c>
      <c r="M1575" s="15">
        <f>IF(OR('Data Entry'!A1575="",$K1575="",$K1575=0),"",$L1575/$K1575)</f>
        <v/>
      </c>
      <c r="N1575" s="12">
        <f>IF('Data Entry'!A1575="","",IF($L1575="","New item",IF($L1575&gt;0,"UP",IF($L1575&lt;0,"down","same"))))</f>
        <v/>
      </c>
    </row>
    <row r="1576">
      <c r="A1576" s="11">
        <f>IF('Data Entry'!A1576="","",'Data Entry'!A1576)</f>
        <v/>
      </c>
      <c r="B1576" s="12">
        <f>IF('Data Entry'!A1576="","",'Data Entry'!B1576)</f>
        <v/>
      </c>
      <c r="C1576" s="12">
        <f>IF('Data Entry'!A1576="","",'Data Entry'!C1576)</f>
        <v/>
      </c>
      <c r="D1576" s="12">
        <f>IF('Data Entry'!A1576="","",'Data Entry'!D1576)</f>
        <v/>
      </c>
      <c r="E1576" s="12">
        <f>IF('Data Entry'!A1576="","",'Data Entry'!E1576)</f>
        <v/>
      </c>
      <c r="F1576" s="12">
        <f>IF('Data Entry'!A1576="","",'Data Entry'!F1576)</f>
        <v/>
      </c>
      <c r="G1576" s="13">
        <f>IF('Data Entry'!A1576="","",'Data Entry'!G1576)</f>
        <v/>
      </c>
      <c r="H1576" s="10">
        <f>IF('Data Entry'!A1576="","",'Data Entry'!H1576)</f>
        <v/>
      </c>
      <c r="I1576" s="10">
        <f>IF('Data Entry'!A1576="","",'Data Entry'!I1576)</f>
        <v/>
      </c>
      <c r="J1576" s="12">
        <f>IF('Data Entry'!A1576="","",IF('Data Entry'!D1576&lt;&gt;"",'Data Entry'!D1576,'Data Entry'!E1576))</f>
        <v/>
      </c>
      <c r="K1576" s="10">
        <f>IF('Data Entry'!A1576="","",IFERROR(SUMIFS($H$5:$H$2001,$J$5:$J$2001,$J1576,$B$5:$B$2001,$B1576,$A$5:$A$2001,(MAXIFS($A$5:$A$2001,$J$5:$J$2001,$J1576,$B$5:$B$2001,$B1576,$A$5:$A$2001,"&lt;"&amp;$A1576))),""))</f>
        <v/>
      </c>
      <c r="L1576" s="14">
        <f>IF(OR('Data Entry'!A1576="",$K1576=""),"",$H1576-$K1576)</f>
        <v/>
      </c>
      <c r="M1576" s="15">
        <f>IF(OR('Data Entry'!A1576="",$K1576="",$K1576=0),"",$L1576/$K1576)</f>
        <v/>
      </c>
      <c r="N1576" s="12">
        <f>IF('Data Entry'!A1576="","",IF($L1576="","New item",IF($L1576&gt;0,"UP",IF($L1576&lt;0,"down","same"))))</f>
        <v/>
      </c>
    </row>
    <row r="1577">
      <c r="A1577" s="11">
        <f>IF('Data Entry'!A1577="","",'Data Entry'!A1577)</f>
        <v/>
      </c>
      <c r="B1577" s="12">
        <f>IF('Data Entry'!A1577="","",'Data Entry'!B1577)</f>
        <v/>
      </c>
      <c r="C1577" s="12">
        <f>IF('Data Entry'!A1577="","",'Data Entry'!C1577)</f>
        <v/>
      </c>
      <c r="D1577" s="12">
        <f>IF('Data Entry'!A1577="","",'Data Entry'!D1577)</f>
        <v/>
      </c>
      <c r="E1577" s="12">
        <f>IF('Data Entry'!A1577="","",'Data Entry'!E1577)</f>
        <v/>
      </c>
      <c r="F1577" s="12">
        <f>IF('Data Entry'!A1577="","",'Data Entry'!F1577)</f>
        <v/>
      </c>
      <c r="G1577" s="13">
        <f>IF('Data Entry'!A1577="","",'Data Entry'!G1577)</f>
        <v/>
      </c>
      <c r="H1577" s="10">
        <f>IF('Data Entry'!A1577="","",'Data Entry'!H1577)</f>
        <v/>
      </c>
      <c r="I1577" s="10">
        <f>IF('Data Entry'!A1577="","",'Data Entry'!I1577)</f>
        <v/>
      </c>
      <c r="J1577" s="12">
        <f>IF('Data Entry'!A1577="","",IF('Data Entry'!D1577&lt;&gt;"",'Data Entry'!D1577,'Data Entry'!E1577))</f>
        <v/>
      </c>
      <c r="K1577" s="10">
        <f>IF('Data Entry'!A1577="","",IFERROR(SUMIFS($H$5:$H$2001,$J$5:$J$2001,$J1577,$B$5:$B$2001,$B1577,$A$5:$A$2001,(MAXIFS($A$5:$A$2001,$J$5:$J$2001,$J1577,$B$5:$B$2001,$B1577,$A$5:$A$2001,"&lt;"&amp;$A1577))),""))</f>
        <v/>
      </c>
      <c r="L1577" s="14">
        <f>IF(OR('Data Entry'!A1577="",$K1577=""),"",$H1577-$K1577)</f>
        <v/>
      </c>
      <c r="M1577" s="15">
        <f>IF(OR('Data Entry'!A1577="",$K1577="",$K1577=0),"",$L1577/$K1577)</f>
        <v/>
      </c>
      <c r="N1577" s="12">
        <f>IF('Data Entry'!A1577="","",IF($L1577="","New item",IF($L1577&gt;0,"UP",IF($L1577&lt;0,"down","same"))))</f>
        <v/>
      </c>
    </row>
    <row r="1578">
      <c r="A1578" s="11">
        <f>IF('Data Entry'!A1578="","",'Data Entry'!A1578)</f>
        <v/>
      </c>
      <c r="B1578" s="12">
        <f>IF('Data Entry'!A1578="","",'Data Entry'!B1578)</f>
        <v/>
      </c>
      <c r="C1578" s="12">
        <f>IF('Data Entry'!A1578="","",'Data Entry'!C1578)</f>
        <v/>
      </c>
      <c r="D1578" s="12">
        <f>IF('Data Entry'!A1578="","",'Data Entry'!D1578)</f>
        <v/>
      </c>
      <c r="E1578" s="12">
        <f>IF('Data Entry'!A1578="","",'Data Entry'!E1578)</f>
        <v/>
      </c>
      <c r="F1578" s="12">
        <f>IF('Data Entry'!A1578="","",'Data Entry'!F1578)</f>
        <v/>
      </c>
      <c r="G1578" s="13">
        <f>IF('Data Entry'!A1578="","",'Data Entry'!G1578)</f>
        <v/>
      </c>
      <c r="H1578" s="10">
        <f>IF('Data Entry'!A1578="","",'Data Entry'!H1578)</f>
        <v/>
      </c>
      <c r="I1578" s="10">
        <f>IF('Data Entry'!A1578="","",'Data Entry'!I1578)</f>
        <v/>
      </c>
      <c r="J1578" s="12">
        <f>IF('Data Entry'!A1578="","",IF('Data Entry'!D1578&lt;&gt;"",'Data Entry'!D1578,'Data Entry'!E1578))</f>
        <v/>
      </c>
      <c r="K1578" s="10">
        <f>IF('Data Entry'!A1578="","",IFERROR(SUMIFS($H$5:$H$2001,$J$5:$J$2001,$J1578,$B$5:$B$2001,$B1578,$A$5:$A$2001,(MAXIFS($A$5:$A$2001,$J$5:$J$2001,$J1578,$B$5:$B$2001,$B1578,$A$5:$A$2001,"&lt;"&amp;$A1578))),""))</f>
        <v/>
      </c>
      <c r="L1578" s="14">
        <f>IF(OR('Data Entry'!A1578="",$K1578=""),"",$H1578-$K1578)</f>
        <v/>
      </c>
      <c r="M1578" s="15">
        <f>IF(OR('Data Entry'!A1578="",$K1578="",$K1578=0),"",$L1578/$K1578)</f>
        <v/>
      </c>
      <c r="N1578" s="12">
        <f>IF('Data Entry'!A1578="","",IF($L1578="","New item",IF($L1578&gt;0,"UP",IF($L1578&lt;0,"down","same"))))</f>
        <v/>
      </c>
    </row>
    <row r="1579">
      <c r="A1579" s="11">
        <f>IF('Data Entry'!A1579="","",'Data Entry'!A1579)</f>
        <v/>
      </c>
      <c r="B1579" s="12">
        <f>IF('Data Entry'!A1579="","",'Data Entry'!B1579)</f>
        <v/>
      </c>
      <c r="C1579" s="12">
        <f>IF('Data Entry'!A1579="","",'Data Entry'!C1579)</f>
        <v/>
      </c>
      <c r="D1579" s="12">
        <f>IF('Data Entry'!A1579="","",'Data Entry'!D1579)</f>
        <v/>
      </c>
      <c r="E1579" s="12">
        <f>IF('Data Entry'!A1579="","",'Data Entry'!E1579)</f>
        <v/>
      </c>
      <c r="F1579" s="12">
        <f>IF('Data Entry'!A1579="","",'Data Entry'!F1579)</f>
        <v/>
      </c>
      <c r="G1579" s="13">
        <f>IF('Data Entry'!A1579="","",'Data Entry'!G1579)</f>
        <v/>
      </c>
      <c r="H1579" s="10">
        <f>IF('Data Entry'!A1579="","",'Data Entry'!H1579)</f>
        <v/>
      </c>
      <c r="I1579" s="10">
        <f>IF('Data Entry'!A1579="","",'Data Entry'!I1579)</f>
        <v/>
      </c>
      <c r="J1579" s="12">
        <f>IF('Data Entry'!A1579="","",IF('Data Entry'!D1579&lt;&gt;"",'Data Entry'!D1579,'Data Entry'!E1579))</f>
        <v/>
      </c>
      <c r="K1579" s="10">
        <f>IF('Data Entry'!A1579="","",IFERROR(SUMIFS($H$5:$H$2001,$J$5:$J$2001,$J1579,$B$5:$B$2001,$B1579,$A$5:$A$2001,(MAXIFS($A$5:$A$2001,$J$5:$J$2001,$J1579,$B$5:$B$2001,$B1579,$A$5:$A$2001,"&lt;"&amp;$A1579))),""))</f>
        <v/>
      </c>
      <c r="L1579" s="14">
        <f>IF(OR('Data Entry'!A1579="",$K1579=""),"",$H1579-$K1579)</f>
        <v/>
      </c>
      <c r="M1579" s="15">
        <f>IF(OR('Data Entry'!A1579="",$K1579="",$K1579=0),"",$L1579/$K1579)</f>
        <v/>
      </c>
      <c r="N1579" s="12">
        <f>IF('Data Entry'!A1579="","",IF($L1579="","New item",IF($L1579&gt;0,"UP",IF($L1579&lt;0,"down","same"))))</f>
        <v/>
      </c>
    </row>
    <row r="1580">
      <c r="A1580" s="11">
        <f>IF('Data Entry'!A1580="","",'Data Entry'!A1580)</f>
        <v/>
      </c>
      <c r="B1580" s="12">
        <f>IF('Data Entry'!A1580="","",'Data Entry'!B1580)</f>
        <v/>
      </c>
      <c r="C1580" s="12">
        <f>IF('Data Entry'!A1580="","",'Data Entry'!C1580)</f>
        <v/>
      </c>
      <c r="D1580" s="12">
        <f>IF('Data Entry'!A1580="","",'Data Entry'!D1580)</f>
        <v/>
      </c>
      <c r="E1580" s="12">
        <f>IF('Data Entry'!A1580="","",'Data Entry'!E1580)</f>
        <v/>
      </c>
      <c r="F1580" s="12">
        <f>IF('Data Entry'!A1580="","",'Data Entry'!F1580)</f>
        <v/>
      </c>
      <c r="G1580" s="13">
        <f>IF('Data Entry'!A1580="","",'Data Entry'!G1580)</f>
        <v/>
      </c>
      <c r="H1580" s="10">
        <f>IF('Data Entry'!A1580="","",'Data Entry'!H1580)</f>
        <v/>
      </c>
      <c r="I1580" s="10">
        <f>IF('Data Entry'!A1580="","",'Data Entry'!I1580)</f>
        <v/>
      </c>
      <c r="J1580" s="12">
        <f>IF('Data Entry'!A1580="","",IF('Data Entry'!D1580&lt;&gt;"",'Data Entry'!D1580,'Data Entry'!E1580))</f>
        <v/>
      </c>
      <c r="K1580" s="10">
        <f>IF('Data Entry'!A1580="","",IFERROR(SUMIFS($H$5:$H$2001,$J$5:$J$2001,$J1580,$B$5:$B$2001,$B1580,$A$5:$A$2001,(MAXIFS($A$5:$A$2001,$J$5:$J$2001,$J1580,$B$5:$B$2001,$B1580,$A$5:$A$2001,"&lt;"&amp;$A1580))),""))</f>
        <v/>
      </c>
      <c r="L1580" s="14">
        <f>IF(OR('Data Entry'!A1580="",$K1580=""),"",$H1580-$K1580)</f>
        <v/>
      </c>
      <c r="M1580" s="15">
        <f>IF(OR('Data Entry'!A1580="",$K1580="",$K1580=0),"",$L1580/$K1580)</f>
        <v/>
      </c>
      <c r="N1580" s="12">
        <f>IF('Data Entry'!A1580="","",IF($L1580="","New item",IF($L1580&gt;0,"UP",IF($L1580&lt;0,"down","same"))))</f>
        <v/>
      </c>
    </row>
    <row r="1581">
      <c r="A1581" s="11">
        <f>IF('Data Entry'!A1581="","",'Data Entry'!A1581)</f>
        <v/>
      </c>
      <c r="B1581" s="12">
        <f>IF('Data Entry'!A1581="","",'Data Entry'!B1581)</f>
        <v/>
      </c>
      <c r="C1581" s="12">
        <f>IF('Data Entry'!A1581="","",'Data Entry'!C1581)</f>
        <v/>
      </c>
      <c r="D1581" s="12">
        <f>IF('Data Entry'!A1581="","",'Data Entry'!D1581)</f>
        <v/>
      </c>
      <c r="E1581" s="12">
        <f>IF('Data Entry'!A1581="","",'Data Entry'!E1581)</f>
        <v/>
      </c>
      <c r="F1581" s="12">
        <f>IF('Data Entry'!A1581="","",'Data Entry'!F1581)</f>
        <v/>
      </c>
      <c r="G1581" s="13">
        <f>IF('Data Entry'!A1581="","",'Data Entry'!G1581)</f>
        <v/>
      </c>
      <c r="H1581" s="10">
        <f>IF('Data Entry'!A1581="","",'Data Entry'!H1581)</f>
        <v/>
      </c>
      <c r="I1581" s="10">
        <f>IF('Data Entry'!A1581="","",'Data Entry'!I1581)</f>
        <v/>
      </c>
      <c r="J1581" s="12">
        <f>IF('Data Entry'!A1581="","",IF('Data Entry'!D1581&lt;&gt;"",'Data Entry'!D1581,'Data Entry'!E1581))</f>
        <v/>
      </c>
      <c r="K1581" s="10">
        <f>IF('Data Entry'!A1581="","",IFERROR(SUMIFS($H$5:$H$2001,$J$5:$J$2001,$J1581,$B$5:$B$2001,$B1581,$A$5:$A$2001,(MAXIFS($A$5:$A$2001,$J$5:$J$2001,$J1581,$B$5:$B$2001,$B1581,$A$5:$A$2001,"&lt;"&amp;$A1581))),""))</f>
        <v/>
      </c>
      <c r="L1581" s="14">
        <f>IF(OR('Data Entry'!A1581="",$K1581=""),"",$H1581-$K1581)</f>
        <v/>
      </c>
      <c r="M1581" s="15">
        <f>IF(OR('Data Entry'!A1581="",$K1581="",$K1581=0),"",$L1581/$K1581)</f>
        <v/>
      </c>
      <c r="N1581" s="12">
        <f>IF('Data Entry'!A1581="","",IF($L1581="","New item",IF($L1581&gt;0,"UP",IF($L1581&lt;0,"down","same"))))</f>
        <v/>
      </c>
    </row>
    <row r="1582">
      <c r="A1582" s="11">
        <f>IF('Data Entry'!A1582="","",'Data Entry'!A1582)</f>
        <v/>
      </c>
      <c r="B1582" s="12">
        <f>IF('Data Entry'!A1582="","",'Data Entry'!B1582)</f>
        <v/>
      </c>
      <c r="C1582" s="12">
        <f>IF('Data Entry'!A1582="","",'Data Entry'!C1582)</f>
        <v/>
      </c>
      <c r="D1582" s="12">
        <f>IF('Data Entry'!A1582="","",'Data Entry'!D1582)</f>
        <v/>
      </c>
      <c r="E1582" s="12">
        <f>IF('Data Entry'!A1582="","",'Data Entry'!E1582)</f>
        <v/>
      </c>
      <c r="F1582" s="12">
        <f>IF('Data Entry'!A1582="","",'Data Entry'!F1582)</f>
        <v/>
      </c>
      <c r="G1582" s="13">
        <f>IF('Data Entry'!A1582="","",'Data Entry'!G1582)</f>
        <v/>
      </c>
      <c r="H1582" s="10">
        <f>IF('Data Entry'!A1582="","",'Data Entry'!H1582)</f>
        <v/>
      </c>
      <c r="I1582" s="10">
        <f>IF('Data Entry'!A1582="","",'Data Entry'!I1582)</f>
        <v/>
      </c>
      <c r="J1582" s="12">
        <f>IF('Data Entry'!A1582="","",IF('Data Entry'!D1582&lt;&gt;"",'Data Entry'!D1582,'Data Entry'!E1582))</f>
        <v/>
      </c>
      <c r="K1582" s="10">
        <f>IF('Data Entry'!A1582="","",IFERROR(SUMIFS($H$5:$H$2001,$J$5:$J$2001,$J1582,$B$5:$B$2001,$B1582,$A$5:$A$2001,(MAXIFS($A$5:$A$2001,$J$5:$J$2001,$J1582,$B$5:$B$2001,$B1582,$A$5:$A$2001,"&lt;"&amp;$A1582))),""))</f>
        <v/>
      </c>
      <c r="L1582" s="14">
        <f>IF(OR('Data Entry'!A1582="",$K1582=""),"",$H1582-$K1582)</f>
        <v/>
      </c>
      <c r="M1582" s="15">
        <f>IF(OR('Data Entry'!A1582="",$K1582="",$K1582=0),"",$L1582/$K1582)</f>
        <v/>
      </c>
      <c r="N1582" s="12">
        <f>IF('Data Entry'!A1582="","",IF($L1582="","New item",IF($L1582&gt;0,"UP",IF($L1582&lt;0,"down","same"))))</f>
        <v/>
      </c>
    </row>
    <row r="1583">
      <c r="A1583" s="11">
        <f>IF('Data Entry'!A1583="","",'Data Entry'!A1583)</f>
        <v/>
      </c>
      <c r="B1583" s="12">
        <f>IF('Data Entry'!A1583="","",'Data Entry'!B1583)</f>
        <v/>
      </c>
      <c r="C1583" s="12">
        <f>IF('Data Entry'!A1583="","",'Data Entry'!C1583)</f>
        <v/>
      </c>
      <c r="D1583" s="12">
        <f>IF('Data Entry'!A1583="","",'Data Entry'!D1583)</f>
        <v/>
      </c>
      <c r="E1583" s="12">
        <f>IF('Data Entry'!A1583="","",'Data Entry'!E1583)</f>
        <v/>
      </c>
      <c r="F1583" s="12">
        <f>IF('Data Entry'!A1583="","",'Data Entry'!F1583)</f>
        <v/>
      </c>
      <c r="G1583" s="13">
        <f>IF('Data Entry'!A1583="","",'Data Entry'!G1583)</f>
        <v/>
      </c>
      <c r="H1583" s="10">
        <f>IF('Data Entry'!A1583="","",'Data Entry'!H1583)</f>
        <v/>
      </c>
      <c r="I1583" s="10">
        <f>IF('Data Entry'!A1583="","",'Data Entry'!I1583)</f>
        <v/>
      </c>
      <c r="J1583" s="12">
        <f>IF('Data Entry'!A1583="","",IF('Data Entry'!D1583&lt;&gt;"",'Data Entry'!D1583,'Data Entry'!E1583))</f>
        <v/>
      </c>
      <c r="K1583" s="10">
        <f>IF('Data Entry'!A1583="","",IFERROR(SUMIFS($H$5:$H$2001,$J$5:$J$2001,$J1583,$B$5:$B$2001,$B1583,$A$5:$A$2001,(MAXIFS($A$5:$A$2001,$J$5:$J$2001,$J1583,$B$5:$B$2001,$B1583,$A$5:$A$2001,"&lt;"&amp;$A1583))),""))</f>
        <v/>
      </c>
      <c r="L1583" s="14">
        <f>IF(OR('Data Entry'!A1583="",$K1583=""),"",$H1583-$K1583)</f>
        <v/>
      </c>
      <c r="M1583" s="15">
        <f>IF(OR('Data Entry'!A1583="",$K1583="",$K1583=0),"",$L1583/$K1583)</f>
        <v/>
      </c>
      <c r="N1583" s="12">
        <f>IF('Data Entry'!A1583="","",IF($L1583="","New item",IF($L1583&gt;0,"UP",IF($L1583&lt;0,"down","same"))))</f>
        <v/>
      </c>
    </row>
    <row r="1584">
      <c r="A1584" s="11">
        <f>IF('Data Entry'!A1584="","",'Data Entry'!A1584)</f>
        <v/>
      </c>
      <c r="B1584" s="12">
        <f>IF('Data Entry'!A1584="","",'Data Entry'!B1584)</f>
        <v/>
      </c>
      <c r="C1584" s="12">
        <f>IF('Data Entry'!A1584="","",'Data Entry'!C1584)</f>
        <v/>
      </c>
      <c r="D1584" s="12">
        <f>IF('Data Entry'!A1584="","",'Data Entry'!D1584)</f>
        <v/>
      </c>
      <c r="E1584" s="12">
        <f>IF('Data Entry'!A1584="","",'Data Entry'!E1584)</f>
        <v/>
      </c>
      <c r="F1584" s="12">
        <f>IF('Data Entry'!A1584="","",'Data Entry'!F1584)</f>
        <v/>
      </c>
      <c r="G1584" s="13">
        <f>IF('Data Entry'!A1584="","",'Data Entry'!G1584)</f>
        <v/>
      </c>
      <c r="H1584" s="10">
        <f>IF('Data Entry'!A1584="","",'Data Entry'!H1584)</f>
        <v/>
      </c>
      <c r="I1584" s="10">
        <f>IF('Data Entry'!A1584="","",'Data Entry'!I1584)</f>
        <v/>
      </c>
      <c r="J1584" s="12">
        <f>IF('Data Entry'!A1584="","",IF('Data Entry'!D1584&lt;&gt;"",'Data Entry'!D1584,'Data Entry'!E1584))</f>
        <v/>
      </c>
      <c r="K1584" s="10">
        <f>IF('Data Entry'!A1584="","",IFERROR(SUMIFS($H$5:$H$2001,$J$5:$J$2001,$J1584,$B$5:$B$2001,$B1584,$A$5:$A$2001,(MAXIFS($A$5:$A$2001,$J$5:$J$2001,$J1584,$B$5:$B$2001,$B1584,$A$5:$A$2001,"&lt;"&amp;$A1584))),""))</f>
        <v/>
      </c>
      <c r="L1584" s="14">
        <f>IF(OR('Data Entry'!A1584="",$K1584=""),"",$H1584-$K1584)</f>
        <v/>
      </c>
      <c r="M1584" s="15">
        <f>IF(OR('Data Entry'!A1584="",$K1584="",$K1584=0),"",$L1584/$K1584)</f>
        <v/>
      </c>
      <c r="N1584" s="12">
        <f>IF('Data Entry'!A1584="","",IF($L1584="","New item",IF($L1584&gt;0,"UP",IF($L1584&lt;0,"down","same"))))</f>
        <v/>
      </c>
    </row>
    <row r="1585">
      <c r="A1585" s="11">
        <f>IF('Data Entry'!A1585="","",'Data Entry'!A1585)</f>
        <v/>
      </c>
      <c r="B1585" s="12">
        <f>IF('Data Entry'!A1585="","",'Data Entry'!B1585)</f>
        <v/>
      </c>
      <c r="C1585" s="12">
        <f>IF('Data Entry'!A1585="","",'Data Entry'!C1585)</f>
        <v/>
      </c>
      <c r="D1585" s="12">
        <f>IF('Data Entry'!A1585="","",'Data Entry'!D1585)</f>
        <v/>
      </c>
      <c r="E1585" s="12">
        <f>IF('Data Entry'!A1585="","",'Data Entry'!E1585)</f>
        <v/>
      </c>
      <c r="F1585" s="12">
        <f>IF('Data Entry'!A1585="","",'Data Entry'!F1585)</f>
        <v/>
      </c>
      <c r="G1585" s="13">
        <f>IF('Data Entry'!A1585="","",'Data Entry'!G1585)</f>
        <v/>
      </c>
      <c r="H1585" s="10">
        <f>IF('Data Entry'!A1585="","",'Data Entry'!H1585)</f>
        <v/>
      </c>
      <c r="I1585" s="10">
        <f>IF('Data Entry'!A1585="","",'Data Entry'!I1585)</f>
        <v/>
      </c>
      <c r="J1585" s="12">
        <f>IF('Data Entry'!A1585="","",IF('Data Entry'!D1585&lt;&gt;"",'Data Entry'!D1585,'Data Entry'!E1585))</f>
        <v/>
      </c>
      <c r="K1585" s="10">
        <f>IF('Data Entry'!A1585="","",IFERROR(SUMIFS($H$5:$H$2001,$J$5:$J$2001,$J1585,$B$5:$B$2001,$B1585,$A$5:$A$2001,(MAXIFS($A$5:$A$2001,$J$5:$J$2001,$J1585,$B$5:$B$2001,$B1585,$A$5:$A$2001,"&lt;"&amp;$A1585))),""))</f>
        <v/>
      </c>
      <c r="L1585" s="14">
        <f>IF(OR('Data Entry'!A1585="",$K1585=""),"",$H1585-$K1585)</f>
        <v/>
      </c>
      <c r="M1585" s="15">
        <f>IF(OR('Data Entry'!A1585="",$K1585="",$K1585=0),"",$L1585/$K1585)</f>
        <v/>
      </c>
      <c r="N1585" s="12">
        <f>IF('Data Entry'!A1585="","",IF($L1585="","New item",IF($L1585&gt;0,"UP",IF($L1585&lt;0,"down","same"))))</f>
        <v/>
      </c>
    </row>
    <row r="1586">
      <c r="A1586" s="11">
        <f>IF('Data Entry'!A1586="","",'Data Entry'!A1586)</f>
        <v/>
      </c>
      <c r="B1586" s="12">
        <f>IF('Data Entry'!A1586="","",'Data Entry'!B1586)</f>
        <v/>
      </c>
      <c r="C1586" s="12">
        <f>IF('Data Entry'!A1586="","",'Data Entry'!C1586)</f>
        <v/>
      </c>
      <c r="D1586" s="12">
        <f>IF('Data Entry'!A1586="","",'Data Entry'!D1586)</f>
        <v/>
      </c>
      <c r="E1586" s="12">
        <f>IF('Data Entry'!A1586="","",'Data Entry'!E1586)</f>
        <v/>
      </c>
      <c r="F1586" s="12">
        <f>IF('Data Entry'!A1586="","",'Data Entry'!F1586)</f>
        <v/>
      </c>
      <c r="G1586" s="13">
        <f>IF('Data Entry'!A1586="","",'Data Entry'!G1586)</f>
        <v/>
      </c>
      <c r="H1586" s="10">
        <f>IF('Data Entry'!A1586="","",'Data Entry'!H1586)</f>
        <v/>
      </c>
      <c r="I1586" s="10">
        <f>IF('Data Entry'!A1586="","",'Data Entry'!I1586)</f>
        <v/>
      </c>
      <c r="J1586" s="12">
        <f>IF('Data Entry'!A1586="","",IF('Data Entry'!D1586&lt;&gt;"",'Data Entry'!D1586,'Data Entry'!E1586))</f>
        <v/>
      </c>
      <c r="K1586" s="10">
        <f>IF('Data Entry'!A1586="","",IFERROR(SUMIFS($H$5:$H$2001,$J$5:$J$2001,$J1586,$B$5:$B$2001,$B1586,$A$5:$A$2001,(MAXIFS($A$5:$A$2001,$J$5:$J$2001,$J1586,$B$5:$B$2001,$B1586,$A$5:$A$2001,"&lt;"&amp;$A1586))),""))</f>
        <v/>
      </c>
      <c r="L1586" s="14">
        <f>IF(OR('Data Entry'!A1586="",$K1586=""),"",$H1586-$K1586)</f>
        <v/>
      </c>
      <c r="M1586" s="15">
        <f>IF(OR('Data Entry'!A1586="",$K1586="",$K1586=0),"",$L1586/$K1586)</f>
        <v/>
      </c>
      <c r="N1586" s="12">
        <f>IF('Data Entry'!A1586="","",IF($L1586="","New item",IF($L1586&gt;0,"UP",IF($L1586&lt;0,"down","same"))))</f>
        <v/>
      </c>
    </row>
    <row r="1587">
      <c r="A1587" s="11">
        <f>IF('Data Entry'!A1587="","",'Data Entry'!A1587)</f>
        <v/>
      </c>
      <c r="B1587" s="12">
        <f>IF('Data Entry'!A1587="","",'Data Entry'!B1587)</f>
        <v/>
      </c>
      <c r="C1587" s="12">
        <f>IF('Data Entry'!A1587="","",'Data Entry'!C1587)</f>
        <v/>
      </c>
      <c r="D1587" s="12">
        <f>IF('Data Entry'!A1587="","",'Data Entry'!D1587)</f>
        <v/>
      </c>
      <c r="E1587" s="12">
        <f>IF('Data Entry'!A1587="","",'Data Entry'!E1587)</f>
        <v/>
      </c>
      <c r="F1587" s="12">
        <f>IF('Data Entry'!A1587="","",'Data Entry'!F1587)</f>
        <v/>
      </c>
      <c r="G1587" s="13">
        <f>IF('Data Entry'!A1587="","",'Data Entry'!G1587)</f>
        <v/>
      </c>
      <c r="H1587" s="10">
        <f>IF('Data Entry'!A1587="","",'Data Entry'!H1587)</f>
        <v/>
      </c>
      <c r="I1587" s="10">
        <f>IF('Data Entry'!A1587="","",'Data Entry'!I1587)</f>
        <v/>
      </c>
      <c r="J1587" s="12">
        <f>IF('Data Entry'!A1587="","",IF('Data Entry'!D1587&lt;&gt;"",'Data Entry'!D1587,'Data Entry'!E1587))</f>
        <v/>
      </c>
      <c r="K1587" s="10">
        <f>IF('Data Entry'!A1587="","",IFERROR(SUMIFS($H$5:$H$2001,$J$5:$J$2001,$J1587,$B$5:$B$2001,$B1587,$A$5:$A$2001,(MAXIFS($A$5:$A$2001,$J$5:$J$2001,$J1587,$B$5:$B$2001,$B1587,$A$5:$A$2001,"&lt;"&amp;$A1587))),""))</f>
        <v/>
      </c>
      <c r="L1587" s="14">
        <f>IF(OR('Data Entry'!A1587="",$K1587=""),"",$H1587-$K1587)</f>
        <v/>
      </c>
      <c r="M1587" s="15">
        <f>IF(OR('Data Entry'!A1587="",$K1587="",$K1587=0),"",$L1587/$K1587)</f>
        <v/>
      </c>
      <c r="N1587" s="12">
        <f>IF('Data Entry'!A1587="","",IF($L1587="","New item",IF($L1587&gt;0,"UP",IF($L1587&lt;0,"down","same"))))</f>
        <v/>
      </c>
    </row>
    <row r="1588">
      <c r="A1588" s="11">
        <f>IF('Data Entry'!A1588="","",'Data Entry'!A1588)</f>
        <v/>
      </c>
      <c r="B1588" s="12">
        <f>IF('Data Entry'!A1588="","",'Data Entry'!B1588)</f>
        <v/>
      </c>
      <c r="C1588" s="12">
        <f>IF('Data Entry'!A1588="","",'Data Entry'!C1588)</f>
        <v/>
      </c>
      <c r="D1588" s="12">
        <f>IF('Data Entry'!A1588="","",'Data Entry'!D1588)</f>
        <v/>
      </c>
      <c r="E1588" s="12">
        <f>IF('Data Entry'!A1588="","",'Data Entry'!E1588)</f>
        <v/>
      </c>
      <c r="F1588" s="12">
        <f>IF('Data Entry'!A1588="","",'Data Entry'!F1588)</f>
        <v/>
      </c>
      <c r="G1588" s="13">
        <f>IF('Data Entry'!A1588="","",'Data Entry'!G1588)</f>
        <v/>
      </c>
      <c r="H1588" s="10">
        <f>IF('Data Entry'!A1588="","",'Data Entry'!H1588)</f>
        <v/>
      </c>
      <c r="I1588" s="10">
        <f>IF('Data Entry'!A1588="","",'Data Entry'!I1588)</f>
        <v/>
      </c>
      <c r="J1588" s="12">
        <f>IF('Data Entry'!A1588="","",IF('Data Entry'!D1588&lt;&gt;"",'Data Entry'!D1588,'Data Entry'!E1588))</f>
        <v/>
      </c>
      <c r="K1588" s="10">
        <f>IF('Data Entry'!A1588="","",IFERROR(SUMIFS($H$5:$H$2001,$J$5:$J$2001,$J1588,$B$5:$B$2001,$B1588,$A$5:$A$2001,(MAXIFS($A$5:$A$2001,$J$5:$J$2001,$J1588,$B$5:$B$2001,$B1588,$A$5:$A$2001,"&lt;"&amp;$A1588))),""))</f>
        <v/>
      </c>
      <c r="L1588" s="14">
        <f>IF(OR('Data Entry'!A1588="",$K1588=""),"",$H1588-$K1588)</f>
        <v/>
      </c>
      <c r="M1588" s="15">
        <f>IF(OR('Data Entry'!A1588="",$K1588="",$K1588=0),"",$L1588/$K1588)</f>
        <v/>
      </c>
      <c r="N1588" s="12">
        <f>IF('Data Entry'!A1588="","",IF($L1588="","New item",IF($L1588&gt;0,"UP",IF($L1588&lt;0,"down","same"))))</f>
        <v/>
      </c>
    </row>
    <row r="1589">
      <c r="A1589" s="11">
        <f>IF('Data Entry'!A1589="","",'Data Entry'!A1589)</f>
        <v/>
      </c>
      <c r="B1589" s="12">
        <f>IF('Data Entry'!A1589="","",'Data Entry'!B1589)</f>
        <v/>
      </c>
      <c r="C1589" s="12">
        <f>IF('Data Entry'!A1589="","",'Data Entry'!C1589)</f>
        <v/>
      </c>
      <c r="D1589" s="12">
        <f>IF('Data Entry'!A1589="","",'Data Entry'!D1589)</f>
        <v/>
      </c>
      <c r="E1589" s="12">
        <f>IF('Data Entry'!A1589="","",'Data Entry'!E1589)</f>
        <v/>
      </c>
      <c r="F1589" s="12">
        <f>IF('Data Entry'!A1589="","",'Data Entry'!F1589)</f>
        <v/>
      </c>
      <c r="G1589" s="13">
        <f>IF('Data Entry'!A1589="","",'Data Entry'!G1589)</f>
        <v/>
      </c>
      <c r="H1589" s="10">
        <f>IF('Data Entry'!A1589="","",'Data Entry'!H1589)</f>
        <v/>
      </c>
      <c r="I1589" s="10">
        <f>IF('Data Entry'!A1589="","",'Data Entry'!I1589)</f>
        <v/>
      </c>
      <c r="J1589" s="12">
        <f>IF('Data Entry'!A1589="","",IF('Data Entry'!D1589&lt;&gt;"",'Data Entry'!D1589,'Data Entry'!E1589))</f>
        <v/>
      </c>
      <c r="K1589" s="10">
        <f>IF('Data Entry'!A1589="","",IFERROR(SUMIFS($H$5:$H$2001,$J$5:$J$2001,$J1589,$B$5:$B$2001,$B1589,$A$5:$A$2001,(MAXIFS($A$5:$A$2001,$J$5:$J$2001,$J1589,$B$5:$B$2001,$B1589,$A$5:$A$2001,"&lt;"&amp;$A1589))),""))</f>
        <v/>
      </c>
      <c r="L1589" s="14">
        <f>IF(OR('Data Entry'!A1589="",$K1589=""),"",$H1589-$K1589)</f>
        <v/>
      </c>
      <c r="M1589" s="15">
        <f>IF(OR('Data Entry'!A1589="",$K1589="",$K1589=0),"",$L1589/$K1589)</f>
        <v/>
      </c>
      <c r="N1589" s="12">
        <f>IF('Data Entry'!A1589="","",IF($L1589="","New item",IF($L1589&gt;0,"UP",IF($L1589&lt;0,"down","same"))))</f>
        <v/>
      </c>
    </row>
    <row r="1590">
      <c r="A1590" s="11">
        <f>IF('Data Entry'!A1590="","",'Data Entry'!A1590)</f>
        <v/>
      </c>
      <c r="B1590" s="12">
        <f>IF('Data Entry'!A1590="","",'Data Entry'!B1590)</f>
        <v/>
      </c>
      <c r="C1590" s="12">
        <f>IF('Data Entry'!A1590="","",'Data Entry'!C1590)</f>
        <v/>
      </c>
      <c r="D1590" s="12">
        <f>IF('Data Entry'!A1590="","",'Data Entry'!D1590)</f>
        <v/>
      </c>
      <c r="E1590" s="12">
        <f>IF('Data Entry'!A1590="","",'Data Entry'!E1590)</f>
        <v/>
      </c>
      <c r="F1590" s="12">
        <f>IF('Data Entry'!A1590="","",'Data Entry'!F1590)</f>
        <v/>
      </c>
      <c r="G1590" s="13">
        <f>IF('Data Entry'!A1590="","",'Data Entry'!G1590)</f>
        <v/>
      </c>
      <c r="H1590" s="10">
        <f>IF('Data Entry'!A1590="","",'Data Entry'!H1590)</f>
        <v/>
      </c>
      <c r="I1590" s="10">
        <f>IF('Data Entry'!A1590="","",'Data Entry'!I1590)</f>
        <v/>
      </c>
      <c r="J1590" s="12">
        <f>IF('Data Entry'!A1590="","",IF('Data Entry'!D1590&lt;&gt;"",'Data Entry'!D1590,'Data Entry'!E1590))</f>
        <v/>
      </c>
      <c r="K1590" s="10">
        <f>IF('Data Entry'!A1590="","",IFERROR(SUMIFS($H$5:$H$2001,$J$5:$J$2001,$J1590,$B$5:$B$2001,$B1590,$A$5:$A$2001,(MAXIFS($A$5:$A$2001,$J$5:$J$2001,$J1590,$B$5:$B$2001,$B1590,$A$5:$A$2001,"&lt;"&amp;$A1590))),""))</f>
        <v/>
      </c>
      <c r="L1590" s="14">
        <f>IF(OR('Data Entry'!A1590="",$K1590=""),"",$H1590-$K1590)</f>
        <v/>
      </c>
      <c r="M1590" s="15">
        <f>IF(OR('Data Entry'!A1590="",$K1590="",$K1590=0),"",$L1590/$K1590)</f>
        <v/>
      </c>
      <c r="N1590" s="12">
        <f>IF('Data Entry'!A1590="","",IF($L1590="","New item",IF($L1590&gt;0,"UP",IF($L1590&lt;0,"down","same"))))</f>
        <v/>
      </c>
    </row>
    <row r="1591">
      <c r="A1591" s="11">
        <f>IF('Data Entry'!A1591="","",'Data Entry'!A1591)</f>
        <v/>
      </c>
      <c r="B1591" s="12">
        <f>IF('Data Entry'!A1591="","",'Data Entry'!B1591)</f>
        <v/>
      </c>
      <c r="C1591" s="12">
        <f>IF('Data Entry'!A1591="","",'Data Entry'!C1591)</f>
        <v/>
      </c>
      <c r="D1591" s="12">
        <f>IF('Data Entry'!A1591="","",'Data Entry'!D1591)</f>
        <v/>
      </c>
      <c r="E1591" s="12">
        <f>IF('Data Entry'!A1591="","",'Data Entry'!E1591)</f>
        <v/>
      </c>
      <c r="F1591" s="12">
        <f>IF('Data Entry'!A1591="","",'Data Entry'!F1591)</f>
        <v/>
      </c>
      <c r="G1591" s="13">
        <f>IF('Data Entry'!A1591="","",'Data Entry'!G1591)</f>
        <v/>
      </c>
      <c r="H1591" s="10">
        <f>IF('Data Entry'!A1591="","",'Data Entry'!H1591)</f>
        <v/>
      </c>
      <c r="I1591" s="10">
        <f>IF('Data Entry'!A1591="","",'Data Entry'!I1591)</f>
        <v/>
      </c>
      <c r="J1591" s="12">
        <f>IF('Data Entry'!A1591="","",IF('Data Entry'!D1591&lt;&gt;"",'Data Entry'!D1591,'Data Entry'!E1591))</f>
        <v/>
      </c>
      <c r="K1591" s="10">
        <f>IF('Data Entry'!A1591="","",IFERROR(SUMIFS($H$5:$H$2001,$J$5:$J$2001,$J1591,$B$5:$B$2001,$B1591,$A$5:$A$2001,(MAXIFS($A$5:$A$2001,$J$5:$J$2001,$J1591,$B$5:$B$2001,$B1591,$A$5:$A$2001,"&lt;"&amp;$A1591))),""))</f>
        <v/>
      </c>
      <c r="L1591" s="14">
        <f>IF(OR('Data Entry'!A1591="",$K1591=""),"",$H1591-$K1591)</f>
        <v/>
      </c>
      <c r="M1591" s="15">
        <f>IF(OR('Data Entry'!A1591="",$K1591="",$K1591=0),"",$L1591/$K1591)</f>
        <v/>
      </c>
      <c r="N1591" s="12">
        <f>IF('Data Entry'!A1591="","",IF($L1591="","New item",IF($L1591&gt;0,"UP",IF($L1591&lt;0,"down","same"))))</f>
        <v/>
      </c>
    </row>
    <row r="1592">
      <c r="A1592" s="11">
        <f>IF('Data Entry'!A1592="","",'Data Entry'!A1592)</f>
        <v/>
      </c>
      <c r="B1592" s="12">
        <f>IF('Data Entry'!A1592="","",'Data Entry'!B1592)</f>
        <v/>
      </c>
      <c r="C1592" s="12">
        <f>IF('Data Entry'!A1592="","",'Data Entry'!C1592)</f>
        <v/>
      </c>
      <c r="D1592" s="12">
        <f>IF('Data Entry'!A1592="","",'Data Entry'!D1592)</f>
        <v/>
      </c>
      <c r="E1592" s="12">
        <f>IF('Data Entry'!A1592="","",'Data Entry'!E1592)</f>
        <v/>
      </c>
      <c r="F1592" s="12">
        <f>IF('Data Entry'!A1592="","",'Data Entry'!F1592)</f>
        <v/>
      </c>
      <c r="G1592" s="13">
        <f>IF('Data Entry'!A1592="","",'Data Entry'!G1592)</f>
        <v/>
      </c>
      <c r="H1592" s="10">
        <f>IF('Data Entry'!A1592="","",'Data Entry'!H1592)</f>
        <v/>
      </c>
      <c r="I1592" s="10">
        <f>IF('Data Entry'!A1592="","",'Data Entry'!I1592)</f>
        <v/>
      </c>
      <c r="J1592" s="12">
        <f>IF('Data Entry'!A1592="","",IF('Data Entry'!D1592&lt;&gt;"",'Data Entry'!D1592,'Data Entry'!E1592))</f>
        <v/>
      </c>
      <c r="K1592" s="10">
        <f>IF('Data Entry'!A1592="","",IFERROR(SUMIFS($H$5:$H$2001,$J$5:$J$2001,$J1592,$B$5:$B$2001,$B1592,$A$5:$A$2001,(MAXIFS($A$5:$A$2001,$J$5:$J$2001,$J1592,$B$5:$B$2001,$B1592,$A$5:$A$2001,"&lt;"&amp;$A1592))),""))</f>
        <v/>
      </c>
      <c r="L1592" s="14">
        <f>IF(OR('Data Entry'!A1592="",$K1592=""),"",$H1592-$K1592)</f>
        <v/>
      </c>
      <c r="M1592" s="15">
        <f>IF(OR('Data Entry'!A1592="",$K1592="",$K1592=0),"",$L1592/$K1592)</f>
        <v/>
      </c>
      <c r="N1592" s="12">
        <f>IF('Data Entry'!A1592="","",IF($L1592="","New item",IF($L1592&gt;0,"UP",IF($L1592&lt;0,"down","same"))))</f>
        <v/>
      </c>
    </row>
    <row r="1593">
      <c r="A1593" s="11">
        <f>IF('Data Entry'!A1593="","",'Data Entry'!A1593)</f>
        <v/>
      </c>
      <c r="B1593" s="12">
        <f>IF('Data Entry'!A1593="","",'Data Entry'!B1593)</f>
        <v/>
      </c>
      <c r="C1593" s="12">
        <f>IF('Data Entry'!A1593="","",'Data Entry'!C1593)</f>
        <v/>
      </c>
      <c r="D1593" s="12">
        <f>IF('Data Entry'!A1593="","",'Data Entry'!D1593)</f>
        <v/>
      </c>
      <c r="E1593" s="12">
        <f>IF('Data Entry'!A1593="","",'Data Entry'!E1593)</f>
        <v/>
      </c>
      <c r="F1593" s="12">
        <f>IF('Data Entry'!A1593="","",'Data Entry'!F1593)</f>
        <v/>
      </c>
      <c r="G1593" s="13">
        <f>IF('Data Entry'!A1593="","",'Data Entry'!G1593)</f>
        <v/>
      </c>
      <c r="H1593" s="10">
        <f>IF('Data Entry'!A1593="","",'Data Entry'!H1593)</f>
        <v/>
      </c>
      <c r="I1593" s="10">
        <f>IF('Data Entry'!A1593="","",'Data Entry'!I1593)</f>
        <v/>
      </c>
      <c r="J1593" s="12">
        <f>IF('Data Entry'!A1593="","",IF('Data Entry'!D1593&lt;&gt;"",'Data Entry'!D1593,'Data Entry'!E1593))</f>
        <v/>
      </c>
      <c r="K1593" s="10">
        <f>IF('Data Entry'!A1593="","",IFERROR(SUMIFS($H$5:$H$2001,$J$5:$J$2001,$J1593,$B$5:$B$2001,$B1593,$A$5:$A$2001,(MAXIFS($A$5:$A$2001,$J$5:$J$2001,$J1593,$B$5:$B$2001,$B1593,$A$5:$A$2001,"&lt;"&amp;$A1593))),""))</f>
        <v/>
      </c>
      <c r="L1593" s="14">
        <f>IF(OR('Data Entry'!A1593="",$K1593=""),"",$H1593-$K1593)</f>
        <v/>
      </c>
      <c r="M1593" s="15">
        <f>IF(OR('Data Entry'!A1593="",$K1593="",$K1593=0),"",$L1593/$K1593)</f>
        <v/>
      </c>
      <c r="N1593" s="12">
        <f>IF('Data Entry'!A1593="","",IF($L1593="","New item",IF($L1593&gt;0,"UP",IF($L1593&lt;0,"down","same"))))</f>
        <v/>
      </c>
    </row>
    <row r="1594">
      <c r="A1594" s="11">
        <f>IF('Data Entry'!A1594="","",'Data Entry'!A1594)</f>
        <v/>
      </c>
      <c r="B1594" s="12">
        <f>IF('Data Entry'!A1594="","",'Data Entry'!B1594)</f>
        <v/>
      </c>
      <c r="C1594" s="12">
        <f>IF('Data Entry'!A1594="","",'Data Entry'!C1594)</f>
        <v/>
      </c>
      <c r="D1594" s="12">
        <f>IF('Data Entry'!A1594="","",'Data Entry'!D1594)</f>
        <v/>
      </c>
      <c r="E1594" s="12">
        <f>IF('Data Entry'!A1594="","",'Data Entry'!E1594)</f>
        <v/>
      </c>
      <c r="F1594" s="12">
        <f>IF('Data Entry'!A1594="","",'Data Entry'!F1594)</f>
        <v/>
      </c>
      <c r="G1594" s="13">
        <f>IF('Data Entry'!A1594="","",'Data Entry'!G1594)</f>
        <v/>
      </c>
      <c r="H1594" s="10">
        <f>IF('Data Entry'!A1594="","",'Data Entry'!H1594)</f>
        <v/>
      </c>
      <c r="I1594" s="10">
        <f>IF('Data Entry'!A1594="","",'Data Entry'!I1594)</f>
        <v/>
      </c>
      <c r="J1594" s="12">
        <f>IF('Data Entry'!A1594="","",IF('Data Entry'!D1594&lt;&gt;"",'Data Entry'!D1594,'Data Entry'!E1594))</f>
        <v/>
      </c>
      <c r="K1594" s="10">
        <f>IF('Data Entry'!A1594="","",IFERROR(SUMIFS($H$5:$H$2001,$J$5:$J$2001,$J1594,$B$5:$B$2001,$B1594,$A$5:$A$2001,(MAXIFS($A$5:$A$2001,$J$5:$J$2001,$J1594,$B$5:$B$2001,$B1594,$A$5:$A$2001,"&lt;"&amp;$A1594))),""))</f>
        <v/>
      </c>
      <c r="L1594" s="14">
        <f>IF(OR('Data Entry'!A1594="",$K1594=""),"",$H1594-$K1594)</f>
        <v/>
      </c>
      <c r="M1594" s="15">
        <f>IF(OR('Data Entry'!A1594="",$K1594="",$K1594=0),"",$L1594/$K1594)</f>
        <v/>
      </c>
      <c r="N1594" s="12">
        <f>IF('Data Entry'!A1594="","",IF($L1594="","New item",IF($L1594&gt;0,"UP",IF($L1594&lt;0,"down","same"))))</f>
        <v/>
      </c>
    </row>
    <row r="1595">
      <c r="A1595" s="11">
        <f>IF('Data Entry'!A1595="","",'Data Entry'!A1595)</f>
        <v/>
      </c>
      <c r="B1595" s="12">
        <f>IF('Data Entry'!A1595="","",'Data Entry'!B1595)</f>
        <v/>
      </c>
      <c r="C1595" s="12">
        <f>IF('Data Entry'!A1595="","",'Data Entry'!C1595)</f>
        <v/>
      </c>
      <c r="D1595" s="12">
        <f>IF('Data Entry'!A1595="","",'Data Entry'!D1595)</f>
        <v/>
      </c>
      <c r="E1595" s="12">
        <f>IF('Data Entry'!A1595="","",'Data Entry'!E1595)</f>
        <v/>
      </c>
      <c r="F1595" s="12">
        <f>IF('Data Entry'!A1595="","",'Data Entry'!F1595)</f>
        <v/>
      </c>
      <c r="G1595" s="13">
        <f>IF('Data Entry'!A1595="","",'Data Entry'!G1595)</f>
        <v/>
      </c>
      <c r="H1595" s="10">
        <f>IF('Data Entry'!A1595="","",'Data Entry'!H1595)</f>
        <v/>
      </c>
      <c r="I1595" s="10">
        <f>IF('Data Entry'!A1595="","",'Data Entry'!I1595)</f>
        <v/>
      </c>
      <c r="J1595" s="12">
        <f>IF('Data Entry'!A1595="","",IF('Data Entry'!D1595&lt;&gt;"",'Data Entry'!D1595,'Data Entry'!E1595))</f>
        <v/>
      </c>
      <c r="K1595" s="10">
        <f>IF('Data Entry'!A1595="","",IFERROR(SUMIFS($H$5:$H$2001,$J$5:$J$2001,$J1595,$B$5:$B$2001,$B1595,$A$5:$A$2001,(MAXIFS($A$5:$A$2001,$J$5:$J$2001,$J1595,$B$5:$B$2001,$B1595,$A$5:$A$2001,"&lt;"&amp;$A1595))),""))</f>
        <v/>
      </c>
      <c r="L1595" s="14">
        <f>IF(OR('Data Entry'!A1595="",$K1595=""),"",$H1595-$K1595)</f>
        <v/>
      </c>
      <c r="M1595" s="15">
        <f>IF(OR('Data Entry'!A1595="",$K1595="",$K1595=0),"",$L1595/$K1595)</f>
        <v/>
      </c>
      <c r="N1595" s="12">
        <f>IF('Data Entry'!A1595="","",IF($L1595="","New item",IF($L1595&gt;0,"UP",IF($L1595&lt;0,"down","same"))))</f>
        <v/>
      </c>
    </row>
    <row r="1596">
      <c r="A1596" s="11">
        <f>IF('Data Entry'!A1596="","",'Data Entry'!A1596)</f>
        <v/>
      </c>
      <c r="B1596" s="12">
        <f>IF('Data Entry'!A1596="","",'Data Entry'!B1596)</f>
        <v/>
      </c>
      <c r="C1596" s="12">
        <f>IF('Data Entry'!A1596="","",'Data Entry'!C1596)</f>
        <v/>
      </c>
      <c r="D1596" s="12">
        <f>IF('Data Entry'!A1596="","",'Data Entry'!D1596)</f>
        <v/>
      </c>
      <c r="E1596" s="12">
        <f>IF('Data Entry'!A1596="","",'Data Entry'!E1596)</f>
        <v/>
      </c>
      <c r="F1596" s="12">
        <f>IF('Data Entry'!A1596="","",'Data Entry'!F1596)</f>
        <v/>
      </c>
      <c r="G1596" s="13">
        <f>IF('Data Entry'!A1596="","",'Data Entry'!G1596)</f>
        <v/>
      </c>
      <c r="H1596" s="10">
        <f>IF('Data Entry'!A1596="","",'Data Entry'!H1596)</f>
        <v/>
      </c>
      <c r="I1596" s="10">
        <f>IF('Data Entry'!A1596="","",'Data Entry'!I1596)</f>
        <v/>
      </c>
      <c r="J1596" s="12">
        <f>IF('Data Entry'!A1596="","",IF('Data Entry'!D1596&lt;&gt;"",'Data Entry'!D1596,'Data Entry'!E1596))</f>
        <v/>
      </c>
      <c r="K1596" s="10">
        <f>IF('Data Entry'!A1596="","",IFERROR(SUMIFS($H$5:$H$2001,$J$5:$J$2001,$J1596,$B$5:$B$2001,$B1596,$A$5:$A$2001,(MAXIFS($A$5:$A$2001,$J$5:$J$2001,$J1596,$B$5:$B$2001,$B1596,$A$5:$A$2001,"&lt;"&amp;$A1596))),""))</f>
        <v/>
      </c>
      <c r="L1596" s="14">
        <f>IF(OR('Data Entry'!A1596="",$K1596=""),"",$H1596-$K1596)</f>
        <v/>
      </c>
      <c r="M1596" s="15">
        <f>IF(OR('Data Entry'!A1596="",$K1596="",$K1596=0),"",$L1596/$K1596)</f>
        <v/>
      </c>
      <c r="N1596" s="12">
        <f>IF('Data Entry'!A1596="","",IF($L1596="","New item",IF($L1596&gt;0,"UP",IF($L1596&lt;0,"down","same"))))</f>
        <v/>
      </c>
    </row>
    <row r="1597">
      <c r="A1597" s="11">
        <f>IF('Data Entry'!A1597="","",'Data Entry'!A1597)</f>
        <v/>
      </c>
      <c r="B1597" s="12">
        <f>IF('Data Entry'!A1597="","",'Data Entry'!B1597)</f>
        <v/>
      </c>
      <c r="C1597" s="12">
        <f>IF('Data Entry'!A1597="","",'Data Entry'!C1597)</f>
        <v/>
      </c>
      <c r="D1597" s="12">
        <f>IF('Data Entry'!A1597="","",'Data Entry'!D1597)</f>
        <v/>
      </c>
      <c r="E1597" s="12">
        <f>IF('Data Entry'!A1597="","",'Data Entry'!E1597)</f>
        <v/>
      </c>
      <c r="F1597" s="12">
        <f>IF('Data Entry'!A1597="","",'Data Entry'!F1597)</f>
        <v/>
      </c>
      <c r="G1597" s="13">
        <f>IF('Data Entry'!A1597="","",'Data Entry'!G1597)</f>
        <v/>
      </c>
      <c r="H1597" s="10">
        <f>IF('Data Entry'!A1597="","",'Data Entry'!H1597)</f>
        <v/>
      </c>
      <c r="I1597" s="10">
        <f>IF('Data Entry'!A1597="","",'Data Entry'!I1597)</f>
        <v/>
      </c>
      <c r="J1597" s="12">
        <f>IF('Data Entry'!A1597="","",IF('Data Entry'!D1597&lt;&gt;"",'Data Entry'!D1597,'Data Entry'!E1597))</f>
        <v/>
      </c>
      <c r="K1597" s="10">
        <f>IF('Data Entry'!A1597="","",IFERROR(SUMIFS($H$5:$H$2001,$J$5:$J$2001,$J1597,$B$5:$B$2001,$B1597,$A$5:$A$2001,(MAXIFS($A$5:$A$2001,$J$5:$J$2001,$J1597,$B$5:$B$2001,$B1597,$A$5:$A$2001,"&lt;"&amp;$A1597))),""))</f>
        <v/>
      </c>
      <c r="L1597" s="14">
        <f>IF(OR('Data Entry'!A1597="",$K1597=""),"",$H1597-$K1597)</f>
        <v/>
      </c>
      <c r="M1597" s="15">
        <f>IF(OR('Data Entry'!A1597="",$K1597="",$K1597=0),"",$L1597/$K1597)</f>
        <v/>
      </c>
      <c r="N1597" s="12">
        <f>IF('Data Entry'!A1597="","",IF($L1597="","New item",IF($L1597&gt;0,"UP",IF($L1597&lt;0,"down","same"))))</f>
        <v/>
      </c>
    </row>
    <row r="1598">
      <c r="A1598" s="11">
        <f>IF('Data Entry'!A1598="","",'Data Entry'!A1598)</f>
        <v/>
      </c>
      <c r="B1598" s="12">
        <f>IF('Data Entry'!A1598="","",'Data Entry'!B1598)</f>
        <v/>
      </c>
      <c r="C1598" s="12">
        <f>IF('Data Entry'!A1598="","",'Data Entry'!C1598)</f>
        <v/>
      </c>
      <c r="D1598" s="12">
        <f>IF('Data Entry'!A1598="","",'Data Entry'!D1598)</f>
        <v/>
      </c>
      <c r="E1598" s="12">
        <f>IF('Data Entry'!A1598="","",'Data Entry'!E1598)</f>
        <v/>
      </c>
      <c r="F1598" s="12">
        <f>IF('Data Entry'!A1598="","",'Data Entry'!F1598)</f>
        <v/>
      </c>
      <c r="G1598" s="13">
        <f>IF('Data Entry'!A1598="","",'Data Entry'!G1598)</f>
        <v/>
      </c>
      <c r="H1598" s="10">
        <f>IF('Data Entry'!A1598="","",'Data Entry'!H1598)</f>
        <v/>
      </c>
      <c r="I1598" s="10">
        <f>IF('Data Entry'!A1598="","",'Data Entry'!I1598)</f>
        <v/>
      </c>
      <c r="J1598" s="12">
        <f>IF('Data Entry'!A1598="","",IF('Data Entry'!D1598&lt;&gt;"",'Data Entry'!D1598,'Data Entry'!E1598))</f>
        <v/>
      </c>
      <c r="K1598" s="10">
        <f>IF('Data Entry'!A1598="","",IFERROR(SUMIFS($H$5:$H$2001,$J$5:$J$2001,$J1598,$B$5:$B$2001,$B1598,$A$5:$A$2001,(MAXIFS($A$5:$A$2001,$J$5:$J$2001,$J1598,$B$5:$B$2001,$B1598,$A$5:$A$2001,"&lt;"&amp;$A1598))),""))</f>
        <v/>
      </c>
      <c r="L1598" s="14">
        <f>IF(OR('Data Entry'!A1598="",$K1598=""),"",$H1598-$K1598)</f>
        <v/>
      </c>
      <c r="M1598" s="15">
        <f>IF(OR('Data Entry'!A1598="",$K1598="",$K1598=0),"",$L1598/$K1598)</f>
        <v/>
      </c>
      <c r="N1598" s="12">
        <f>IF('Data Entry'!A1598="","",IF($L1598="","New item",IF($L1598&gt;0,"UP",IF($L1598&lt;0,"down","same"))))</f>
        <v/>
      </c>
    </row>
    <row r="1599">
      <c r="A1599" s="11">
        <f>IF('Data Entry'!A1599="","",'Data Entry'!A1599)</f>
        <v/>
      </c>
      <c r="B1599" s="12">
        <f>IF('Data Entry'!A1599="","",'Data Entry'!B1599)</f>
        <v/>
      </c>
      <c r="C1599" s="12">
        <f>IF('Data Entry'!A1599="","",'Data Entry'!C1599)</f>
        <v/>
      </c>
      <c r="D1599" s="12">
        <f>IF('Data Entry'!A1599="","",'Data Entry'!D1599)</f>
        <v/>
      </c>
      <c r="E1599" s="12">
        <f>IF('Data Entry'!A1599="","",'Data Entry'!E1599)</f>
        <v/>
      </c>
      <c r="F1599" s="12">
        <f>IF('Data Entry'!A1599="","",'Data Entry'!F1599)</f>
        <v/>
      </c>
      <c r="G1599" s="13">
        <f>IF('Data Entry'!A1599="","",'Data Entry'!G1599)</f>
        <v/>
      </c>
      <c r="H1599" s="10">
        <f>IF('Data Entry'!A1599="","",'Data Entry'!H1599)</f>
        <v/>
      </c>
      <c r="I1599" s="10">
        <f>IF('Data Entry'!A1599="","",'Data Entry'!I1599)</f>
        <v/>
      </c>
      <c r="J1599" s="12">
        <f>IF('Data Entry'!A1599="","",IF('Data Entry'!D1599&lt;&gt;"",'Data Entry'!D1599,'Data Entry'!E1599))</f>
        <v/>
      </c>
      <c r="K1599" s="10">
        <f>IF('Data Entry'!A1599="","",IFERROR(SUMIFS($H$5:$H$2001,$J$5:$J$2001,$J1599,$B$5:$B$2001,$B1599,$A$5:$A$2001,(MAXIFS($A$5:$A$2001,$J$5:$J$2001,$J1599,$B$5:$B$2001,$B1599,$A$5:$A$2001,"&lt;"&amp;$A1599))),""))</f>
        <v/>
      </c>
      <c r="L1599" s="14">
        <f>IF(OR('Data Entry'!A1599="",$K1599=""),"",$H1599-$K1599)</f>
        <v/>
      </c>
      <c r="M1599" s="15">
        <f>IF(OR('Data Entry'!A1599="",$K1599="",$K1599=0),"",$L1599/$K1599)</f>
        <v/>
      </c>
      <c r="N1599" s="12">
        <f>IF('Data Entry'!A1599="","",IF($L1599="","New item",IF($L1599&gt;0,"UP",IF($L1599&lt;0,"down","same"))))</f>
        <v/>
      </c>
    </row>
    <row r="1600">
      <c r="A1600" s="11">
        <f>IF('Data Entry'!A1600="","",'Data Entry'!A1600)</f>
        <v/>
      </c>
      <c r="B1600" s="12">
        <f>IF('Data Entry'!A1600="","",'Data Entry'!B1600)</f>
        <v/>
      </c>
      <c r="C1600" s="12">
        <f>IF('Data Entry'!A1600="","",'Data Entry'!C1600)</f>
        <v/>
      </c>
      <c r="D1600" s="12">
        <f>IF('Data Entry'!A1600="","",'Data Entry'!D1600)</f>
        <v/>
      </c>
      <c r="E1600" s="12">
        <f>IF('Data Entry'!A1600="","",'Data Entry'!E1600)</f>
        <v/>
      </c>
      <c r="F1600" s="12">
        <f>IF('Data Entry'!A1600="","",'Data Entry'!F1600)</f>
        <v/>
      </c>
      <c r="G1600" s="13">
        <f>IF('Data Entry'!A1600="","",'Data Entry'!G1600)</f>
        <v/>
      </c>
      <c r="H1600" s="10">
        <f>IF('Data Entry'!A1600="","",'Data Entry'!H1600)</f>
        <v/>
      </c>
      <c r="I1600" s="10">
        <f>IF('Data Entry'!A1600="","",'Data Entry'!I1600)</f>
        <v/>
      </c>
      <c r="J1600" s="12">
        <f>IF('Data Entry'!A1600="","",IF('Data Entry'!D1600&lt;&gt;"",'Data Entry'!D1600,'Data Entry'!E1600))</f>
        <v/>
      </c>
      <c r="K1600" s="10">
        <f>IF('Data Entry'!A1600="","",IFERROR(SUMIFS($H$5:$H$2001,$J$5:$J$2001,$J1600,$B$5:$B$2001,$B1600,$A$5:$A$2001,(MAXIFS($A$5:$A$2001,$J$5:$J$2001,$J1600,$B$5:$B$2001,$B1600,$A$5:$A$2001,"&lt;"&amp;$A1600))),""))</f>
        <v/>
      </c>
      <c r="L1600" s="14">
        <f>IF(OR('Data Entry'!A1600="",$K1600=""),"",$H1600-$K1600)</f>
        <v/>
      </c>
      <c r="M1600" s="15">
        <f>IF(OR('Data Entry'!A1600="",$K1600="",$K1600=0),"",$L1600/$K1600)</f>
        <v/>
      </c>
      <c r="N1600" s="12">
        <f>IF('Data Entry'!A1600="","",IF($L1600="","New item",IF($L1600&gt;0,"UP",IF($L1600&lt;0,"down","same"))))</f>
        <v/>
      </c>
    </row>
    <row r="1601">
      <c r="A1601" s="11">
        <f>IF('Data Entry'!A1601="","",'Data Entry'!A1601)</f>
        <v/>
      </c>
      <c r="B1601" s="12">
        <f>IF('Data Entry'!A1601="","",'Data Entry'!B1601)</f>
        <v/>
      </c>
      <c r="C1601" s="12">
        <f>IF('Data Entry'!A1601="","",'Data Entry'!C1601)</f>
        <v/>
      </c>
      <c r="D1601" s="12">
        <f>IF('Data Entry'!A1601="","",'Data Entry'!D1601)</f>
        <v/>
      </c>
      <c r="E1601" s="12">
        <f>IF('Data Entry'!A1601="","",'Data Entry'!E1601)</f>
        <v/>
      </c>
      <c r="F1601" s="12">
        <f>IF('Data Entry'!A1601="","",'Data Entry'!F1601)</f>
        <v/>
      </c>
      <c r="G1601" s="13">
        <f>IF('Data Entry'!A1601="","",'Data Entry'!G1601)</f>
        <v/>
      </c>
      <c r="H1601" s="10">
        <f>IF('Data Entry'!A1601="","",'Data Entry'!H1601)</f>
        <v/>
      </c>
      <c r="I1601" s="10">
        <f>IF('Data Entry'!A1601="","",'Data Entry'!I1601)</f>
        <v/>
      </c>
      <c r="J1601" s="12">
        <f>IF('Data Entry'!A1601="","",IF('Data Entry'!D1601&lt;&gt;"",'Data Entry'!D1601,'Data Entry'!E1601))</f>
        <v/>
      </c>
      <c r="K1601" s="10">
        <f>IF('Data Entry'!A1601="","",IFERROR(SUMIFS($H$5:$H$2001,$J$5:$J$2001,$J1601,$B$5:$B$2001,$B1601,$A$5:$A$2001,(MAXIFS($A$5:$A$2001,$J$5:$J$2001,$J1601,$B$5:$B$2001,$B1601,$A$5:$A$2001,"&lt;"&amp;$A1601))),""))</f>
        <v/>
      </c>
      <c r="L1601" s="14">
        <f>IF(OR('Data Entry'!A1601="",$K1601=""),"",$H1601-$K1601)</f>
        <v/>
      </c>
      <c r="M1601" s="15">
        <f>IF(OR('Data Entry'!A1601="",$K1601="",$K1601=0),"",$L1601/$K1601)</f>
        <v/>
      </c>
      <c r="N1601" s="12">
        <f>IF('Data Entry'!A1601="","",IF($L1601="","New item",IF($L1601&gt;0,"UP",IF($L1601&lt;0,"down","same"))))</f>
        <v/>
      </c>
    </row>
    <row r="1602">
      <c r="A1602" s="11">
        <f>IF('Data Entry'!A1602="","",'Data Entry'!A1602)</f>
        <v/>
      </c>
      <c r="B1602" s="12">
        <f>IF('Data Entry'!A1602="","",'Data Entry'!B1602)</f>
        <v/>
      </c>
      <c r="C1602" s="12">
        <f>IF('Data Entry'!A1602="","",'Data Entry'!C1602)</f>
        <v/>
      </c>
      <c r="D1602" s="12">
        <f>IF('Data Entry'!A1602="","",'Data Entry'!D1602)</f>
        <v/>
      </c>
      <c r="E1602" s="12">
        <f>IF('Data Entry'!A1602="","",'Data Entry'!E1602)</f>
        <v/>
      </c>
      <c r="F1602" s="12">
        <f>IF('Data Entry'!A1602="","",'Data Entry'!F1602)</f>
        <v/>
      </c>
      <c r="G1602" s="13">
        <f>IF('Data Entry'!A1602="","",'Data Entry'!G1602)</f>
        <v/>
      </c>
      <c r="H1602" s="10">
        <f>IF('Data Entry'!A1602="","",'Data Entry'!H1602)</f>
        <v/>
      </c>
      <c r="I1602" s="10">
        <f>IF('Data Entry'!A1602="","",'Data Entry'!I1602)</f>
        <v/>
      </c>
      <c r="J1602" s="12">
        <f>IF('Data Entry'!A1602="","",IF('Data Entry'!D1602&lt;&gt;"",'Data Entry'!D1602,'Data Entry'!E1602))</f>
        <v/>
      </c>
      <c r="K1602" s="10">
        <f>IF('Data Entry'!A1602="","",IFERROR(SUMIFS($H$5:$H$2001,$J$5:$J$2001,$J1602,$B$5:$B$2001,$B1602,$A$5:$A$2001,(MAXIFS($A$5:$A$2001,$J$5:$J$2001,$J1602,$B$5:$B$2001,$B1602,$A$5:$A$2001,"&lt;"&amp;$A1602))),""))</f>
        <v/>
      </c>
      <c r="L1602" s="14">
        <f>IF(OR('Data Entry'!A1602="",$K1602=""),"",$H1602-$K1602)</f>
        <v/>
      </c>
      <c r="M1602" s="15">
        <f>IF(OR('Data Entry'!A1602="",$K1602="",$K1602=0),"",$L1602/$K1602)</f>
        <v/>
      </c>
      <c r="N1602" s="12">
        <f>IF('Data Entry'!A1602="","",IF($L1602="","New item",IF($L1602&gt;0,"UP",IF($L1602&lt;0,"down","same"))))</f>
        <v/>
      </c>
    </row>
    <row r="1603">
      <c r="A1603" s="11">
        <f>IF('Data Entry'!A1603="","",'Data Entry'!A1603)</f>
        <v/>
      </c>
      <c r="B1603" s="12">
        <f>IF('Data Entry'!A1603="","",'Data Entry'!B1603)</f>
        <v/>
      </c>
      <c r="C1603" s="12">
        <f>IF('Data Entry'!A1603="","",'Data Entry'!C1603)</f>
        <v/>
      </c>
      <c r="D1603" s="12">
        <f>IF('Data Entry'!A1603="","",'Data Entry'!D1603)</f>
        <v/>
      </c>
      <c r="E1603" s="12">
        <f>IF('Data Entry'!A1603="","",'Data Entry'!E1603)</f>
        <v/>
      </c>
      <c r="F1603" s="12">
        <f>IF('Data Entry'!A1603="","",'Data Entry'!F1603)</f>
        <v/>
      </c>
      <c r="G1603" s="13">
        <f>IF('Data Entry'!A1603="","",'Data Entry'!G1603)</f>
        <v/>
      </c>
      <c r="H1603" s="10">
        <f>IF('Data Entry'!A1603="","",'Data Entry'!H1603)</f>
        <v/>
      </c>
      <c r="I1603" s="10">
        <f>IF('Data Entry'!A1603="","",'Data Entry'!I1603)</f>
        <v/>
      </c>
      <c r="J1603" s="12">
        <f>IF('Data Entry'!A1603="","",IF('Data Entry'!D1603&lt;&gt;"",'Data Entry'!D1603,'Data Entry'!E1603))</f>
        <v/>
      </c>
      <c r="K1603" s="10">
        <f>IF('Data Entry'!A1603="","",IFERROR(SUMIFS($H$5:$H$2001,$J$5:$J$2001,$J1603,$B$5:$B$2001,$B1603,$A$5:$A$2001,(MAXIFS($A$5:$A$2001,$J$5:$J$2001,$J1603,$B$5:$B$2001,$B1603,$A$5:$A$2001,"&lt;"&amp;$A1603))),""))</f>
        <v/>
      </c>
      <c r="L1603" s="14">
        <f>IF(OR('Data Entry'!A1603="",$K1603=""),"",$H1603-$K1603)</f>
        <v/>
      </c>
      <c r="M1603" s="15">
        <f>IF(OR('Data Entry'!A1603="",$K1603="",$K1603=0),"",$L1603/$K1603)</f>
        <v/>
      </c>
      <c r="N1603" s="12">
        <f>IF('Data Entry'!A1603="","",IF($L1603="","New item",IF($L1603&gt;0,"UP",IF($L1603&lt;0,"down","same"))))</f>
        <v/>
      </c>
    </row>
    <row r="1604">
      <c r="A1604" s="11">
        <f>IF('Data Entry'!A1604="","",'Data Entry'!A1604)</f>
        <v/>
      </c>
      <c r="B1604" s="12">
        <f>IF('Data Entry'!A1604="","",'Data Entry'!B1604)</f>
        <v/>
      </c>
      <c r="C1604" s="12">
        <f>IF('Data Entry'!A1604="","",'Data Entry'!C1604)</f>
        <v/>
      </c>
      <c r="D1604" s="12">
        <f>IF('Data Entry'!A1604="","",'Data Entry'!D1604)</f>
        <v/>
      </c>
      <c r="E1604" s="12">
        <f>IF('Data Entry'!A1604="","",'Data Entry'!E1604)</f>
        <v/>
      </c>
      <c r="F1604" s="12">
        <f>IF('Data Entry'!A1604="","",'Data Entry'!F1604)</f>
        <v/>
      </c>
      <c r="G1604" s="13">
        <f>IF('Data Entry'!A1604="","",'Data Entry'!G1604)</f>
        <v/>
      </c>
      <c r="H1604" s="10">
        <f>IF('Data Entry'!A1604="","",'Data Entry'!H1604)</f>
        <v/>
      </c>
      <c r="I1604" s="10">
        <f>IF('Data Entry'!A1604="","",'Data Entry'!I1604)</f>
        <v/>
      </c>
      <c r="J1604" s="12">
        <f>IF('Data Entry'!A1604="","",IF('Data Entry'!D1604&lt;&gt;"",'Data Entry'!D1604,'Data Entry'!E1604))</f>
        <v/>
      </c>
      <c r="K1604" s="10">
        <f>IF('Data Entry'!A1604="","",IFERROR(SUMIFS($H$5:$H$2001,$J$5:$J$2001,$J1604,$B$5:$B$2001,$B1604,$A$5:$A$2001,(MAXIFS($A$5:$A$2001,$J$5:$J$2001,$J1604,$B$5:$B$2001,$B1604,$A$5:$A$2001,"&lt;"&amp;$A1604))),""))</f>
        <v/>
      </c>
      <c r="L1604" s="14">
        <f>IF(OR('Data Entry'!A1604="",$K1604=""),"",$H1604-$K1604)</f>
        <v/>
      </c>
      <c r="M1604" s="15">
        <f>IF(OR('Data Entry'!A1604="",$K1604="",$K1604=0),"",$L1604/$K1604)</f>
        <v/>
      </c>
      <c r="N1604" s="12">
        <f>IF('Data Entry'!A1604="","",IF($L1604="","New item",IF($L1604&gt;0,"UP",IF($L1604&lt;0,"down","same"))))</f>
        <v/>
      </c>
    </row>
    <row r="1605">
      <c r="A1605" s="11">
        <f>IF('Data Entry'!A1605="","",'Data Entry'!A1605)</f>
        <v/>
      </c>
      <c r="B1605" s="12">
        <f>IF('Data Entry'!A1605="","",'Data Entry'!B1605)</f>
        <v/>
      </c>
      <c r="C1605" s="12">
        <f>IF('Data Entry'!A1605="","",'Data Entry'!C1605)</f>
        <v/>
      </c>
      <c r="D1605" s="12">
        <f>IF('Data Entry'!A1605="","",'Data Entry'!D1605)</f>
        <v/>
      </c>
      <c r="E1605" s="12">
        <f>IF('Data Entry'!A1605="","",'Data Entry'!E1605)</f>
        <v/>
      </c>
      <c r="F1605" s="12">
        <f>IF('Data Entry'!A1605="","",'Data Entry'!F1605)</f>
        <v/>
      </c>
      <c r="G1605" s="13">
        <f>IF('Data Entry'!A1605="","",'Data Entry'!G1605)</f>
        <v/>
      </c>
      <c r="H1605" s="10">
        <f>IF('Data Entry'!A1605="","",'Data Entry'!H1605)</f>
        <v/>
      </c>
      <c r="I1605" s="10">
        <f>IF('Data Entry'!A1605="","",'Data Entry'!I1605)</f>
        <v/>
      </c>
      <c r="J1605" s="12">
        <f>IF('Data Entry'!A1605="","",IF('Data Entry'!D1605&lt;&gt;"",'Data Entry'!D1605,'Data Entry'!E1605))</f>
        <v/>
      </c>
      <c r="K1605" s="10">
        <f>IF('Data Entry'!A1605="","",IFERROR(SUMIFS($H$5:$H$2001,$J$5:$J$2001,$J1605,$B$5:$B$2001,$B1605,$A$5:$A$2001,(MAXIFS($A$5:$A$2001,$J$5:$J$2001,$J1605,$B$5:$B$2001,$B1605,$A$5:$A$2001,"&lt;"&amp;$A1605))),""))</f>
        <v/>
      </c>
      <c r="L1605" s="14">
        <f>IF(OR('Data Entry'!A1605="",$K1605=""),"",$H1605-$K1605)</f>
        <v/>
      </c>
      <c r="M1605" s="15">
        <f>IF(OR('Data Entry'!A1605="",$K1605="",$K1605=0),"",$L1605/$K1605)</f>
        <v/>
      </c>
      <c r="N1605" s="12">
        <f>IF('Data Entry'!A1605="","",IF($L1605="","New item",IF($L1605&gt;0,"UP",IF($L1605&lt;0,"down","same"))))</f>
        <v/>
      </c>
    </row>
    <row r="1606">
      <c r="A1606" s="11">
        <f>IF('Data Entry'!A1606="","",'Data Entry'!A1606)</f>
        <v/>
      </c>
      <c r="B1606" s="12">
        <f>IF('Data Entry'!A1606="","",'Data Entry'!B1606)</f>
        <v/>
      </c>
      <c r="C1606" s="12">
        <f>IF('Data Entry'!A1606="","",'Data Entry'!C1606)</f>
        <v/>
      </c>
      <c r="D1606" s="12">
        <f>IF('Data Entry'!A1606="","",'Data Entry'!D1606)</f>
        <v/>
      </c>
      <c r="E1606" s="12">
        <f>IF('Data Entry'!A1606="","",'Data Entry'!E1606)</f>
        <v/>
      </c>
      <c r="F1606" s="12">
        <f>IF('Data Entry'!A1606="","",'Data Entry'!F1606)</f>
        <v/>
      </c>
      <c r="G1606" s="13">
        <f>IF('Data Entry'!A1606="","",'Data Entry'!G1606)</f>
        <v/>
      </c>
      <c r="H1606" s="10">
        <f>IF('Data Entry'!A1606="","",'Data Entry'!H1606)</f>
        <v/>
      </c>
      <c r="I1606" s="10">
        <f>IF('Data Entry'!A1606="","",'Data Entry'!I1606)</f>
        <v/>
      </c>
      <c r="J1606" s="12">
        <f>IF('Data Entry'!A1606="","",IF('Data Entry'!D1606&lt;&gt;"",'Data Entry'!D1606,'Data Entry'!E1606))</f>
        <v/>
      </c>
      <c r="K1606" s="10">
        <f>IF('Data Entry'!A1606="","",IFERROR(SUMIFS($H$5:$H$2001,$J$5:$J$2001,$J1606,$B$5:$B$2001,$B1606,$A$5:$A$2001,(MAXIFS($A$5:$A$2001,$J$5:$J$2001,$J1606,$B$5:$B$2001,$B1606,$A$5:$A$2001,"&lt;"&amp;$A1606))),""))</f>
        <v/>
      </c>
      <c r="L1606" s="14">
        <f>IF(OR('Data Entry'!A1606="",$K1606=""),"",$H1606-$K1606)</f>
        <v/>
      </c>
      <c r="M1606" s="15">
        <f>IF(OR('Data Entry'!A1606="",$K1606="",$K1606=0),"",$L1606/$K1606)</f>
        <v/>
      </c>
      <c r="N1606" s="12">
        <f>IF('Data Entry'!A1606="","",IF($L1606="","New item",IF($L1606&gt;0,"UP",IF($L1606&lt;0,"down","same"))))</f>
        <v/>
      </c>
    </row>
    <row r="1607">
      <c r="A1607" s="11">
        <f>IF('Data Entry'!A1607="","",'Data Entry'!A1607)</f>
        <v/>
      </c>
      <c r="B1607" s="12">
        <f>IF('Data Entry'!A1607="","",'Data Entry'!B1607)</f>
        <v/>
      </c>
      <c r="C1607" s="12">
        <f>IF('Data Entry'!A1607="","",'Data Entry'!C1607)</f>
        <v/>
      </c>
      <c r="D1607" s="12">
        <f>IF('Data Entry'!A1607="","",'Data Entry'!D1607)</f>
        <v/>
      </c>
      <c r="E1607" s="12">
        <f>IF('Data Entry'!A1607="","",'Data Entry'!E1607)</f>
        <v/>
      </c>
      <c r="F1607" s="12">
        <f>IF('Data Entry'!A1607="","",'Data Entry'!F1607)</f>
        <v/>
      </c>
      <c r="G1607" s="13">
        <f>IF('Data Entry'!A1607="","",'Data Entry'!G1607)</f>
        <v/>
      </c>
      <c r="H1607" s="10">
        <f>IF('Data Entry'!A1607="","",'Data Entry'!H1607)</f>
        <v/>
      </c>
      <c r="I1607" s="10">
        <f>IF('Data Entry'!A1607="","",'Data Entry'!I1607)</f>
        <v/>
      </c>
      <c r="J1607" s="12">
        <f>IF('Data Entry'!A1607="","",IF('Data Entry'!D1607&lt;&gt;"",'Data Entry'!D1607,'Data Entry'!E1607))</f>
        <v/>
      </c>
      <c r="K1607" s="10">
        <f>IF('Data Entry'!A1607="","",IFERROR(SUMIFS($H$5:$H$2001,$J$5:$J$2001,$J1607,$B$5:$B$2001,$B1607,$A$5:$A$2001,(MAXIFS($A$5:$A$2001,$J$5:$J$2001,$J1607,$B$5:$B$2001,$B1607,$A$5:$A$2001,"&lt;"&amp;$A1607))),""))</f>
        <v/>
      </c>
      <c r="L1607" s="14">
        <f>IF(OR('Data Entry'!A1607="",$K1607=""),"",$H1607-$K1607)</f>
        <v/>
      </c>
      <c r="M1607" s="15">
        <f>IF(OR('Data Entry'!A1607="",$K1607="",$K1607=0),"",$L1607/$K1607)</f>
        <v/>
      </c>
      <c r="N1607" s="12">
        <f>IF('Data Entry'!A1607="","",IF($L1607="","New item",IF($L1607&gt;0,"UP",IF($L1607&lt;0,"down","same"))))</f>
        <v/>
      </c>
    </row>
    <row r="1608">
      <c r="A1608" s="11">
        <f>IF('Data Entry'!A1608="","",'Data Entry'!A1608)</f>
        <v/>
      </c>
      <c r="B1608" s="12">
        <f>IF('Data Entry'!A1608="","",'Data Entry'!B1608)</f>
        <v/>
      </c>
      <c r="C1608" s="12">
        <f>IF('Data Entry'!A1608="","",'Data Entry'!C1608)</f>
        <v/>
      </c>
      <c r="D1608" s="12">
        <f>IF('Data Entry'!A1608="","",'Data Entry'!D1608)</f>
        <v/>
      </c>
      <c r="E1608" s="12">
        <f>IF('Data Entry'!A1608="","",'Data Entry'!E1608)</f>
        <v/>
      </c>
      <c r="F1608" s="12">
        <f>IF('Data Entry'!A1608="","",'Data Entry'!F1608)</f>
        <v/>
      </c>
      <c r="G1608" s="13">
        <f>IF('Data Entry'!A1608="","",'Data Entry'!G1608)</f>
        <v/>
      </c>
      <c r="H1608" s="10">
        <f>IF('Data Entry'!A1608="","",'Data Entry'!H1608)</f>
        <v/>
      </c>
      <c r="I1608" s="10">
        <f>IF('Data Entry'!A1608="","",'Data Entry'!I1608)</f>
        <v/>
      </c>
      <c r="J1608" s="12">
        <f>IF('Data Entry'!A1608="","",IF('Data Entry'!D1608&lt;&gt;"",'Data Entry'!D1608,'Data Entry'!E1608))</f>
        <v/>
      </c>
      <c r="K1608" s="10">
        <f>IF('Data Entry'!A1608="","",IFERROR(SUMIFS($H$5:$H$2001,$J$5:$J$2001,$J1608,$B$5:$B$2001,$B1608,$A$5:$A$2001,(MAXIFS($A$5:$A$2001,$J$5:$J$2001,$J1608,$B$5:$B$2001,$B1608,$A$5:$A$2001,"&lt;"&amp;$A1608))),""))</f>
        <v/>
      </c>
      <c r="L1608" s="14">
        <f>IF(OR('Data Entry'!A1608="",$K1608=""),"",$H1608-$K1608)</f>
        <v/>
      </c>
      <c r="M1608" s="15">
        <f>IF(OR('Data Entry'!A1608="",$K1608="",$K1608=0),"",$L1608/$K1608)</f>
        <v/>
      </c>
      <c r="N1608" s="12">
        <f>IF('Data Entry'!A1608="","",IF($L1608="","New item",IF($L1608&gt;0,"UP",IF($L1608&lt;0,"down","same"))))</f>
        <v/>
      </c>
    </row>
    <row r="1609">
      <c r="A1609" s="11">
        <f>IF('Data Entry'!A1609="","",'Data Entry'!A1609)</f>
        <v/>
      </c>
      <c r="B1609" s="12">
        <f>IF('Data Entry'!A1609="","",'Data Entry'!B1609)</f>
        <v/>
      </c>
      <c r="C1609" s="12">
        <f>IF('Data Entry'!A1609="","",'Data Entry'!C1609)</f>
        <v/>
      </c>
      <c r="D1609" s="12">
        <f>IF('Data Entry'!A1609="","",'Data Entry'!D1609)</f>
        <v/>
      </c>
      <c r="E1609" s="12">
        <f>IF('Data Entry'!A1609="","",'Data Entry'!E1609)</f>
        <v/>
      </c>
      <c r="F1609" s="12">
        <f>IF('Data Entry'!A1609="","",'Data Entry'!F1609)</f>
        <v/>
      </c>
      <c r="G1609" s="13">
        <f>IF('Data Entry'!A1609="","",'Data Entry'!G1609)</f>
        <v/>
      </c>
      <c r="H1609" s="10">
        <f>IF('Data Entry'!A1609="","",'Data Entry'!H1609)</f>
        <v/>
      </c>
      <c r="I1609" s="10">
        <f>IF('Data Entry'!A1609="","",'Data Entry'!I1609)</f>
        <v/>
      </c>
      <c r="J1609" s="12">
        <f>IF('Data Entry'!A1609="","",IF('Data Entry'!D1609&lt;&gt;"",'Data Entry'!D1609,'Data Entry'!E1609))</f>
        <v/>
      </c>
      <c r="K1609" s="10">
        <f>IF('Data Entry'!A1609="","",IFERROR(SUMIFS($H$5:$H$2001,$J$5:$J$2001,$J1609,$B$5:$B$2001,$B1609,$A$5:$A$2001,(MAXIFS($A$5:$A$2001,$J$5:$J$2001,$J1609,$B$5:$B$2001,$B1609,$A$5:$A$2001,"&lt;"&amp;$A1609))),""))</f>
        <v/>
      </c>
      <c r="L1609" s="14">
        <f>IF(OR('Data Entry'!A1609="",$K1609=""),"",$H1609-$K1609)</f>
        <v/>
      </c>
      <c r="M1609" s="15">
        <f>IF(OR('Data Entry'!A1609="",$K1609="",$K1609=0),"",$L1609/$K1609)</f>
        <v/>
      </c>
      <c r="N1609" s="12">
        <f>IF('Data Entry'!A1609="","",IF($L1609="","New item",IF($L1609&gt;0,"UP",IF($L1609&lt;0,"down","same"))))</f>
        <v/>
      </c>
    </row>
    <row r="1610">
      <c r="A1610" s="11">
        <f>IF('Data Entry'!A1610="","",'Data Entry'!A1610)</f>
        <v/>
      </c>
      <c r="B1610" s="12">
        <f>IF('Data Entry'!A1610="","",'Data Entry'!B1610)</f>
        <v/>
      </c>
      <c r="C1610" s="12">
        <f>IF('Data Entry'!A1610="","",'Data Entry'!C1610)</f>
        <v/>
      </c>
      <c r="D1610" s="12">
        <f>IF('Data Entry'!A1610="","",'Data Entry'!D1610)</f>
        <v/>
      </c>
      <c r="E1610" s="12">
        <f>IF('Data Entry'!A1610="","",'Data Entry'!E1610)</f>
        <v/>
      </c>
      <c r="F1610" s="12">
        <f>IF('Data Entry'!A1610="","",'Data Entry'!F1610)</f>
        <v/>
      </c>
      <c r="G1610" s="13">
        <f>IF('Data Entry'!A1610="","",'Data Entry'!G1610)</f>
        <v/>
      </c>
      <c r="H1610" s="10">
        <f>IF('Data Entry'!A1610="","",'Data Entry'!H1610)</f>
        <v/>
      </c>
      <c r="I1610" s="10">
        <f>IF('Data Entry'!A1610="","",'Data Entry'!I1610)</f>
        <v/>
      </c>
      <c r="J1610" s="12">
        <f>IF('Data Entry'!A1610="","",IF('Data Entry'!D1610&lt;&gt;"",'Data Entry'!D1610,'Data Entry'!E1610))</f>
        <v/>
      </c>
      <c r="K1610" s="10">
        <f>IF('Data Entry'!A1610="","",IFERROR(SUMIFS($H$5:$H$2001,$J$5:$J$2001,$J1610,$B$5:$B$2001,$B1610,$A$5:$A$2001,(MAXIFS($A$5:$A$2001,$J$5:$J$2001,$J1610,$B$5:$B$2001,$B1610,$A$5:$A$2001,"&lt;"&amp;$A1610))),""))</f>
        <v/>
      </c>
      <c r="L1610" s="14">
        <f>IF(OR('Data Entry'!A1610="",$K1610=""),"",$H1610-$K1610)</f>
        <v/>
      </c>
      <c r="M1610" s="15">
        <f>IF(OR('Data Entry'!A1610="",$K1610="",$K1610=0),"",$L1610/$K1610)</f>
        <v/>
      </c>
      <c r="N1610" s="12">
        <f>IF('Data Entry'!A1610="","",IF($L1610="","New item",IF($L1610&gt;0,"UP",IF($L1610&lt;0,"down","same"))))</f>
        <v/>
      </c>
    </row>
    <row r="1611">
      <c r="A1611" s="11">
        <f>IF('Data Entry'!A1611="","",'Data Entry'!A1611)</f>
        <v/>
      </c>
      <c r="B1611" s="12">
        <f>IF('Data Entry'!A1611="","",'Data Entry'!B1611)</f>
        <v/>
      </c>
      <c r="C1611" s="12">
        <f>IF('Data Entry'!A1611="","",'Data Entry'!C1611)</f>
        <v/>
      </c>
      <c r="D1611" s="12">
        <f>IF('Data Entry'!A1611="","",'Data Entry'!D1611)</f>
        <v/>
      </c>
      <c r="E1611" s="12">
        <f>IF('Data Entry'!A1611="","",'Data Entry'!E1611)</f>
        <v/>
      </c>
      <c r="F1611" s="12">
        <f>IF('Data Entry'!A1611="","",'Data Entry'!F1611)</f>
        <v/>
      </c>
      <c r="G1611" s="13">
        <f>IF('Data Entry'!A1611="","",'Data Entry'!G1611)</f>
        <v/>
      </c>
      <c r="H1611" s="10">
        <f>IF('Data Entry'!A1611="","",'Data Entry'!H1611)</f>
        <v/>
      </c>
      <c r="I1611" s="10">
        <f>IF('Data Entry'!A1611="","",'Data Entry'!I1611)</f>
        <v/>
      </c>
      <c r="J1611" s="12">
        <f>IF('Data Entry'!A1611="","",IF('Data Entry'!D1611&lt;&gt;"",'Data Entry'!D1611,'Data Entry'!E1611))</f>
        <v/>
      </c>
      <c r="K1611" s="10">
        <f>IF('Data Entry'!A1611="","",IFERROR(SUMIFS($H$5:$H$2001,$J$5:$J$2001,$J1611,$B$5:$B$2001,$B1611,$A$5:$A$2001,(MAXIFS($A$5:$A$2001,$J$5:$J$2001,$J1611,$B$5:$B$2001,$B1611,$A$5:$A$2001,"&lt;"&amp;$A1611))),""))</f>
        <v/>
      </c>
      <c r="L1611" s="14">
        <f>IF(OR('Data Entry'!A1611="",$K1611=""),"",$H1611-$K1611)</f>
        <v/>
      </c>
      <c r="M1611" s="15">
        <f>IF(OR('Data Entry'!A1611="",$K1611="",$K1611=0),"",$L1611/$K1611)</f>
        <v/>
      </c>
      <c r="N1611" s="12">
        <f>IF('Data Entry'!A1611="","",IF($L1611="","New item",IF($L1611&gt;0,"UP",IF($L1611&lt;0,"down","same"))))</f>
        <v/>
      </c>
    </row>
    <row r="1612">
      <c r="A1612" s="11">
        <f>IF('Data Entry'!A1612="","",'Data Entry'!A1612)</f>
        <v/>
      </c>
      <c r="B1612" s="12">
        <f>IF('Data Entry'!A1612="","",'Data Entry'!B1612)</f>
        <v/>
      </c>
      <c r="C1612" s="12">
        <f>IF('Data Entry'!A1612="","",'Data Entry'!C1612)</f>
        <v/>
      </c>
      <c r="D1612" s="12">
        <f>IF('Data Entry'!A1612="","",'Data Entry'!D1612)</f>
        <v/>
      </c>
      <c r="E1612" s="12">
        <f>IF('Data Entry'!A1612="","",'Data Entry'!E1612)</f>
        <v/>
      </c>
      <c r="F1612" s="12">
        <f>IF('Data Entry'!A1612="","",'Data Entry'!F1612)</f>
        <v/>
      </c>
      <c r="G1612" s="13">
        <f>IF('Data Entry'!A1612="","",'Data Entry'!G1612)</f>
        <v/>
      </c>
      <c r="H1612" s="10">
        <f>IF('Data Entry'!A1612="","",'Data Entry'!H1612)</f>
        <v/>
      </c>
      <c r="I1612" s="10">
        <f>IF('Data Entry'!A1612="","",'Data Entry'!I1612)</f>
        <v/>
      </c>
      <c r="J1612" s="12">
        <f>IF('Data Entry'!A1612="","",IF('Data Entry'!D1612&lt;&gt;"",'Data Entry'!D1612,'Data Entry'!E1612))</f>
        <v/>
      </c>
      <c r="K1612" s="10">
        <f>IF('Data Entry'!A1612="","",IFERROR(SUMIFS($H$5:$H$2001,$J$5:$J$2001,$J1612,$B$5:$B$2001,$B1612,$A$5:$A$2001,(MAXIFS($A$5:$A$2001,$J$5:$J$2001,$J1612,$B$5:$B$2001,$B1612,$A$5:$A$2001,"&lt;"&amp;$A1612))),""))</f>
        <v/>
      </c>
      <c r="L1612" s="14">
        <f>IF(OR('Data Entry'!A1612="",$K1612=""),"",$H1612-$K1612)</f>
        <v/>
      </c>
      <c r="M1612" s="15">
        <f>IF(OR('Data Entry'!A1612="",$K1612="",$K1612=0),"",$L1612/$K1612)</f>
        <v/>
      </c>
      <c r="N1612" s="12">
        <f>IF('Data Entry'!A1612="","",IF($L1612="","New item",IF($L1612&gt;0,"UP",IF($L1612&lt;0,"down","same"))))</f>
        <v/>
      </c>
    </row>
    <row r="1613">
      <c r="A1613" s="11">
        <f>IF('Data Entry'!A1613="","",'Data Entry'!A1613)</f>
        <v/>
      </c>
      <c r="B1613" s="12">
        <f>IF('Data Entry'!A1613="","",'Data Entry'!B1613)</f>
        <v/>
      </c>
      <c r="C1613" s="12">
        <f>IF('Data Entry'!A1613="","",'Data Entry'!C1613)</f>
        <v/>
      </c>
      <c r="D1613" s="12">
        <f>IF('Data Entry'!A1613="","",'Data Entry'!D1613)</f>
        <v/>
      </c>
      <c r="E1613" s="12">
        <f>IF('Data Entry'!A1613="","",'Data Entry'!E1613)</f>
        <v/>
      </c>
      <c r="F1613" s="12">
        <f>IF('Data Entry'!A1613="","",'Data Entry'!F1613)</f>
        <v/>
      </c>
      <c r="G1613" s="13">
        <f>IF('Data Entry'!A1613="","",'Data Entry'!G1613)</f>
        <v/>
      </c>
      <c r="H1613" s="10">
        <f>IF('Data Entry'!A1613="","",'Data Entry'!H1613)</f>
        <v/>
      </c>
      <c r="I1613" s="10">
        <f>IF('Data Entry'!A1613="","",'Data Entry'!I1613)</f>
        <v/>
      </c>
      <c r="J1613" s="12">
        <f>IF('Data Entry'!A1613="","",IF('Data Entry'!D1613&lt;&gt;"",'Data Entry'!D1613,'Data Entry'!E1613))</f>
        <v/>
      </c>
      <c r="K1613" s="10">
        <f>IF('Data Entry'!A1613="","",IFERROR(SUMIFS($H$5:$H$2001,$J$5:$J$2001,$J1613,$B$5:$B$2001,$B1613,$A$5:$A$2001,(MAXIFS($A$5:$A$2001,$J$5:$J$2001,$J1613,$B$5:$B$2001,$B1613,$A$5:$A$2001,"&lt;"&amp;$A1613))),""))</f>
        <v/>
      </c>
      <c r="L1613" s="14">
        <f>IF(OR('Data Entry'!A1613="",$K1613=""),"",$H1613-$K1613)</f>
        <v/>
      </c>
      <c r="M1613" s="15">
        <f>IF(OR('Data Entry'!A1613="",$K1613="",$K1613=0),"",$L1613/$K1613)</f>
        <v/>
      </c>
      <c r="N1613" s="12">
        <f>IF('Data Entry'!A1613="","",IF($L1613="","New item",IF($L1613&gt;0,"UP",IF($L1613&lt;0,"down","same"))))</f>
        <v/>
      </c>
    </row>
    <row r="1614">
      <c r="A1614" s="11">
        <f>IF('Data Entry'!A1614="","",'Data Entry'!A1614)</f>
        <v/>
      </c>
      <c r="B1614" s="12">
        <f>IF('Data Entry'!A1614="","",'Data Entry'!B1614)</f>
        <v/>
      </c>
      <c r="C1614" s="12">
        <f>IF('Data Entry'!A1614="","",'Data Entry'!C1614)</f>
        <v/>
      </c>
      <c r="D1614" s="12">
        <f>IF('Data Entry'!A1614="","",'Data Entry'!D1614)</f>
        <v/>
      </c>
      <c r="E1614" s="12">
        <f>IF('Data Entry'!A1614="","",'Data Entry'!E1614)</f>
        <v/>
      </c>
      <c r="F1614" s="12">
        <f>IF('Data Entry'!A1614="","",'Data Entry'!F1614)</f>
        <v/>
      </c>
      <c r="G1614" s="13">
        <f>IF('Data Entry'!A1614="","",'Data Entry'!G1614)</f>
        <v/>
      </c>
      <c r="H1614" s="10">
        <f>IF('Data Entry'!A1614="","",'Data Entry'!H1614)</f>
        <v/>
      </c>
      <c r="I1614" s="10">
        <f>IF('Data Entry'!A1614="","",'Data Entry'!I1614)</f>
        <v/>
      </c>
      <c r="J1614" s="12">
        <f>IF('Data Entry'!A1614="","",IF('Data Entry'!D1614&lt;&gt;"",'Data Entry'!D1614,'Data Entry'!E1614))</f>
        <v/>
      </c>
      <c r="K1614" s="10">
        <f>IF('Data Entry'!A1614="","",IFERROR(SUMIFS($H$5:$H$2001,$J$5:$J$2001,$J1614,$B$5:$B$2001,$B1614,$A$5:$A$2001,(MAXIFS($A$5:$A$2001,$J$5:$J$2001,$J1614,$B$5:$B$2001,$B1614,$A$5:$A$2001,"&lt;"&amp;$A1614))),""))</f>
        <v/>
      </c>
      <c r="L1614" s="14">
        <f>IF(OR('Data Entry'!A1614="",$K1614=""),"",$H1614-$K1614)</f>
        <v/>
      </c>
      <c r="M1614" s="15">
        <f>IF(OR('Data Entry'!A1614="",$K1614="",$K1614=0),"",$L1614/$K1614)</f>
        <v/>
      </c>
      <c r="N1614" s="12">
        <f>IF('Data Entry'!A1614="","",IF($L1614="","New item",IF($L1614&gt;0,"UP",IF($L1614&lt;0,"down","same"))))</f>
        <v/>
      </c>
    </row>
    <row r="1615">
      <c r="A1615" s="11">
        <f>IF('Data Entry'!A1615="","",'Data Entry'!A1615)</f>
        <v/>
      </c>
      <c r="B1615" s="12">
        <f>IF('Data Entry'!A1615="","",'Data Entry'!B1615)</f>
        <v/>
      </c>
      <c r="C1615" s="12">
        <f>IF('Data Entry'!A1615="","",'Data Entry'!C1615)</f>
        <v/>
      </c>
      <c r="D1615" s="12">
        <f>IF('Data Entry'!A1615="","",'Data Entry'!D1615)</f>
        <v/>
      </c>
      <c r="E1615" s="12">
        <f>IF('Data Entry'!A1615="","",'Data Entry'!E1615)</f>
        <v/>
      </c>
      <c r="F1615" s="12">
        <f>IF('Data Entry'!A1615="","",'Data Entry'!F1615)</f>
        <v/>
      </c>
      <c r="G1615" s="13">
        <f>IF('Data Entry'!A1615="","",'Data Entry'!G1615)</f>
        <v/>
      </c>
      <c r="H1615" s="10">
        <f>IF('Data Entry'!A1615="","",'Data Entry'!H1615)</f>
        <v/>
      </c>
      <c r="I1615" s="10">
        <f>IF('Data Entry'!A1615="","",'Data Entry'!I1615)</f>
        <v/>
      </c>
      <c r="J1615" s="12">
        <f>IF('Data Entry'!A1615="","",IF('Data Entry'!D1615&lt;&gt;"",'Data Entry'!D1615,'Data Entry'!E1615))</f>
        <v/>
      </c>
      <c r="K1615" s="10">
        <f>IF('Data Entry'!A1615="","",IFERROR(SUMIFS($H$5:$H$2001,$J$5:$J$2001,$J1615,$B$5:$B$2001,$B1615,$A$5:$A$2001,(MAXIFS($A$5:$A$2001,$J$5:$J$2001,$J1615,$B$5:$B$2001,$B1615,$A$5:$A$2001,"&lt;"&amp;$A1615))),""))</f>
        <v/>
      </c>
      <c r="L1615" s="14">
        <f>IF(OR('Data Entry'!A1615="",$K1615=""),"",$H1615-$K1615)</f>
        <v/>
      </c>
      <c r="M1615" s="15">
        <f>IF(OR('Data Entry'!A1615="",$K1615="",$K1615=0),"",$L1615/$K1615)</f>
        <v/>
      </c>
      <c r="N1615" s="12">
        <f>IF('Data Entry'!A1615="","",IF($L1615="","New item",IF($L1615&gt;0,"UP",IF($L1615&lt;0,"down","same"))))</f>
        <v/>
      </c>
    </row>
    <row r="1616">
      <c r="A1616" s="11">
        <f>IF('Data Entry'!A1616="","",'Data Entry'!A1616)</f>
        <v/>
      </c>
      <c r="B1616" s="12">
        <f>IF('Data Entry'!A1616="","",'Data Entry'!B1616)</f>
        <v/>
      </c>
      <c r="C1616" s="12">
        <f>IF('Data Entry'!A1616="","",'Data Entry'!C1616)</f>
        <v/>
      </c>
      <c r="D1616" s="12">
        <f>IF('Data Entry'!A1616="","",'Data Entry'!D1616)</f>
        <v/>
      </c>
      <c r="E1616" s="12">
        <f>IF('Data Entry'!A1616="","",'Data Entry'!E1616)</f>
        <v/>
      </c>
      <c r="F1616" s="12">
        <f>IF('Data Entry'!A1616="","",'Data Entry'!F1616)</f>
        <v/>
      </c>
      <c r="G1616" s="13">
        <f>IF('Data Entry'!A1616="","",'Data Entry'!G1616)</f>
        <v/>
      </c>
      <c r="H1616" s="10">
        <f>IF('Data Entry'!A1616="","",'Data Entry'!H1616)</f>
        <v/>
      </c>
      <c r="I1616" s="10">
        <f>IF('Data Entry'!A1616="","",'Data Entry'!I1616)</f>
        <v/>
      </c>
      <c r="J1616" s="12">
        <f>IF('Data Entry'!A1616="","",IF('Data Entry'!D1616&lt;&gt;"",'Data Entry'!D1616,'Data Entry'!E1616))</f>
        <v/>
      </c>
      <c r="K1616" s="10">
        <f>IF('Data Entry'!A1616="","",IFERROR(SUMIFS($H$5:$H$2001,$J$5:$J$2001,$J1616,$B$5:$B$2001,$B1616,$A$5:$A$2001,(MAXIFS($A$5:$A$2001,$J$5:$J$2001,$J1616,$B$5:$B$2001,$B1616,$A$5:$A$2001,"&lt;"&amp;$A1616))),""))</f>
        <v/>
      </c>
      <c r="L1616" s="14">
        <f>IF(OR('Data Entry'!A1616="",$K1616=""),"",$H1616-$K1616)</f>
        <v/>
      </c>
      <c r="M1616" s="15">
        <f>IF(OR('Data Entry'!A1616="",$K1616="",$K1616=0),"",$L1616/$K1616)</f>
        <v/>
      </c>
      <c r="N1616" s="12">
        <f>IF('Data Entry'!A1616="","",IF($L1616="","New item",IF($L1616&gt;0,"UP",IF($L1616&lt;0,"down","same"))))</f>
        <v/>
      </c>
    </row>
    <row r="1617">
      <c r="A1617" s="11">
        <f>IF('Data Entry'!A1617="","",'Data Entry'!A1617)</f>
        <v/>
      </c>
      <c r="B1617" s="12">
        <f>IF('Data Entry'!A1617="","",'Data Entry'!B1617)</f>
        <v/>
      </c>
      <c r="C1617" s="12">
        <f>IF('Data Entry'!A1617="","",'Data Entry'!C1617)</f>
        <v/>
      </c>
      <c r="D1617" s="12">
        <f>IF('Data Entry'!A1617="","",'Data Entry'!D1617)</f>
        <v/>
      </c>
      <c r="E1617" s="12">
        <f>IF('Data Entry'!A1617="","",'Data Entry'!E1617)</f>
        <v/>
      </c>
      <c r="F1617" s="12">
        <f>IF('Data Entry'!A1617="","",'Data Entry'!F1617)</f>
        <v/>
      </c>
      <c r="G1617" s="13">
        <f>IF('Data Entry'!A1617="","",'Data Entry'!G1617)</f>
        <v/>
      </c>
      <c r="H1617" s="10">
        <f>IF('Data Entry'!A1617="","",'Data Entry'!H1617)</f>
        <v/>
      </c>
      <c r="I1617" s="10">
        <f>IF('Data Entry'!A1617="","",'Data Entry'!I1617)</f>
        <v/>
      </c>
      <c r="J1617" s="12">
        <f>IF('Data Entry'!A1617="","",IF('Data Entry'!D1617&lt;&gt;"",'Data Entry'!D1617,'Data Entry'!E1617))</f>
        <v/>
      </c>
      <c r="K1617" s="10">
        <f>IF('Data Entry'!A1617="","",IFERROR(SUMIFS($H$5:$H$2001,$J$5:$J$2001,$J1617,$B$5:$B$2001,$B1617,$A$5:$A$2001,(MAXIFS($A$5:$A$2001,$J$5:$J$2001,$J1617,$B$5:$B$2001,$B1617,$A$5:$A$2001,"&lt;"&amp;$A1617))),""))</f>
        <v/>
      </c>
      <c r="L1617" s="14">
        <f>IF(OR('Data Entry'!A1617="",$K1617=""),"",$H1617-$K1617)</f>
        <v/>
      </c>
      <c r="M1617" s="15">
        <f>IF(OR('Data Entry'!A1617="",$K1617="",$K1617=0),"",$L1617/$K1617)</f>
        <v/>
      </c>
      <c r="N1617" s="12">
        <f>IF('Data Entry'!A1617="","",IF($L1617="","New item",IF($L1617&gt;0,"UP",IF($L1617&lt;0,"down","same"))))</f>
        <v/>
      </c>
    </row>
    <row r="1618">
      <c r="A1618" s="11">
        <f>IF('Data Entry'!A1618="","",'Data Entry'!A1618)</f>
        <v/>
      </c>
      <c r="B1618" s="12">
        <f>IF('Data Entry'!A1618="","",'Data Entry'!B1618)</f>
        <v/>
      </c>
      <c r="C1618" s="12">
        <f>IF('Data Entry'!A1618="","",'Data Entry'!C1618)</f>
        <v/>
      </c>
      <c r="D1618" s="12">
        <f>IF('Data Entry'!A1618="","",'Data Entry'!D1618)</f>
        <v/>
      </c>
      <c r="E1618" s="12">
        <f>IF('Data Entry'!A1618="","",'Data Entry'!E1618)</f>
        <v/>
      </c>
      <c r="F1618" s="12">
        <f>IF('Data Entry'!A1618="","",'Data Entry'!F1618)</f>
        <v/>
      </c>
      <c r="G1618" s="13">
        <f>IF('Data Entry'!A1618="","",'Data Entry'!G1618)</f>
        <v/>
      </c>
      <c r="H1618" s="10">
        <f>IF('Data Entry'!A1618="","",'Data Entry'!H1618)</f>
        <v/>
      </c>
      <c r="I1618" s="10">
        <f>IF('Data Entry'!A1618="","",'Data Entry'!I1618)</f>
        <v/>
      </c>
      <c r="J1618" s="12">
        <f>IF('Data Entry'!A1618="","",IF('Data Entry'!D1618&lt;&gt;"",'Data Entry'!D1618,'Data Entry'!E1618))</f>
        <v/>
      </c>
      <c r="K1618" s="10">
        <f>IF('Data Entry'!A1618="","",IFERROR(SUMIFS($H$5:$H$2001,$J$5:$J$2001,$J1618,$B$5:$B$2001,$B1618,$A$5:$A$2001,(MAXIFS($A$5:$A$2001,$J$5:$J$2001,$J1618,$B$5:$B$2001,$B1618,$A$5:$A$2001,"&lt;"&amp;$A1618))),""))</f>
        <v/>
      </c>
      <c r="L1618" s="14">
        <f>IF(OR('Data Entry'!A1618="",$K1618=""),"",$H1618-$K1618)</f>
        <v/>
      </c>
      <c r="M1618" s="15">
        <f>IF(OR('Data Entry'!A1618="",$K1618="",$K1618=0),"",$L1618/$K1618)</f>
        <v/>
      </c>
      <c r="N1618" s="12">
        <f>IF('Data Entry'!A1618="","",IF($L1618="","New item",IF($L1618&gt;0,"UP",IF($L1618&lt;0,"down","same"))))</f>
        <v/>
      </c>
    </row>
    <row r="1619">
      <c r="A1619" s="11">
        <f>IF('Data Entry'!A1619="","",'Data Entry'!A1619)</f>
        <v/>
      </c>
      <c r="B1619" s="12">
        <f>IF('Data Entry'!A1619="","",'Data Entry'!B1619)</f>
        <v/>
      </c>
      <c r="C1619" s="12">
        <f>IF('Data Entry'!A1619="","",'Data Entry'!C1619)</f>
        <v/>
      </c>
      <c r="D1619" s="12">
        <f>IF('Data Entry'!A1619="","",'Data Entry'!D1619)</f>
        <v/>
      </c>
      <c r="E1619" s="12">
        <f>IF('Data Entry'!A1619="","",'Data Entry'!E1619)</f>
        <v/>
      </c>
      <c r="F1619" s="12">
        <f>IF('Data Entry'!A1619="","",'Data Entry'!F1619)</f>
        <v/>
      </c>
      <c r="G1619" s="13">
        <f>IF('Data Entry'!A1619="","",'Data Entry'!G1619)</f>
        <v/>
      </c>
      <c r="H1619" s="10">
        <f>IF('Data Entry'!A1619="","",'Data Entry'!H1619)</f>
        <v/>
      </c>
      <c r="I1619" s="10">
        <f>IF('Data Entry'!A1619="","",'Data Entry'!I1619)</f>
        <v/>
      </c>
      <c r="J1619" s="12">
        <f>IF('Data Entry'!A1619="","",IF('Data Entry'!D1619&lt;&gt;"",'Data Entry'!D1619,'Data Entry'!E1619))</f>
        <v/>
      </c>
      <c r="K1619" s="10">
        <f>IF('Data Entry'!A1619="","",IFERROR(SUMIFS($H$5:$H$2001,$J$5:$J$2001,$J1619,$B$5:$B$2001,$B1619,$A$5:$A$2001,(MAXIFS($A$5:$A$2001,$J$5:$J$2001,$J1619,$B$5:$B$2001,$B1619,$A$5:$A$2001,"&lt;"&amp;$A1619))),""))</f>
        <v/>
      </c>
      <c r="L1619" s="14">
        <f>IF(OR('Data Entry'!A1619="",$K1619=""),"",$H1619-$K1619)</f>
        <v/>
      </c>
      <c r="M1619" s="15">
        <f>IF(OR('Data Entry'!A1619="",$K1619="",$K1619=0),"",$L1619/$K1619)</f>
        <v/>
      </c>
      <c r="N1619" s="12">
        <f>IF('Data Entry'!A1619="","",IF($L1619="","New item",IF($L1619&gt;0,"UP",IF($L1619&lt;0,"down","same"))))</f>
        <v/>
      </c>
    </row>
    <row r="1620">
      <c r="A1620" s="11">
        <f>IF('Data Entry'!A1620="","",'Data Entry'!A1620)</f>
        <v/>
      </c>
      <c r="B1620" s="12">
        <f>IF('Data Entry'!A1620="","",'Data Entry'!B1620)</f>
        <v/>
      </c>
      <c r="C1620" s="12">
        <f>IF('Data Entry'!A1620="","",'Data Entry'!C1620)</f>
        <v/>
      </c>
      <c r="D1620" s="12">
        <f>IF('Data Entry'!A1620="","",'Data Entry'!D1620)</f>
        <v/>
      </c>
      <c r="E1620" s="12">
        <f>IF('Data Entry'!A1620="","",'Data Entry'!E1620)</f>
        <v/>
      </c>
      <c r="F1620" s="12">
        <f>IF('Data Entry'!A1620="","",'Data Entry'!F1620)</f>
        <v/>
      </c>
      <c r="G1620" s="13">
        <f>IF('Data Entry'!A1620="","",'Data Entry'!G1620)</f>
        <v/>
      </c>
      <c r="H1620" s="10">
        <f>IF('Data Entry'!A1620="","",'Data Entry'!H1620)</f>
        <v/>
      </c>
      <c r="I1620" s="10">
        <f>IF('Data Entry'!A1620="","",'Data Entry'!I1620)</f>
        <v/>
      </c>
      <c r="J1620" s="12">
        <f>IF('Data Entry'!A1620="","",IF('Data Entry'!D1620&lt;&gt;"",'Data Entry'!D1620,'Data Entry'!E1620))</f>
        <v/>
      </c>
      <c r="K1620" s="10">
        <f>IF('Data Entry'!A1620="","",IFERROR(SUMIFS($H$5:$H$2001,$J$5:$J$2001,$J1620,$B$5:$B$2001,$B1620,$A$5:$A$2001,(MAXIFS($A$5:$A$2001,$J$5:$J$2001,$J1620,$B$5:$B$2001,$B1620,$A$5:$A$2001,"&lt;"&amp;$A1620))),""))</f>
        <v/>
      </c>
      <c r="L1620" s="14">
        <f>IF(OR('Data Entry'!A1620="",$K1620=""),"",$H1620-$K1620)</f>
        <v/>
      </c>
      <c r="M1620" s="15">
        <f>IF(OR('Data Entry'!A1620="",$K1620="",$K1620=0),"",$L1620/$K1620)</f>
        <v/>
      </c>
      <c r="N1620" s="12">
        <f>IF('Data Entry'!A1620="","",IF($L1620="","New item",IF($L1620&gt;0,"UP",IF($L1620&lt;0,"down","same"))))</f>
        <v/>
      </c>
    </row>
    <row r="1621">
      <c r="A1621" s="11">
        <f>IF('Data Entry'!A1621="","",'Data Entry'!A1621)</f>
        <v/>
      </c>
      <c r="B1621" s="12">
        <f>IF('Data Entry'!A1621="","",'Data Entry'!B1621)</f>
        <v/>
      </c>
      <c r="C1621" s="12">
        <f>IF('Data Entry'!A1621="","",'Data Entry'!C1621)</f>
        <v/>
      </c>
      <c r="D1621" s="12">
        <f>IF('Data Entry'!A1621="","",'Data Entry'!D1621)</f>
        <v/>
      </c>
      <c r="E1621" s="12">
        <f>IF('Data Entry'!A1621="","",'Data Entry'!E1621)</f>
        <v/>
      </c>
      <c r="F1621" s="12">
        <f>IF('Data Entry'!A1621="","",'Data Entry'!F1621)</f>
        <v/>
      </c>
      <c r="G1621" s="13">
        <f>IF('Data Entry'!A1621="","",'Data Entry'!G1621)</f>
        <v/>
      </c>
      <c r="H1621" s="10">
        <f>IF('Data Entry'!A1621="","",'Data Entry'!H1621)</f>
        <v/>
      </c>
      <c r="I1621" s="10">
        <f>IF('Data Entry'!A1621="","",'Data Entry'!I1621)</f>
        <v/>
      </c>
      <c r="J1621" s="12">
        <f>IF('Data Entry'!A1621="","",IF('Data Entry'!D1621&lt;&gt;"",'Data Entry'!D1621,'Data Entry'!E1621))</f>
        <v/>
      </c>
      <c r="K1621" s="10">
        <f>IF('Data Entry'!A1621="","",IFERROR(SUMIFS($H$5:$H$2001,$J$5:$J$2001,$J1621,$B$5:$B$2001,$B1621,$A$5:$A$2001,(MAXIFS($A$5:$A$2001,$J$5:$J$2001,$J1621,$B$5:$B$2001,$B1621,$A$5:$A$2001,"&lt;"&amp;$A1621))),""))</f>
        <v/>
      </c>
      <c r="L1621" s="14">
        <f>IF(OR('Data Entry'!A1621="",$K1621=""),"",$H1621-$K1621)</f>
        <v/>
      </c>
      <c r="M1621" s="15">
        <f>IF(OR('Data Entry'!A1621="",$K1621="",$K1621=0),"",$L1621/$K1621)</f>
        <v/>
      </c>
      <c r="N1621" s="12">
        <f>IF('Data Entry'!A1621="","",IF($L1621="","New item",IF($L1621&gt;0,"UP",IF($L1621&lt;0,"down","same"))))</f>
        <v/>
      </c>
    </row>
    <row r="1622">
      <c r="A1622" s="11">
        <f>IF('Data Entry'!A1622="","",'Data Entry'!A1622)</f>
        <v/>
      </c>
      <c r="B1622" s="12">
        <f>IF('Data Entry'!A1622="","",'Data Entry'!B1622)</f>
        <v/>
      </c>
      <c r="C1622" s="12">
        <f>IF('Data Entry'!A1622="","",'Data Entry'!C1622)</f>
        <v/>
      </c>
      <c r="D1622" s="12">
        <f>IF('Data Entry'!A1622="","",'Data Entry'!D1622)</f>
        <v/>
      </c>
      <c r="E1622" s="12">
        <f>IF('Data Entry'!A1622="","",'Data Entry'!E1622)</f>
        <v/>
      </c>
      <c r="F1622" s="12">
        <f>IF('Data Entry'!A1622="","",'Data Entry'!F1622)</f>
        <v/>
      </c>
      <c r="G1622" s="13">
        <f>IF('Data Entry'!A1622="","",'Data Entry'!G1622)</f>
        <v/>
      </c>
      <c r="H1622" s="10">
        <f>IF('Data Entry'!A1622="","",'Data Entry'!H1622)</f>
        <v/>
      </c>
      <c r="I1622" s="10">
        <f>IF('Data Entry'!A1622="","",'Data Entry'!I1622)</f>
        <v/>
      </c>
      <c r="J1622" s="12">
        <f>IF('Data Entry'!A1622="","",IF('Data Entry'!D1622&lt;&gt;"",'Data Entry'!D1622,'Data Entry'!E1622))</f>
        <v/>
      </c>
      <c r="K1622" s="10">
        <f>IF('Data Entry'!A1622="","",IFERROR(SUMIFS($H$5:$H$2001,$J$5:$J$2001,$J1622,$B$5:$B$2001,$B1622,$A$5:$A$2001,(MAXIFS($A$5:$A$2001,$J$5:$J$2001,$J1622,$B$5:$B$2001,$B1622,$A$5:$A$2001,"&lt;"&amp;$A1622))),""))</f>
        <v/>
      </c>
      <c r="L1622" s="14">
        <f>IF(OR('Data Entry'!A1622="",$K1622=""),"",$H1622-$K1622)</f>
        <v/>
      </c>
      <c r="M1622" s="15">
        <f>IF(OR('Data Entry'!A1622="",$K1622="",$K1622=0),"",$L1622/$K1622)</f>
        <v/>
      </c>
      <c r="N1622" s="12">
        <f>IF('Data Entry'!A1622="","",IF($L1622="","New item",IF($L1622&gt;0,"UP",IF($L1622&lt;0,"down","same"))))</f>
        <v/>
      </c>
    </row>
    <row r="1623">
      <c r="A1623" s="11">
        <f>IF('Data Entry'!A1623="","",'Data Entry'!A1623)</f>
        <v/>
      </c>
      <c r="B1623" s="12">
        <f>IF('Data Entry'!A1623="","",'Data Entry'!B1623)</f>
        <v/>
      </c>
      <c r="C1623" s="12">
        <f>IF('Data Entry'!A1623="","",'Data Entry'!C1623)</f>
        <v/>
      </c>
      <c r="D1623" s="12">
        <f>IF('Data Entry'!A1623="","",'Data Entry'!D1623)</f>
        <v/>
      </c>
      <c r="E1623" s="12">
        <f>IF('Data Entry'!A1623="","",'Data Entry'!E1623)</f>
        <v/>
      </c>
      <c r="F1623" s="12">
        <f>IF('Data Entry'!A1623="","",'Data Entry'!F1623)</f>
        <v/>
      </c>
      <c r="G1623" s="13">
        <f>IF('Data Entry'!A1623="","",'Data Entry'!G1623)</f>
        <v/>
      </c>
      <c r="H1623" s="10">
        <f>IF('Data Entry'!A1623="","",'Data Entry'!H1623)</f>
        <v/>
      </c>
      <c r="I1623" s="10">
        <f>IF('Data Entry'!A1623="","",'Data Entry'!I1623)</f>
        <v/>
      </c>
      <c r="J1623" s="12">
        <f>IF('Data Entry'!A1623="","",IF('Data Entry'!D1623&lt;&gt;"",'Data Entry'!D1623,'Data Entry'!E1623))</f>
        <v/>
      </c>
      <c r="K1623" s="10">
        <f>IF('Data Entry'!A1623="","",IFERROR(SUMIFS($H$5:$H$2001,$J$5:$J$2001,$J1623,$B$5:$B$2001,$B1623,$A$5:$A$2001,(MAXIFS($A$5:$A$2001,$J$5:$J$2001,$J1623,$B$5:$B$2001,$B1623,$A$5:$A$2001,"&lt;"&amp;$A1623))),""))</f>
        <v/>
      </c>
      <c r="L1623" s="14">
        <f>IF(OR('Data Entry'!A1623="",$K1623=""),"",$H1623-$K1623)</f>
        <v/>
      </c>
      <c r="M1623" s="15">
        <f>IF(OR('Data Entry'!A1623="",$K1623="",$K1623=0),"",$L1623/$K1623)</f>
        <v/>
      </c>
      <c r="N1623" s="12">
        <f>IF('Data Entry'!A1623="","",IF($L1623="","New item",IF($L1623&gt;0,"UP",IF($L1623&lt;0,"down","same"))))</f>
        <v/>
      </c>
    </row>
    <row r="1624">
      <c r="A1624" s="11">
        <f>IF('Data Entry'!A1624="","",'Data Entry'!A1624)</f>
        <v/>
      </c>
      <c r="B1624" s="12">
        <f>IF('Data Entry'!A1624="","",'Data Entry'!B1624)</f>
        <v/>
      </c>
      <c r="C1624" s="12">
        <f>IF('Data Entry'!A1624="","",'Data Entry'!C1624)</f>
        <v/>
      </c>
      <c r="D1624" s="12">
        <f>IF('Data Entry'!A1624="","",'Data Entry'!D1624)</f>
        <v/>
      </c>
      <c r="E1624" s="12">
        <f>IF('Data Entry'!A1624="","",'Data Entry'!E1624)</f>
        <v/>
      </c>
      <c r="F1624" s="12">
        <f>IF('Data Entry'!A1624="","",'Data Entry'!F1624)</f>
        <v/>
      </c>
      <c r="G1624" s="13">
        <f>IF('Data Entry'!A1624="","",'Data Entry'!G1624)</f>
        <v/>
      </c>
      <c r="H1624" s="10">
        <f>IF('Data Entry'!A1624="","",'Data Entry'!H1624)</f>
        <v/>
      </c>
      <c r="I1624" s="10">
        <f>IF('Data Entry'!A1624="","",'Data Entry'!I1624)</f>
        <v/>
      </c>
      <c r="J1624" s="12">
        <f>IF('Data Entry'!A1624="","",IF('Data Entry'!D1624&lt;&gt;"",'Data Entry'!D1624,'Data Entry'!E1624))</f>
        <v/>
      </c>
      <c r="K1624" s="10">
        <f>IF('Data Entry'!A1624="","",IFERROR(SUMIFS($H$5:$H$2001,$J$5:$J$2001,$J1624,$B$5:$B$2001,$B1624,$A$5:$A$2001,(MAXIFS($A$5:$A$2001,$J$5:$J$2001,$J1624,$B$5:$B$2001,$B1624,$A$5:$A$2001,"&lt;"&amp;$A1624))),""))</f>
        <v/>
      </c>
      <c r="L1624" s="14">
        <f>IF(OR('Data Entry'!A1624="",$K1624=""),"",$H1624-$K1624)</f>
        <v/>
      </c>
      <c r="M1624" s="15">
        <f>IF(OR('Data Entry'!A1624="",$K1624="",$K1624=0),"",$L1624/$K1624)</f>
        <v/>
      </c>
      <c r="N1624" s="12">
        <f>IF('Data Entry'!A1624="","",IF($L1624="","New item",IF($L1624&gt;0,"UP",IF($L1624&lt;0,"down","same"))))</f>
        <v/>
      </c>
    </row>
    <row r="1625">
      <c r="A1625" s="11">
        <f>IF('Data Entry'!A1625="","",'Data Entry'!A1625)</f>
        <v/>
      </c>
      <c r="B1625" s="12">
        <f>IF('Data Entry'!A1625="","",'Data Entry'!B1625)</f>
        <v/>
      </c>
      <c r="C1625" s="12">
        <f>IF('Data Entry'!A1625="","",'Data Entry'!C1625)</f>
        <v/>
      </c>
      <c r="D1625" s="12">
        <f>IF('Data Entry'!A1625="","",'Data Entry'!D1625)</f>
        <v/>
      </c>
      <c r="E1625" s="12">
        <f>IF('Data Entry'!A1625="","",'Data Entry'!E1625)</f>
        <v/>
      </c>
      <c r="F1625" s="12">
        <f>IF('Data Entry'!A1625="","",'Data Entry'!F1625)</f>
        <v/>
      </c>
      <c r="G1625" s="13">
        <f>IF('Data Entry'!A1625="","",'Data Entry'!G1625)</f>
        <v/>
      </c>
      <c r="H1625" s="10">
        <f>IF('Data Entry'!A1625="","",'Data Entry'!H1625)</f>
        <v/>
      </c>
      <c r="I1625" s="10">
        <f>IF('Data Entry'!A1625="","",'Data Entry'!I1625)</f>
        <v/>
      </c>
      <c r="J1625" s="12">
        <f>IF('Data Entry'!A1625="","",IF('Data Entry'!D1625&lt;&gt;"",'Data Entry'!D1625,'Data Entry'!E1625))</f>
        <v/>
      </c>
      <c r="K1625" s="10">
        <f>IF('Data Entry'!A1625="","",IFERROR(SUMIFS($H$5:$H$2001,$J$5:$J$2001,$J1625,$B$5:$B$2001,$B1625,$A$5:$A$2001,(MAXIFS($A$5:$A$2001,$J$5:$J$2001,$J1625,$B$5:$B$2001,$B1625,$A$5:$A$2001,"&lt;"&amp;$A1625))),""))</f>
        <v/>
      </c>
      <c r="L1625" s="14">
        <f>IF(OR('Data Entry'!A1625="",$K1625=""),"",$H1625-$K1625)</f>
        <v/>
      </c>
      <c r="M1625" s="15">
        <f>IF(OR('Data Entry'!A1625="",$K1625="",$K1625=0),"",$L1625/$K1625)</f>
        <v/>
      </c>
      <c r="N1625" s="12">
        <f>IF('Data Entry'!A1625="","",IF($L1625="","New item",IF($L1625&gt;0,"UP",IF($L1625&lt;0,"down","same"))))</f>
        <v/>
      </c>
    </row>
    <row r="1626">
      <c r="A1626" s="11">
        <f>IF('Data Entry'!A1626="","",'Data Entry'!A1626)</f>
        <v/>
      </c>
      <c r="B1626" s="12">
        <f>IF('Data Entry'!A1626="","",'Data Entry'!B1626)</f>
        <v/>
      </c>
      <c r="C1626" s="12">
        <f>IF('Data Entry'!A1626="","",'Data Entry'!C1626)</f>
        <v/>
      </c>
      <c r="D1626" s="12">
        <f>IF('Data Entry'!A1626="","",'Data Entry'!D1626)</f>
        <v/>
      </c>
      <c r="E1626" s="12">
        <f>IF('Data Entry'!A1626="","",'Data Entry'!E1626)</f>
        <v/>
      </c>
      <c r="F1626" s="12">
        <f>IF('Data Entry'!A1626="","",'Data Entry'!F1626)</f>
        <v/>
      </c>
      <c r="G1626" s="13">
        <f>IF('Data Entry'!A1626="","",'Data Entry'!G1626)</f>
        <v/>
      </c>
      <c r="H1626" s="10">
        <f>IF('Data Entry'!A1626="","",'Data Entry'!H1626)</f>
        <v/>
      </c>
      <c r="I1626" s="10">
        <f>IF('Data Entry'!A1626="","",'Data Entry'!I1626)</f>
        <v/>
      </c>
      <c r="J1626" s="12">
        <f>IF('Data Entry'!A1626="","",IF('Data Entry'!D1626&lt;&gt;"",'Data Entry'!D1626,'Data Entry'!E1626))</f>
        <v/>
      </c>
      <c r="K1626" s="10">
        <f>IF('Data Entry'!A1626="","",IFERROR(SUMIFS($H$5:$H$2001,$J$5:$J$2001,$J1626,$B$5:$B$2001,$B1626,$A$5:$A$2001,(MAXIFS($A$5:$A$2001,$J$5:$J$2001,$J1626,$B$5:$B$2001,$B1626,$A$5:$A$2001,"&lt;"&amp;$A1626))),""))</f>
        <v/>
      </c>
      <c r="L1626" s="14">
        <f>IF(OR('Data Entry'!A1626="",$K1626=""),"",$H1626-$K1626)</f>
        <v/>
      </c>
      <c r="M1626" s="15">
        <f>IF(OR('Data Entry'!A1626="",$K1626="",$K1626=0),"",$L1626/$K1626)</f>
        <v/>
      </c>
      <c r="N1626" s="12">
        <f>IF('Data Entry'!A1626="","",IF($L1626="","New item",IF($L1626&gt;0,"UP",IF($L1626&lt;0,"down","same"))))</f>
        <v/>
      </c>
    </row>
    <row r="1627">
      <c r="A1627" s="11">
        <f>IF('Data Entry'!A1627="","",'Data Entry'!A1627)</f>
        <v/>
      </c>
      <c r="B1627" s="12">
        <f>IF('Data Entry'!A1627="","",'Data Entry'!B1627)</f>
        <v/>
      </c>
      <c r="C1627" s="12">
        <f>IF('Data Entry'!A1627="","",'Data Entry'!C1627)</f>
        <v/>
      </c>
      <c r="D1627" s="12">
        <f>IF('Data Entry'!A1627="","",'Data Entry'!D1627)</f>
        <v/>
      </c>
      <c r="E1627" s="12">
        <f>IF('Data Entry'!A1627="","",'Data Entry'!E1627)</f>
        <v/>
      </c>
      <c r="F1627" s="12">
        <f>IF('Data Entry'!A1627="","",'Data Entry'!F1627)</f>
        <v/>
      </c>
      <c r="G1627" s="13">
        <f>IF('Data Entry'!A1627="","",'Data Entry'!G1627)</f>
        <v/>
      </c>
      <c r="H1627" s="10">
        <f>IF('Data Entry'!A1627="","",'Data Entry'!H1627)</f>
        <v/>
      </c>
      <c r="I1627" s="10">
        <f>IF('Data Entry'!A1627="","",'Data Entry'!I1627)</f>
        <v/>
      </c>
      <c r="J1627" s="12">
        <f>IF('Data Entry'!A1627="","",IF('Data Entry'!D1627&lt;&gt;"",'Data Entry'!D1627,'Data Entry'!E1627))</f>
        <v/>
      </c>
      <c r="K1627" s="10">
        <f>IF('Data Entry'!A1627="","",IFERROR(SUMIFS($H$5:$H$2001,$J$5:$J$2001,$J1627,$B$5:$B$2001,$B1627,$A$5:$A$2001,(MAXIFS($A$5:$A$2001,$J$5:$J$2001,$J1627,$B$5:$B$2001,$B1627,$A$5:$A$2001,"&lt;"&amp;$A1627))),""))</f>
        <v/>
      </c>
      <c r="L1627" s="14">
        <f>IF(OR('Data Entry'!A1627="",$K1627=""),"",$H1627-$K1627)</f>
        <v/>
      </c>
      <c r="M1627" s="15">
        <f>IF(OR('Data Entry'!A1627="",$K1627="",$K1627=0),"",$L1627/$K1627)</f>
        <v/>
      </c>
      <c r="N1627" s="12">
        <f>IF('Data Entry'!A1627="","",IF($L1627="","New item",IF($L1627&gt;0,"UP",IF($L1627&lt;0,"down","same"))))</f>
        <v/>
      </c>
    </row>
    <row r="1628">
      <c r="A1628" s="11">
        <f>IF('Data Entry'!A1628="","",'Data Entry'!A1628)</f>
        <v/>
      </c>
      <c r="B1628" s="12">
        <f>IF('Data Entry'!A1628="","",'Data Entry'!B1628)</f>
        <v/>
      </c>
      <c r="C1628" s="12">
        <f>IF('Data Entry'!A1628="","",'Data Entry'!C1628)</f>
        <v/>
      </c>
      <c r="D1628" s="12">
        <f>IF('Data Entry'!A1628="","",'Data Entry'!D1628)</f>
        <v/>
      </c>
      <c r="E1628" s="12">
        <f>IF('Data Entry'!A1628="","",'Data Entry'!E1628)</f>
        <v/>
      </c>
      <c r="F1628" s="12">
        <f>IF('Data Entry'!A1628="","",'Data Entry'!F1628)</f>
        <v/>
      </c>
      <c r="G1628" s="13">
        <f>IF('Data Entry'!A1628="","",'Data Entry'!G1628)</f>
        <v/>
      </c>
      <c r="H1628" s="10">
        <f>IF('Data Entry'!A1628="","",'Data Entry'!H1628)</f>
        <v/>
      </c>
      <c r="I1628" s="10">
        <f>IF('Data Entry'!A1628="","",'Data Entry'!I1628)</f>
        <v/>
      </c>
      <c r="J1628" s="12">
        <f>IF('Data Entry'!A1628="","",IF('Data Entry'!D1628&lt;&gt;"",'Data Entry'!D1628,'Data Entry'!E1628))</f>
        <v/>
      </c>
      <c r="K1628" s="10">
        <f>IF('Data Entry'!A1628="","",IFERROR(SUMIFS($H$5:$H$2001,$J$5:$J$2001,$J1628,$B$5:$B$2001,$B1628,$A$5:$A$2001,(MAXIFS($A$5:$A$2001,$J$5:$J$2001,$J1628,$B$5:$B$2001,$B1628,$A$5:$A$2001,"&lt;"&amp;$A1628))),""))</f>
        <v/>
      </c>
      <c r="L1628" s="14">
        <f>IF(OR('Data Entry'!A1628="",$K1628=""),"",$H1628-$K1628)</f>
        <v/>
      </c>
      <c r="M1628" s="15">
        <f>IF(OR('Data Entry'!A1628="",$K1628="",$K1628=0),"",$L1628/$K1628)</f>
        <v/>
      </c>
      <c r="N1628" s="12">
        <f>IF('Data Entry'!A1628="","",IF($L1628="","New item",IF($L1628&gt;0,"UP",IF($L1628&lt;0,"down","same"))))</f>
        <v/>
      </c>
    </row>
    <row r="1629">
      <c r="A1629" s="11">
        <f>IF('Data Entry'!A1629="","",'Data Entry'!A1629)</f>
        <v/>
      </c>
      <c r="B1629" s="12">
        <f>IF('Data Entry'!A1629="","",'Data Entry'!B1629)</f>
        <v/>
      </c>
      <c r="C1629" s="12">
        <f>IF('Data Entry'!A1629="","",'Data Entry'!C1629)</f>
        <v/>
      </c>
      <c r="D1629" s="12">
        <f>IF('Data Entry'!A1629="","",'Data Entry'!D1629)</f>
        <v/>
      </c>
      <c r="E1629" s="12">
        <f>IF('Data Entry'!A1629="","",'Data Entry'!E1629)</f>
        <v/>
      </c>
      <c r="F1629" s="12">
        <f>IF('Data Entry'!A1629="","",'Data Entry'!F1629)</f>
        <v/>
      </c>
      <c r="G1629" s="13">
        <f>IF('Data Entry'!A1629="","",'Data Entry'!G1629)</f>
        <v/>
      </c>
      <c r="H1629" s="10">
        <f>IF('Data Entry'!A1629="","",'Data Entry'!H1629)</f>
        <v/>
      </c>
      <c r="I1629" s="10">
        <f>IF('Data Entry'!A1629="","",'Data Entry'!I1629)</f>
        <v/>
      </c>
      <c r="J1629" s="12">
        <f>IF('Data Entry'!A1629="","",IF('Data Entry'!D1629&lt;&gt;"",'Data Entry'!D1629,'Data Entry'!E1629))</f>
        <v/>
      </c>
      <c r="K1629" s="10">
        <f>IF('Data Entry'!A1629="","",IFERROR(SUMIFS($H$5:$H$2001,$J$5:$J$2001,$J1629,$B$5:$B$2001,$B1629,$A$5:$A$2001,(MAXIFS($A$5:$A$2001,$J$5:$J$2001,$J1629,$B$5:$B$2001,$B1629,$A$5:$A$2001,"&lt;"&amp;$A1629))),""))</f>
        <v/>
      </c>
      <c r="L1629" s="14">
        <f>IF(OR('Data Entry'!A1629="",$K1629=""),"",$H1629-$K1629)</f>
        <v/>
      </c>
      <c r="M1629" s="15">
        <f>IF(OR('Data Entry'!A1629="",$K1629="",$K1629=0),"",$L1629/$K1629)</f>
        <v/>
      </c>
      <c r="N1629" s="12">
        <f>IF('Data Entry'!A1629="","",IF($L1629="","New item",IF($L1629&gt;0,"UP",IF($L1629&lt;0,"down","same"))))</f>
        <v/>
      </c>
    </row>
    <row r="1630">
      <c r="A1630" s="11">
        <f>IF('Data Entry'!A1630="","",'Data Entry'!A1630)</f>
        <v/>
      </c>
      <c r="B1630" s="12">
        <f>IF('Data Entry'!A1630="","",'Data Entry'!B1630)</f>
        <v/>
      </c>
      <c r="C1630" s="12">
        <f>IF('Data Entry'!A1630="","",'Data Entry'!C1630)</f>
        <v/>
      </c>
      <c r="D1630" s="12">
        <f>IF('Data Entry'!A1630="","",'Data Entry'!D1630)</f>
        <v/>
      </c>
      <c r="E1630" s="12">
        <f>IF('Data Entry'!A1630="","",'Data Entry'!E1630)</f>
        <v/>
      </c>
      <c r="F1630" s="12">
        <f>IF('Data Entry'!A1630="","",'Data Entry'!F1630)</f>
        <v/>
      </c>
      <c r="G1630" s="13">
        <f>IF('Data Entry'!A1630="","",'Data Entry'!G1630)</f>
        <v/>
      </c>
      <c r="H1630" s="10">
        <f>IF('Data Entry'!A1630="","",'Data Entry'!H1630)</f>
        <v/>
      </c>
      <c r="I1630" s="10">
        <f>IF('Data Entry'!A1630="","",'Data Entry'!I1630)</f>
        <v/>
      </c>
      <c r="J1630" s="12">
        <f>IF('Data Entry'!A1630="","",IF('Data Entry'!D1630&lt;&gt;"",'Data Entry'!D1630,'Data Entry'!E1630))</f>
        <v/>
      </c>
      <c r="K1630" s="10">
        <f>IF('Data Entry'!A1630="","",IFERROR(SUMIFS($H$5:$H$2001,$J$5:$J$2001,$J1630,$B$5:$B$2001,$B1630,$A$5:$A$2001,(MAXIFS($A$5:$A$2001,$J$5:$J$2001,$J1630,$B$5:$B$2001,$B1630,$A$5:$A$2001,"&lt;"&amp;$A1630))),""))</f>
        <v/>
      </c>
      <c r="L1630" s="14">
        <f>IF(OR('Data Entry'!A1630="",$K1630=""),"",$H1630-$K1630)</f>
        <v/>
      </c>
      <c r="M1630" s="15">
        <f>IF(OR('Data Entry'!A1630="",$K1630="",$K1630=0),"",$L1630/$K1630)</f>
        <v/>
      </c>
      <c r="N1630" s="12">
        <f>IF('Data Entry'!A1630="","",IF($L1630="","New item",IF($L1630&gt;0,"UP",IF($L1630&lt;0,"down","same"))))</f>
        <v/>
      </c>
    </row>
    <row r="1631">
      <c r="A1631" s="11">
        <f>IF('Data Entry'!A1631="","",'Data Entry'!A1631)</f>
        <v/>
      </c>
      <c r="B1631" s="12">
        <f>IF('Data Entry'!A1631="","",'Data Entry'!B1631)</f>
        <v/>
      </c>
      <c r="C1631" s="12">
        <f>IF('Data Entry'!A1631="","",'Data Entry'!C1631)</f>
        <v/>
      </c>
      <c r="D1631" s="12">
        <f>IF('Data Entry'!A1631="","",'Data Entry'!D1631)</f>
        <v/>
      </c>
      <c r="E1631" s="12">
        <f>IF('Data Entry'!A1631="","",'Data Entry'!E1631)</f>
        <v/>
      </c>
      <c r="F1631" s="12">
        <f>IF('Data Entry'!A1631="","",'Data Entry'!F1631)</f>
        <v/>
      </c>
      <c r="G1631" s="13">
        <f>IF('Data Entry'!A1631="","",'Data Entry'!G1631)</f>
        <v/>
      </c>
      <c r="H1631" s="10">
        <f>IF('Data Entry'!A1631="","",'Data Entry'!H1631)</f>
        <v/>
      </c>
      <c r="I1631" s="10">
        <f>IF('Data Entry'!A1631="","",'Data Entry'!I1631)</f>
        <v/>
      </c>
      <c r="J1631" s="12">
        <f>IF('Data Entry'!A1631="","",IF('Data Entry'!D1631&lt;&gt;"",'Data Entry'!D1631,'Data Entry'!E1631))</f>
        <v/>
      </c>
      <c r="K1631" s="10">
        <f>IF('Data Entry'!A1631="","",IFERROR(SUMIFS($H$5:$H$2001,$J$5:$J$2001,$J1631,$B$5:$B$2001,$B1631,$A$5:$A$2001,(MAXIFS($A$5:$A$2001,$J$5:$J$2001,$J1631,$B$5:$B$2001,$B1631,$A$5:$A$2001,"&lt;"&amp;$A1631))),""))</f>
        <v/>
      </c>
      <c r="L1631" s="14">
        <f>IF(OR('Data Entry'!A1631="",$K1631=""),"",$H1631-$K1631)</f>
        <v/>
      </c>
      <c r="M1631" s="15">
        <f>IF(OR('Data Entry'!A1631="",$K1631="",$K1631=0),"",$L1631/$K1631)</f>
        <v/>
      </c>
      <c r="N1631" s="12">
        <f>IF('Data Entry'!A1631="","",IF($L1631="","New item",IF($L1631&gt;0,"UP",IF($L1631&lt;0,"down","same"))))</f>
        <v/>
      </c>
    </row>
    <row r="1632">
      <c r="A1632" s="11">
        <f>IF('Data Entry'!A1632="","",'Data Entry'!A1632)</f>
        <v/>
      </c>
      <c r="B1632" s="12">
        <f>IF('Data Entry'!A1632="","",'Data Entry'!B1632)</f>
        <v/>
      </c>
      <c r="C1632" s="12">
        <f>IF('Data Entry'!A1632="","",'Data Entry'!C1632)</f>
        <v/>
      </c>
      <c r="D1632" s="12">
        <f>IF('Data Entry'!A1632="","",'Data Entry'!D1632)</f>
        <v/>
      </c>
      <c r="E1632" s="12">
        <f>IF('Data Entry'!A1632="","",'Data Entry'!E1632)</f>
        <v/>
      </c>
      <c r="F1632" s="12">
        <f>IF('Data Entry'!A1632="","",'Data Entry'!F1632)</f>
        <v/>
      </c>
      <c r="G1632" s="13">
        <f>IF('Data Entry'!A1632="","",'Data Entry'!G1632)</f>
        <v/>
      </c>
      <c r="H1632" s="10">
        <f>IF('Data Entry'!A1632="","",'Data Entry'!H1632)</f>
        <v/>
      </c>
      <c r="I1632" s="10">
        <f>IF('Data Entry'!A1632="","",'Data Entry'!I1632)</f>
        <v/>
      </c>
      <c r="J1632" s="12">
        <f>IF('Data Entry'!A1632="","",IF('Data Entry'!D1632&lt;&gt;"",'Data Entry'!D1632,'Data Entry'!E1632))</f>
        <v/>
      </c>
      <c r="K1632" s="10">
        <f>IF('Data Entry'!A1632="","",IFERROR(SUMIFS($H$5:$H$2001,$J$5:$J$2001,$J1632,$B$5:$B$2001,$B1632,$A$5:$A$2001,(MAXIFS($A$5:$A$2001,$J$5:$J$2001,$J1632,$B$5:$B$2001,$B1632,$A$5:$A$2001,"&lt;"&amp;$A1632))),""))</f>
        <v/>
      </c>
      <c r="L1632" s="14">
        <f>IF(OR('Data Entry'!A1632="",$K1632=""),"",$H1632-$K1632)</f>
        <v/>
      </c>
      <c r="M1632" s="15">
        <f>IF(OR('Data Entry'!A1632="",$K1632="",$K1632=0),"",$L1632/$K1632)</f>
        <v/>
      </c>
      <c r="N1632" s="12">
        <f>IF('Data Entry'!A1632="","",IF($L1632="","New item",IF($L1632&gt;0,"UP",IF($L1632&lt;0,"down","same"))))</f>
        <v/>
      </c>
    </row>
    <row r="1633">
      <c r="A1633" s="11">
        <f>IF('Data Entry'!A1633="","",'Data Entry'!A1633)</f>
        <v/>
      </c>
      <c r="B1633" s="12">
        <f>IF('Data Entry'!A1633="","",'Data Entry'!B1633)</f>
        <v/>
      </c>
      <c r="C1633" s="12">
        <f>IF('Data Entry'!A1633="","",'Data Entry'!C1633)</f>
        <v/>
      </c>
      <c r="D1633" s="12">
        <f>IF('Data Entry'!A1633="","",'Data Entry'!D1633)</f>
        <v/>
      </c>
      <c r="E1633" s="12">
        <f>IF('Data Entry'!A1633="","",'Data Entry'!E1633)</f>
        <v/>
      </c>
      <c r="F1633" s="12">
        <f>IF('Data Entry'!A1633="","",'Data Entry'!F1633)</f>
        <v/>
      </c>
      <c r="G1633" s="13">
        <f>IF('Data Entry'!A1633="","",'Data Entry'!G1633)</f>
        <v/>
      </c>
      <c r="H1633" s="10">
        <f>IF('Data Entry'!A1633="","",'Data Entry'!H1633)</f>
        <v/>
      </c>
      <c r="I1633" s="10">
        <f>IF('Data Entry'!A1633="","",'Data Entry'!I1633)</f>
        <v/>
      </c>
      <c r="J1633" s="12">
        <f>IF('Data Entry'!A1633="","",IF('Data Entry'!D1633&lt;&gt;"",'Data Entry'!D1633,'Data Entry'!E1633))</f>
        <v/>
      </c>
      <c r="K1633" s="10">
        <f>IF('Data Entry'!A1633="","",IFERROR(SUMIFS($H$5:$H$2001,$J$5:$J$2001,$J1633,$B$5:$B$2001,$B1633,$A$5:$A$2001,(MAXIFS($A$5:$A$2001,$J$5:$J$2001,$J1633,$B$5:$B$2001,$B1633,$A$5:$A$2001,"&lt;"&amp;$A1633))),""))</f>
        <v/>
      </c>
      <c r="L1633" s="14">
        <f>IF(OR('Data Entry'!A1633="",$K1633=""),"",$H1633-$K1633)</f>
        <v/>
      </c>
      <c r="M1633" s="15">
        <f>IF(OR('Data Entry'!A1633="",$K1633="",$K1633=0),"",$L1633/$K1633)</f>
        <v/>
      </c>
      <c r="N1633" s="12">
        <f>IF('Data Entry'!A1633="","",IF($L1633="","New item",IF($L1633&gt;0,"UP",IF($L1633&lt;0,"down","same"))))</f>
        <v/>
      </c>
    </row>
    <row r="1634">
      <c r="A1634" s="11">
        <f>IF('Data Entry'!A1634="","",'Data Entry'!A1634)</f>
        <v/>
      </c>
      <c r="B1634" s="12">
        <f>IF('Data Entry'!A1634="","",'Data Entry'!B1634)</f>
        <v/>
      </c>
      <c r="C1634" s="12">
        <f>IF('Data Entry'!A1634="","",'Data Entry'!C1634)</f>
        <v/>
      </c>
      <c r="D1634" s="12">
        <f>IF('Data Entry'!A1634="","",'Data Entry'!D1634)</f>
        <v/>
      </c>
      <c r="E1634" s="12">
        <f>IF('Data Entry'!A1634="","",'Data Entry'!E1634)</f>
        <v/>
      </c>
      <c r="F1634" s="12">
        <f>IF('Data Entry'!A1634="","",'Data Entry'!F1634)</f>
        <v/>
      </c>
      <c r="G1634" s="13">
        <f>IF('Data Entry'!A1634="","",'Data Entry'!G1634)</f>
        <v/>
      </c>
      <c r="H1634" s="10">
        <f>IF('Data Entry'!A1634="","",'Data Entry'!H1634)</f>
        <v/>
      </c>
      <c r="I1634" s="10">
        <f>IF('Data Entry'!A1634="","",'Data Entry'!I1634)</f>
        <v/>
      </c>
      <c r="J1634" s="12">
        <f>IF('Data Entry'!A1634="","",IF('Data Entry'!D1634&lt;&gt;"",'Data Entry'!D1634,'Data Entry'!E1634))</f>
        <v/>
      </c>
      <c r="K1634" s="10">
        <f>IF('Data Entry'!A1634="","",IFERROR(SUMIFS($H$5:$H$2001,$J$5:$J$2001,$J1634,$B$5:$B$2001,$B1634,$A$5:$A$2001,(MAXIFS($A$5:$A$2001,$J$5:$J$2001,$J1634,$B$5:$B$2001,$B1634,$A$5:$A$2001,"&lt;"&amp;$A1634))),""))</f>
        <v/>
      </c>
      <c r="L1634" s="14">
        <f>IF(OR('Data Entry'!A1634="",$K1634=""),"",$H1634-$K1634)</f>
        <v/>
      </c>
      <c r="M1634" s="15">
        <f>IF(OR('Data Entry'!A1634="",$K1634="",$K1634=0),"",$L1634/$K1634)</f>
        <v/>
      </c>
      <c r="N1634" s="12">
        <f>IF('Data Entry'!A1634="","",IF($L1634="","New item",IF($L1634&gt;0,"UP",IF($L1634&lt;0,"down","same"))))</f>
        <v/>
      </c>
    </row>
    <row r="1635">
      <c r="A1635" s="11">
        <f>IF('Data Entry'!A1635="","",'Data Entry'!A1635)</f>
        <v/>
      </c>
      <c r="B1635" s="12">
        <f>IF('Data Entry'!A1635="","",'Data Entry'!B1635)</f>
        <v/>
      </c>
      <c r="C1635" s="12">
        <f>IF('Data Entry'!A1635="","",'Data Entry'!C1635)</f>
        <v/>
      </c>
      <c r="D1635" s="12">
        <f>IF('Data Entry'!A1635="","",'Data Entry'!D1635)</f>
        <v/>
      </c>
      <c r="E1635" s="12">
        <f>IF('Data Entry'!A1635="","",'Data Entry'!E1635)</f>
        <v/>
      </c>
      <c r="F1635" s="12">
        <f>IF('Data Entry'!A1635="","",'Data Entry'!F1635)</f>
        <v/>
      </c>
      <c r="G1635" s="13">
        <f>IF('Data Entry'!A1635="","",'Data Entry'!G1635)</f>
        <v/>
      </c>
      <c r="H1635" s="10">
        <f>IF('Data Entry'!A1635="","",'Data Entry'!H1635)</f>
        <v/>
      </c>
      <c r="I1635" s="10">
        <f>IF('Data Entry'!A1635="","",'Data Entry'!I1635)</f>
        <v/>
      </c>
      <c r="J1635" s="12">
        <f>IF('Data Entry'!A1635="","",IF('Data Entry'!D1635&lt;&gt;"",'Data Entry'!D1635,'Data Entry'!E1635))</f>
        <v/>
      </c>
      <c r="K1635" s="10">
        <f>IF('Data Entry'!A1635="","",IFERROR(SUMIFS($H$5:$H$2001,$J$5:$J$2001,$J1635,$B$5:$B$2001,$B1635,$A$5:$A$2001,(MAXIFS($A$5:$A$2001,$J$5:$J$2001,$J1635,$B$5:$B$2001,$B1635,$A$5:$A$2001,"&lt;"&amp;$A1635))),""))</f>
        <v/>
      </c>
      <c r="L1635" s="14">
        <f>IF(OR('Data Entry'!A1635="",$K1635=""),"",$H1635-$K1635)</f>
        <v/>
      </c>
      <c r="M1635" s="15">
        <f>IF(OR('Data Entry'!A1635="",$K1635="",$K1635=0),"",$L1635/$K1635)</f>
        <v/>
      </c>
      <c r="N1635" s="12">
        <f>IF('Data Entry'!A1635="","",IF($L1635="","New item",IF($L1635&gt;0,"UP",IF($L1635&lt;0,"down","same"))))</f>
        <v/>
      </c>
    </row>
    <row r="1636">
      <c r="A1636" s="11">
        <f>IF('Data Entry'!A1636="","",'Data Entry'!A1636)</f>
        <v/>
      </c>
      <c r="B1636" s="12">
        <f>IF('Data Entry'!A1636="","",'Data Entry'!B1636)</f>
        <v/>
      </c>
      <c r="C1636" s="12">
        <f>IF('Data Entry'!A1636="","",'Data Entry'!C1636)</f>
        <v/>
      </c>
      <c r="D1636" s="12">
        <f>IF('Data Entry'!A1636="","",'Data Entry'!D1636)</f>
        <v/>
      </c>
      <c r="E1636" s="12">
        <f>IF('Data Entry'!A1636="","",'Data Entry'!E1636)</f>
        <v/>
      </c>
      <c r="F1636" s="12">
        <f>IF('Data Entry'!A1636="","",'Data Entry'!F1636)</f>
        <v/>
      </c>
      <c r="G1636" s="13">
        <f>IF('Data Entry'!A1636="","",'Data Entry'!G1636)</f>
        <v/>
      </c>
      <c r="H1636" s="10">
        <f>IF('Data Entry'!A1636="","",'Data Entry'!H1636)</f>
        <v/>
      </c>
      <c r="I1636" s="10">
        <f>IF('Data Entry'!A1636="","",'Data Entry'!I1636)</f>
        <v/>
      </c>
      <c r="J1636" s="12">
        <f>IF('Data Entry'!A1636="","",IF('Data Entry'!D1636&lt;&gt;"",'Data Entry'!D1636,'Data Entry'!E1636))</f>
        <v/>
      </c>
      <c r="K1636" s="10">
        <f>IF('Data Entry'!A1636="","",IFERROR(SUMIFS($H$5:$H$2001,$J$5:$J$2001,$J1636,$B$5:$B$2001,$B1636,$A$5:$A$2001,(MAXIFS($A$5:$A$2001,$J$5:$J$2001,$J1636,$B$5:$B$2001,$B1636,$A$5:$A$2001,"&lt;"&amp;$A1636))),""))</f>
        <v/>
      </c>
      <c r="L1636" s="14">
        <f>IF(OR('Data Entry'!A1636="",$K1636=""),"",$H1636-$K1636)</f>
        <v/>
      </c>
      <c r="M1636" s="15">
        <f>IF(OR('Data Entry'!A1636="",$K1636="",$K1636=0),"",$L1636/$K1636)</f>
        <v/>
      </c>
      <c r="N1636" s="12">
        <f>IF('Data Entry'!A1636="","",IF($L1636="","New item",IF($L1636&gt;0,"UP",IF($L1636&lt;0,"down","same"))))</f>
        <v/>
      </c>
    </row>
    <row r="1637">
      <c r="A1637" s="11">
        <f>IF('Data Entry'!A1637="","",'Data Entry'!A1637)</f>
        <v/>
      </c>
      <c r="B1637" s="12">
        <f>IF('Data Entry'!A1637="","",'Data Entry'!B1637)</f>
        <v/>
      </c>
      <c r="C1637" s="12">
        <f>IF('Data Entry'!A1637="","",'Data Entry'!C1637)</f>
        <v/>
      </c>
      <c r="D1637" s="12">
        <f>IF('Data Entry'!A1637="","",'Data Entry'!D1637)</f>
        <v/>
      </c>
      <c r="E1637" s="12">
        <f>IF('Data Entry'!A1637="","",'Data Entry'!E1637)</f>
        <v/>
      </c>
      <c r="F1637" s="12">
        <f>IF('Data Entry'!A1637="","",'Data Entry'!F1637)</f>
        <v/>
      </c>
      <c r="G1637" s="13">
        <f>IF('Data Entry'!A1637="","",'Data Entry'!G1637)</f>
        <v/>
      </c>
      <c r="H1637" s="10">
        <f>IF('Data Entry'!A1637="","",'Data Entry'!H1637)</f>
        <v/>
      </c>
      <c r="I1637" s="10">
        <f>IF('Data Entry'!A1637="","",'Data Entry'!I1637)</f>
        <v/>
      </c>
      <c r="J1637" s="12">
        <f>IF('Data Entry'!A1637="","",IF('Data Entry'!D1637&lt;&gt;"",'Data Entry'!D1637,'Data Entry'!E1637))</f>
        <v/>
      </c>
      <c r="K1637" s="10">
        <f>IF('Data Entry'!A1637="","",IFERROR(SUMIFS($H$5:$H$2001,$J$5:$J$2001,$J1637,$B$5:$B$2001,$B1637,$A$5:$A$2001,(MAXIFS($A$5:$A$2001,$J$5:$J$2001,$J1637,$B$5:$B$2001,$B1637,$A$5:$A$2001,"&lt;"&amp;$A1637))),""))</f>
        <v/>
      </c>
      <c r="L1637" s="14">
        <f>IF(OR('Data Entry'!A1637="",$K1637=""),"",$H1637-$K1637)</f>
        <v/>
      </c>
      <c r="M1637" s="15">
        <f>IF(OR('Data Entry'!A1637="",$K1637="",$K1637=0),"",$L1637/$K1637)</f>
        <v/>
      </c>
      <c r="N1637" s="12">
        <f>IF('Data Entry'!A1637="","",IF($L1637="","New item",IF($L1637&gt;0,"UP",IF($L1637&lt;0,"down","same"))))</f>
        <v/>
      </c>
    </row>
    <row r="1638">
      <c r="A1638" s="11">
        <f>IF('Data Entry'!A1638="","",'Data Entry'!A1638)</f>
        <v/>
      </c>
      <c r="B1638" s="12">
        <f>IF('Data Entry'!A1638="","",'Data Entry'!B1638)</f>
        <v/>
      </c>
      <c r="C1638" s="12">
        <f>IF('Data Entry'!A1638="","",'Data Entry'!C1638)</f>
        <v/>
      </c>
      <c r="D1638" s="12">
        <f>IF('Data Entry'!A1638="","",'Data Entry'!D1638)</f>
        <v/>
      </c>
      <c r="E1638" s="12">
        <f>IF('Data Entry'!A1638="","",'Data Entry'!E1638)</f>
        <v/>
      </c>
      <c r="F1638" s="12">
        <f>IF('Data Entry'!A1638="","",'Data Entry'!F1638)</f>
        <v/>
      </c>
      <c r="G1638" s="13">
        <f>IF('Data Entry'!A1638="","",'Data Entry'!G1638)</f>
        <v/>
      </c>
      <c r="H1638" s="10">
        <f>IF('Data Entry'!A1638="","",'Data Entry'!H1638)</f>
        <v/>
      </c>
      <c r="I1638" s="10">
        <f>IF('Data Entry'!A1638="","",'Data Entry'!I1638)</f>
        <v/>
      </c>
      <c r="J1638" s="12">
        <f>IF('Data Entry'!A1638="","",IF('Data Entry'!D1638&lt;&gt;"",'Data Entry'!D1638,'Data Entry'!E1638))</f>
        <v/>
      </c>
      <c r="K1638" s="10">
        <f>IF('Data Entry'!A1638="","",IFERROR(SUMIFS($H$5:$H$2001,$J$5:$J$2001,$J1638,$B$5:$B$2001,$B1638,$A$5:$A$2001,(MAXIFS($A$5:$A$2001,$J$5:$J$2001,$J1638,$B$5:$B$2001,$B1638,$A$5:$A$2001,"&lt;"&amp;$A1638))),""))</f>
        <v/>
      </c>
      <c r="L1638" s="14">
        <f>IF(OR('Data Entry'!A1638="",$K1638=""),"",$H1638-$K1638)</f>
        <v/>
      </c>
      <c r="M1638" s="15">
        <f>IF(OR('Data Entry'!A1638="",$K1638="",$K1638=0),"",$L1638/$K1638)</f>
        <v/>
      </c>
      <c r="N1638" s="12">
        <f>IF('Data Entry'!A1638="","",IF($L1638="","New item",IF($L1638&gt;0,"UP",IF($L1638&lt;0,"down","same"))))</f>
        <v/>
      </c>
    </row>
    <row r="1639">
      <c r="A1639" s="11">
        <f>IF('Data Entry'!A1639="","",'Data Entry'!A1639)</f>
        <v/>
      </c>
      <c r="B1639" s="12">
        <f>IF('Data Entry'!A1639="","",'Data Entry'!B1639)</f>
        <v/>
      </c>
      <c r="C1639" s="12">
        <f>IF('Data Entry'!A1639="","",'Data Entry'!C1639)</f>
        <v/>
      </c>
      <c r="D1639" s="12">
        <f>IF('Data Entry'!A1639="","",'Data Entry'!D1639)</f>
        <v/>
      </c>
      <c r="E1639" s="12">
        <f>IF('Data Entry'!A1639="","",'Data Entry'!E1639)</f>
        <v/>
      </c>
      <c r="F1639" s="12">
        <f>IF('Data Entry'!A1639="","",'Data Entry'!F1639)</f>
        <v/>
      </c>
      <c r="G1639" s="13">
        <f>IF('Data Entry'!A1639="","",'Data Entry'!G1639)</f>
        <v/>
      </c>
      <c r="H1639" s="10">
        <f>IF('Data Entry'!A1639="","",'Data Entry'!H1639)</f>
        <v/>
      </c>
      <c r="I1639" s="10">
        <f>IF('Data Entry'!A1639="","",'Data Entry'!I1639)</f>
        <v/>
      </c>
      <c r="J1639" s="12">
        <f>IF('Data Entry'!A1639="","",IF('Data Entry'!D1639&lt;&gt;"",'Data Entry'!D1639,'Data Entry'!E1639))</f>
        <v/>
      </c>
      <c r="K1639" s="10">
        <f>IF('Data Entry'!A1639="","",IFERROR(SUMIFS($H$5:$H$2001,$J$5:$J$2001,$J1639,$B$5:$B$2001,$B1639,$A$5:$A$2001,(MAXIFS($A$5:$A$2001,$J$5:$J$2001,$J1639,$B$5:$B$2001,$B1639,$A$5:$A$2001,"&lt;"&amp;$A1639))),""))</f>
        <v/>
      </c>
      <c r="L1639" s="14">
        <f>IF(OR('Data Entry'!A1639="",$K1639=""),"",$H1639-$K1639)</f>
        <v/>
      </c>
      <c r="M1639" s="15">
        <f>IF(OR('Data Entry'!A1639="",$K1639="",$K1639=0),"",$L1639/$K1639)</f>
        <v/>
      </c>
      <c r="N1639" s="12">
        <f>IF('Data Entry'!A1639="","",IF($L1639="","New item",IF($L1639&gt;0,"UP",IF($L1639&lt;0,"down","same"))))</f>
        <v/>
      </c>
    </row>
    <row r="1640">
      <c r="A1640" s="11">
        <f>IF('Data Entry'!A1640="","",'Data Entry'!A1640)</f>
        <v/>
      </c>
      <c r="B1640" s="12">
        <f>IF('Data Entry'!A1640="","",'Data Entry'!B1640)</f>
        <v/>
      </c>
      <c r="C1640" s="12">
        <f>IF('Data Entry'!A1640="","",'Data Entry'!C1640)</f>
        <v/>
      </c>
      <c r="D1640" s="12">
        <f>IF('Data Entry'!A1640="","",'Data Entry'!D1640)</f>
        <v/>
      </c>
      <c r="E1640" s="12">
        <f>IF('Data Entry'!A1640="","",'Data Entry'!E1640)</f>
        <v/>
      </c>
      <c r="F1640" s="12">
        <f>IF('Data Entry'!A1640="","",'Data Entry'!F1640)</f>
        <v/>
      </c>
      <c r="G1640" s="13">
        <f>IF('Data Entry'!A1640="","",'Data Entry'!G1640)</f>
        <v/>
      </c>
      <c r="H1640" s="10">
        <f>IF('Data Entry'!A1640="","",'Data Entry'!H1640)</f>
        <v/>
      </c>
      <c r="I1640" s="10">
        <f>IF('Data Entry'!A1640="","",'Data Entry'!I1640)</f>
        <v/>
      </c>
      <c r="J1640" s="12">
        <f>IF('Data Entry'!A1640="","",IF('Data Entry'!D1640&lt;&gt;"",'Data Entry'!D1640,'Data Entry'!E1640))</f>
        <v/>
      </c>
      <c r="K1640" s="10">
        <f>IF('Data Entry'!A1640="","",IFERROR(SUMIFS($H$5:$H$2001,$J$5:$J$2001,$J1640,$B$5:$B$2001,$B1640,$A$5:$A$2001,(MAXIFS($A$5:$A$2001,$J$5:$J$2001,$J1640,$B$5:$B$2001,$B1640,$A$5:$A$2001,"&lt;"&amp;$A1640))),""))</f>
        <v/>
      </c>
      <c r="L1640" s="14">
        <f>IF(OR('Data Entry'!A1640="",$K1640=""),"",$H1640-$K1640)</f>
        <v/>
      </c>
      <c r="M1640" s="15">
        <f>IF(OR('Data Entry'!A1640="",$K1640="",$K1640=0),"",$L1640/$K1640)</f>
        <v/>
      </c>
      <c r="N1640" s="12">
        <f>IF('Data Entry'!A1640="","",IF($L1640="","New item",IF($L1640&gt;0,"UP",IF($L1640&lt;0,"down","same"))))</f>
        <v/>
      </c>
    </row>
    <row r="1641">
      <c r="A1641" s="11">
        <f>IF('Data Entry'!A1641="","",'Data Entry'!A1641)</f>
        <v/>
      </c>
      <c r="B1641" s="12">
        <f>IF('Data Entry'!A1641="","",'Data Entry'!B1641)</f>
        <v/>
      </c>
      <c r="C1641" s="12">
        <f>IF('Data Entry'!A1641="","",'Data Entry'!C1641)</f>
        <v/>
      </c>
      <c r="D1641" s="12">
        <f>IF('Data Entry'!A1641="","",'Data Entry'!D1641)</f>
        <v/>
      </c>
      <c r="E1641" s="12">
        <f>IF('Data Entry'!A1641="","",'Data Entry'!E1641)</f>
        <v/>
      </c>
      <c r="F1641" s="12">
        <f>IF('Data Entry'!A1641="","",'Data Entry'!F1641)</f>
        <v/>
      </c>
      <c r="G1641" s="13">
        <f>IF('Data Entry'!A1641="","",'Data Entry'!G1641)</f>
        <v/>
      </c>
      <c r="H1641" s="10">
        <f>IF('Data Entry'!A1641="","",'Data Entry'!H1641)</f>
        <v/>
      </c>
      <c r="I1641" s="10">
        <f>IF('Data Entry'!A1641="","",'Data Entry'!I1641)</f>
        <v/>
      </c>
      <c r="J1641" s="12">
        <f>IF('Data Entry'!A1641="","",IF('Data Entry'!D1641&lt;&gt;"",'Data Entry'!D1641,'Data Entry'!E1641))</f>
        <v/>
      </c>
      <c r="K1641" s="10">
        <f>IF('Data Entry'!A1641="","",IFERROR(SUMIFS($H$5:$H$2001,$J$5:$J$2001,$J1641,$B$5:$B$2001,$B1641,$A$5:$A$2001,(MAXIFS($A$5:$A$2001,$J$5:$J$2001,$J1641,$B$5:$B$2001,$B1641,$A$5:$A$2001,"&lt;"&amp;$A1641))),""))</f>
        <v/>
      </c>
      <c r="L1641" s="14">
        <f>IF(OR('Data Entry'!A1641="",$K1641=""),"",$H1641-$K1641)</f>
        <v/>
      </c>
      <c r="M1641" s="15">
        <f>IF(OR('Data Entry'!A1641="",$K1641="",$K1641=0),"",$L1641/$K1641)</f>
        <v/>
      </c>
      <c r="N1641" s="12">
        <f>IF('Data Entry'!A1641="","",IF($L1641="","New item",IF($L1641&gt;0,"UP",IF($L1641&lt;0,"down","same"))))</f>
        <v/>
      </c>
    </row>
    <row r="1642">
      <c r="A1642" s="11">
        <f>IF('Data Entry'!A1642="","",'Data Entry'!A1642)</f>
        <v/>
      </c>
      <c r="B1642" s="12">
        <f>IF('Data Entry'!A1642="","",'Data Entry'!B1642)</f>
        <v/>
      </c>
      <c r="C1642" s="12">
        <f>IF('Data Entry'!A1642="","",'Data Entry'!C1642)</f>
        <v/>
      </c>
      <c r="D1642" s="12">
        <f>IF('Data Entry'!A1642="","",'Data Entry'!D1642)</f>
        <v/>
      </c>
      <c r="E1642" s="12">
        <f>IF('Data Entry'!A1642="","",'Data Entry'!E1642)</f>
        <v/>
      </c>
      <c r="F1642" s="12">
        <f>IF('Data Entry'!A1642="","",'Data Entry'!F1642)</f>
        <v/>
      </c>
      <c r="G1642" s="13">
        <f>IF('Data Entry'!A1642="","",'Data Entry'!G1642)</f>
        <v/>
      </c>
      <c r="H1642" s="10">
        <f>IF('Data Entry'!A1642="","",'Data Entry'!H1642)</f>
        <v/>
      </c>
      <c r="I1642" s="10">
        <f>IF('Data Entry'!A1642="","",'Data Entry'!I1642)</f>
        <v/>
      </c>
      <c r="J1642" s="12">
        <f>IF('Data Entry'!A1642="","",IF('Data Entry'!D1642&lt;&gt;"",'Data Entry'!D1642,'Data Entry'!E1642))</f>
        <v/>
      </c>
      <c r="K1642" s="10">
        <f>IF('Data Entry'!A1642="","",IFERROR(SUMIFS($H$5:$H$2001,$J$5:$J$2001,$J1642,$B$5:$B$2001,$B1642,$A$5:$A$2001,(MAXIFS($A$5:$A$2001,$J$5:$J$2001,$J1642,$B$5:$B$2001,$B1642,$A$5:$A$2001,"&lt;"&amp;$A1642))),""))</f>
        <v/>
      </c>
      <c r="L1642" s="14">
        <f>IF(OR('Data Entry'!A1642="",$K1642=""),"",$H1642-$K1642)</f>
        <v/>
      </c>
      <c r="M1642" s="15">
        <f>IF(OR('Data Entry'!A1642="",$K1642="",$K1642=0),"",$L1642/$K1642)</f>
        <v/>
      </c>
      <c r="N1642" s="12">
        <f>IF('Data Entry'!A1642="","",IF($L1642="","New item",IF($L1642&gt;0,"UP",IF($L1642&lt;0,"down","same"))))</f>
        <v/>
      </c>
    </row>
    <row r="1643">
      <c r="A1643" s="11">
        <f>IF('Data Entry'!A1643="","",'Data Entry'!A1643)</f>
        <v/>
      </c>
      <c r="B1643" s="12">
        <f>IF('Data Entry'!A1643="","",'Data Entry'!B1643)</f>
        <v/>
      </c>
      <c r="C1643" s="12">
        <f>IF('Data Entry'!A1643="","",'Data Entry'!C1643)</f>
        <v/>
      </c>
      <c r="D1643" s="12">
        <f>IF('Data Entry'!A1643="","",'Data Entry'!D1643)</f>
        <v/>
      </c>
      <c r="E1643" s="12">
        <f>IF('Data Entry'!A1643="","",'Data Entry'!E1643)</f>
        <v/>
      </c>
      <c r="F1643" s="12">
        <f>IF('Data Entry'!A1643="","",'Data Entry'!F1643)</f>
        <v/>
      </c>
      <c r="G1643" s="13">
        <f>IF('Data Entry'!A1643="","",'Data Entry'!G1643)</f>
        <v/>
      </c>
      <c r="H1643" s="10">
        <f>IF('Data Entry'!A1643="","",'Data Entry'!H1643)</f>
        <v/>
      </c>
      <c r="I1643" s="10">
        <f>IF('Data Entry'!A1643="","",'Data Entry'!I1643)</f>
        <v/>
      </c>
      <c r="J1643" s="12">
        <f>IF('Data Entry'!A1643="","",IF('Data Entry'!D1643&lt;&gt;"",'Data Entry'!D1643,'Data Entry'!E1643))</f>
        <v/>
      </c>
      <c r="K1643" s="10">
        <f>IF('Data Entry'!A1643="","",IFERROR(SUMIFS($H$5:$H$2001,$J$5:$J$2001,$J1643,$B$5:$B$2001,$B1643,$A$5:$A$2001,(MAXIFS($A$5:$A$2001,$J$5:$J$2001,$J1643,$B$5:$B$2001,$B1643,$A$5:$A$2001,"&lt;"&amp;$A1643))),""))</f>
        <v/>
      </c>
      <c r="L1643" s="14">
        <f>IF(OR('Data Entry'!A1643="",$K1643=""),"",$H1643-$K1643)</f>
        <v/>
      </c>
      <c r="M1643" s="15">
        <f>IF(OR('Data Entry'!A1643="",$K1643="",$K1643=0),"",$L1643/$K1643)</f>
        <v/>
      </c>
      <c r="N1643" s="12">
        <f>IF('Data Entry'!A1643="","",IF($L1643="","New item",IF($L1643&gt;0,"UP",IF($L1643&lt;0,"down","same"))))</f>
        <v/>
      </c>
    </row>
    <row r="1644">
      <c r="A1644" s="11">
        <f>IF('Data Entry'!A1644="","",'Data Entry'!A1644)</f>
        <v/>
      </c>
      <c r="B1644" s="12">
        <f>IF('Data Entry'!A1644="","",'Data Entry'!B1644)</f>
        <v/>
      </c>
      <c r="C1644" s="12">
        <f>IF('Data Entry'!A1644="","",'Data Entry'!C1644)</f>
        <v/>
      </c>
      <c r="D1644" s="12">
        <f>IF('Data Entry'!A1644="","",'Data Entry'!D1644)</f>
        <v/>
      </c>
      <c r="E1644" s="12">
        <f>IF('Data Entry'!A1644="","",'Data Entry'!E1644)</f>
        <v/>
      </c>
      <c r="F1644" s="12">
        <f>IF('Data Entry'!A1644="","",'Data Entry'!F1644)</f>
        <v/>
      </c>
      <c r="G1644" s="13">
        <f>IF('Data Entry'!A1644="","",'Data Entry'!G1644)</f>
        <v/>
      </c>
      <c r="H1644" s="10">
        <f>IF('Data Entry'!A1644="","",'Data Entry'!H1644)</f>
        <v/>
      </c>
      <c r="I1644" s="10">
        <f>IF('Data Entry'!A1644="","",'Data Entry'!I1644)</f>
        <v/>
      </c>
      <c r="J1644" s="12">
        <f>IF('Data Entry'!A1644="","",IF('Data Entry'!D1644&lt;&gt;"",'Data Entry'!D1644,'Data Entry'!E1644))</f>
        <v/>
      </c>
      <c r="K1644" s="10">
        <f>IF('Data Entry'!A1644="","",IFERROR(SUMIFS($H$5:$H$2001,$J$5:$J$2001,$J1644,$B$5:$B$2001,$B1644,$A$5:$A$2001,(MAXIFS($A$5:$A$2001,$J$5:$J$2001,$J1644,$B$5:$B$2001,$B1644,$A$5:$A$2001,"&lt;"&amp;$A1644))),""))</f>
        <v/>
      </c>
      <c r="L1644" s="14">
        <f>IF(OR('Data Entry'!A1644="",$K1644=""),"",$H1644-$K1644)</f>
        <v/>
      </c>
      <c r="M1644" s="15">
        <f>IF(OR('Data Entry'!A1644="",$K1644="",$K1644=0),"",$L1644/$K1644)</f>
        <v/>
      </c>
      <c r="N1644" s="12">
        <f>IF('Data Entry'!A1644="","",IF($L1644="","New item",IF($L1644&gt;0,"UP",IF($L1644&lt;0,"down","same"))))</f>
        <v/>
      </c>
    </row>
    <row r="1645">
      <c r="A1645" s="11">
        <f>IF('Data Entry'!A1645="","",'Data Entry'!A1645)</f>
        <v/>
      </c>
      <c r="B1645" s="12">
        <f>IF('Data Entry'!A1645="","",'Data Entry'!B1645)</f>
        <v/>
      </c>
      <c r="C1645" s="12">
        <f>IF('Data Entry'!A1645="","",'Data Entry'!C1645)</f>
        <v/>
      </c>
      <c r="D1645" s="12">
        <f>IF('Data Entry'!A1645="","",'Data Entry'!D1645)</f>
        <v/>
      </c>
      <c r="E1645" s="12">
        <f>IF('Data Entry'!A1645="","",'Data Entry'!E1645)</f>
        <v/>
      </c>
      <c r="F1645" s="12">
        <f>IF('Data Entry'!A1645="","",'Data Entry'!F1645)</f>
        <v/>
      </c>
      <c r="G1645" s="13">
        <f>IF('Data Entry'!A1645="","",'Data Entry'!G1645)</f>
        <v/>
      </c>
      <c r="H1645" s="10">
        <f>IF('Data Entry'!A1645="","",'Data Entry'!H1645)</f>
        <v/>
      </c>
      <c r="I1645" s="10">
        <f>IF('Data Entry'!A1645="","",'Data Entry'!I1645)</f>
        <v/>
      </c>
      <c r="J1645" s="12">
        <f>IF('Data Entry'!A1645="","",IF('Data Entry'!D1645&lt;&gt;"",'Data Entry'!D1645,'Data Entry'!E1645))</f>
        <v/>
      </c>
      <c r="K1645" s="10">
        <f>IF('Data Entry'!A1645="","",IFERROR(SUMIFS($H$5:$H$2001,$J$5:$J$2001,$J1645,$B$5:$B$2001,$B1645,$A$5:$A$2001,(MAXIFS($A$5:$A$2001,$J$5:$J$2001,$J1645,$B$5:$B$2001,$B1645,$A$5:$A$2001,"&lt;"&amp;$A1645))),""))</f>
        <v/>
      </c>
      <c r="L1645" s="14">
        <f>IF(OR('Data Entry'!A1645="",$K1645=""),"",$H1645-$K1645)</f>
        <v/>
      </c>
      <c r="M1645" s="15">
        <f>IF(OR('Data Entry'!A1645="",$K1645="",$K1645=0),"",$L1645/$K1645)</f>
        <v/>
      </c>
      <c r="N1645" s="12">
        <f>IF('Data Entry'!A1645="","",IF($L1645="","New item",IF($L1645&gt;0,"UP",IF($L1645&lt;0,"down","same"))))</f>
        <v/>
      </c>
    </row>
    <row r="1646">
      <c r="A1646" s="11">
        <f>IF('Data Entry'!A1646="","",'Data Entry'!A1646)</f>
        <v/>
      </c>
      <c r="B1646" s="12">
        <f>IF('Data Entry'!A1646="","",'Data Entry'!B1646)</f>
        <v/>
      </c>
      <c r="C1646" s="12">
        <f>IF('Data Entry'!A1646="","",'Data Entry'!C1646)</f>
        <v/>
      </c>
      <c r="D1646" s="12">
        <f>IF('Data Entry'!A1646="","",'Data Entry'!D1646)</f>
        <v/>
      </c>
      <c r="E1646" s="12">
        <f>IF('Data Entry'!A1646="","",'Data Entry'!E1646)</f>
        <v/>
      </c>
      <c r="F1646" s="12">
        <f>IF('Data Entry'!A1646="","",'Data Entry'!F1646)</f>
        <v/>
      </c>
      <c r="G1646" s="13">
        <f>IF('Data Entry'!A1646="","",'Data Entry'!G1646)</f>
        <v/>
      </c>
      <c r="H1646" s="10">
        <f>IF('Data Entry'!A1646="","",'Data Entry'!H1646)</f>
        <v/>
      </c>
      <c r="I1646" s="10">
        <f>IF('Data Entry'!A1646="","",'Data Entry'!I1646)</f>
        <v/>
      </c>
      <c r="J1646" s="12">
        <f>IF('Data Entry'!A1646="","",IF('Data Entry'!D1646&lt;&gt;"",'Data Entry'!D1646,'Data Entry'!E1646))</f>
        <v/>
      </c>
      <c r="K1646" s="10">
        <f>IF('Data Entry'!A1646="","",IFERROR(SUMIFS($H$5:$H$2001,$J$5:$J$2001,$J1646,$B$5:$B$2001,$B1646,$A$5:$A$2001,(MAXIFS($A$5:$A$2001,$J$5:$J$2001,$J1646,$B$5:$B$2001,$B1646,$A$5:$A$2001,"&lt;"&amp;$A1646))),""))</f>
        <v/>
      </c>
      <c r="L1646" s="14">
        <f>IF(OR('Data Entry'!A1646="",$K1646=""),"",$H1646-$K1646)</f>
        <v/>
      </c>
      <c r="M1646" s="15">
        <f>IF(OR('Data Entry'!A1646="",$K1646="",$K1646=0),"",$L1646/$K1646)</f>
        <v/>
      </c>
      <c r="N1646" s="12">
        <f>IF('Data Entry'!A1646="","",IF($L1646="","New item",IF($L1646&gt;0,"UP",IF($L1646&lt;0,"down","same"))))</f>
        <v/>
      </c>
    </row>
    <row r="1647">
      <c r="A1647" s="11">
        <f>IF('Data Entry'!A1647="","",'Data Entry'!A1647)</f>
        <v/>
      </c>
      <c r="B1647" s="12">
        <f>IF('Data Entry'!A1647="","",'Data Entry'!B1647)</f>
        <v/>
      </c>
      <c r="C1647" s="12">
        <f>IF('Data Entry'!A1647="","",'Data Entry'!C1647)</f>
        <v/>
      </c>
      <c r="D1647" s="12">
        <f>IF('Data Entry'!A1647="","",'Data Entry'!D1647)</f>
        <v/>
      </c>
      <c r="E1647" s="12">
        <f>IF('Data Entry'!A1647="","",'Data Entry'!E1647)</f>
        <v/>
      </c>
      <c r="F1647" s="12">
        <f>IF('Data Entry'!A1647="","",'Data Entry'!F1647)</f>
        <v/>
      </c>
      <c r="G1647" s="13">
        <f>IF('Data Entry'!A1647="","",'Data Entry'!G1647)</f>
        <v/>
      </c>
      <c r="H1647" s="10">
        <f>IF('Data Entry'!A1647="","",'Data Entry'!H1647)</f>
        <v/>
      </c>
      <c r="I1647" s="10">
        <f>IF('Data Entry'!A1647="","",'Data Entry'!I1647)</f>
        <v/>
      </c>
      <c r="J1647" s="12">
        <f>IF('Data Entry'!A1647="","",IF('Data Entry'!D1647&lt;&gt;"",'Data Entry'!D1647,'Data Entry'!E1647))</f>
        <v/>
      </c>
      <c r="K1647" s="10">
        <f>IF('Data Entry'!A1647="","",IFERROR(SUMIFS($H$5:$H$2001,$J$5:$J$2001,$J1647,$B$5:$B$2001,$B1647,$A$5:$A$2001,(MAXIFS($A$5:$A$2001,$J$5:$J$2001,$J1647,$B$5:$B$2001,$B1647,$A$5:$A$2001,"&lt;"&amp;$A1647))),""))</f>
        <v/>
      </c>
      <c r="L1647" s="14">
        <f>IF(OR('Data Entry'!A1647="",$K1647=""),"",$H1647-$K1647)</f>
        <v/>
      </c>
      <c r="M1647" s="15">
        <f>IF(OR('Data Entry'!A1647="",$K1647="",$K1647=0),"",$L1647/$K1647)</f>
        <v/>
      </c>
      <c r="N1647" s="12">
        <f>IF('Data Entry'!A1647="","",IF($L1647="","New item",IF($L1647&gt;0,"UP",IF($L1647&lt;0,"down","same"))))</f>
        <v/>
      </c>
    </row>
    <row r="1648">
      <c r="A1648" s="11">
        <f>IF('Data Entry'!A1648="","",'Data Entry'!A1648)</f>
        <v/>
      </c>
      <c r="B1648" s="12">
        <f>IF('Data Entry'!A1648="","",'Data Entry'!B1648)</f>
        <v/>
      </c>
      <c r="C1648" s="12">
        <f>IF('Data Entry'!A1648="","",'Data Entry'!C1648)</f>
        <v/>
      </c>
      <c r="D1648" s="12">
        <f>IF('Data Entry'!A1648="","",'Data Entry'!D1648)</f>
        <v/>
      </c>
      <c r="E1648" s="12">
        <f>IF('Data Entry'!A1648="","",'Data Entry'!E1648)</f>
        <v/>
      </c>
      <c r="F1648" s="12">
        <f>IF('Data Entry'!A1648="","",'Data Entry'!F1648)</f>
        <v/>
      </c>
      <c r="G1648" s="13">
        <f>IF('Data Entry'!A1648="","",'Data Entry'!G1648)</f>
        <v/>
      </c>
      <c r="H1648" s="10">
        <f>IF('Data Entry'!A1648="","",'Data Entry'!H1648)</f>
        <v/>
      </c>
      <c r="I1648" s="10">
        <f>IF('Data Entry'!A1648="","",'Data Entry'!I1648)</f>
        <v/>
      </c>
      <c r="J1648" s="12">
        <f>IF('Data Entry'!A1648="","",IF('Data Entry'!D1648&lt;&gt;"",'Data Entry'!D1648,'Data Entry'!E1648))</f>
        <v/>
      </c>
      <c r="K1648" s="10">
        <f>IF('Data Entry'!A1648="","",IFERROR(SUMIFS($H$5:$H$2001,$J$5:$J$2001,$J1648,$B$5:$B$2001,$B1648,$A$5:$A$2001,(MAXIFS($A$5:$A$2001,$J$5:$J$2001,$J1648,$B$5:$B$2001,$B1648,$A$5:$A$2001,"&lt;"&amp;$A1648))),""))</f>
        <v/>
      </c>
      <c r="L1648" s="14">
        <f>IF(OR('Data Entry'!A1648="",$K1648=""),"",$H1648-$K1648)</f>
        <v/>
      </c>
      <c r="M1648" s="15">
        <f>IF(OR('Data Entry'!A1648="",$K1648="",$K1648=0),"",$L1648/$K1648)</f>
        <v/>
      </c>
      <c r="N1648" s="12">
        <f>IF('Data Entry'!A1648="","",IF($L1648="","New item",IF($L1648&gt;0,"UP",IF($L1648&lt;0,"down","same"))))</f>
        <v/>
      </c>
    </row>
    <row r="1649">
      <c r="A1649" s="11">
        <f>IF('Data Entry'!A1649="","",'Data Entry'!A1649)</f>
        <v/>
      </c>
      <c r="B1649" s="12">
        <f>IF('Data Entry'!A1649="","",'Data Entry'!B1649)</f>
        <v/>
      </c>
      <c r="C1649" s="12">
        <f>IF('Data Entry'!A1649="","",'Data Entry'!C1649)</f>
        <v/>
      </c>
      <c r="D1649" s="12">
        <f>IF('Data Entry'!A1649="","",'Data Entry'!D1649)</f>
        <v/>
      </c>
      <c r="E1649" s="12">
        <f>IF('Data Entry'!A1649="","",'Data Entry'!E1649)</f>
        <v/>
      </c>
      <c r="F1649" s="12">
        <f>IF('Data Entry'!A1649="","",'Data Entry'!F1649)</f>
        <v/>
      </c>
      <c r="G1649" s="13">
        <f>IF('Data Entry'!A1649="","",'Data Entry'!G1649)</f>
        <v/>
      </c>
      <c r="H1649" s="10">
        <f>IF('Data Entry'!A1649="","",'Data Entry'!H1649)</f>
        <v/>
      </c>
      <c r="I1649" s="10">
        <f>IF('Data Entry'!A1649="","",'Data Entry'!I1649)</f>
        <v/>
      </c>
      <c r="J1649" s="12">
        <f>IF('Data Entry'!A1649="","",IF('Data Entry'!D1649&lt;&gt;"",'Data Entry'!D1649,'Data Entry'!E1649))</f>
        <v/>
      </c>
      <c r="K1649" s="10">
        <f>IF('Data Entry'!A1649="","",IFERROR(SUMIFS($H$5:$H$2001,$J$5:$J$2001,$J1649,$B$5:$B$2001,$B1649,$A$5:$A$2001,(MAXIFS($A$5:$A$2001,$J$5:$J$2001,$J1649,$B$5:$B$2001,$B1649,$A$5:$A$2001,"&lt;"&amp;$A1649))),""))</f>
        <v/>
      </c>
      <c r="L1649" s="14">
        <f>IF(OR('Data Entry'!A1649="",$K1649=""),"",$H1649-$K1649)</f>
        <v/>
      </c>
      <c r="M1649" s="15">
        <f>IF(OR('Data Entry'!A1649="",$K1649="",$K1649=0),"",$L1649/$K1649)</f>
        <v/>
      </c>
      <c r="N1649" s="12">
        <f>IF('Data Entry'!A1649="","",IF($L1649="","New item",IF($L1649&gt;0,"UP",IF($L1649&lt;0,"down","same"))))</f>
        <v/>
      </c>
    </row>
    <row r="1650">
      <c r="A1650" s="11">
        <f>IF('Data Entry'!A1650="","",'Data Entry'!A1650)</f>
        <v/>
      </c>
      <c r="B1650" s="12">
        <f>IF('Data Entry'!A1650="","",'Data Entry'!B1650)</f>
        <v/>
      </c>
      <c r="C1650" s="12">
        <f>IF('Data Entry'!A1650="","",'Data Entry'!C1650)</f>
        <v/>
      </c>
      <c r="D1650" s="12">
        <f>IF('Data Entry'!A1650="","",'Data Entry'!D1650)</f>
        <v/>
      </c>
      <c r="E1650" s="12">
        <f>IF('Data Entry'!A1650="","",'Data Entry'!E1650)</f>
        <v/>
      </c>
      <c r="F1650" s="12">
        <f>IF('Data Entry'!A1650="","",'Data Entry'!F1650)</f>
        <v/>
      </c>
      <c r="G1650" s="13">
        <f>IF('Data Entry'!A1650="","",'Data Entry'!G1650)</f>
        <v/>
      </c>
      <c r="H1650" s="10">
        <f>IF('Data Entry'!A1650="","",'Data Entry'!H1650)</f>
        <v/>
      </c>
      <c r="I1650" s="10">
        <f>IF('Data Entry'!A1650="","",'Data Entry'!I1650)</f>
        <v/>
      </c>
      <c r="J1650" s="12">
        <f>IF('Data Entry'!A1650="","",IF('Data Entry'!D1650&lt;&gt;"",'Data Entry'!D1650,'Data Entry'!E1650))</f>
        <v/>
      </c>
      <c r="K1650" s="10">
        <f>IF('Data Entry'!A1650="","",IFERROR(SUMIFS($H$5:$H$2001,$J$5:$J$2001,$J1650,$B$5:$B$2001,$B1650,$A$5:$A$2001,(MAXIFS($A$5:$A$2001,$J$5:$J$2001,$J1650,$B$5:$B$2001,$B1650,$A$5:$A$2001,"&lt;"&amp;$A1650))),""))</f>
        <v/>
      </c>
      <c r="L1650" s="14">
        <f>IF(OR('Data Entry'!A1650="",$K1650=""),"",$H1650-$K1650)</f>
        <v/>
      </c>
      <c r="M1650" s="15">
        <f>IF(OR('Data Entry'!A1650="",$K1650="",$K1650=0),"",$L1650/$K1650)</f>
        <v/>
      </c>
      <c r="N1650" s="12">
        <f>IF('Data Entry'!A1650="","",IF($L1650="","New item",IF($L1650&gt;0,"UP",IF($L1650&lt;0,"down","same"))))</f>
        <v/>
      </c>
    </row>
    <row r="1651">
      <c r="A1651" s="11">
        <f>IF('Data Entry'!A1651="","",'Data Entry'!A1651)</f>
        <v/>
      </c>
      <c r="B1651" s="12">
        <f>IF('Data Entry'!A1651="","",'Data Entry'!B1651)</f>
        <v/>
      </c>
      <c r="C1651" s="12">
        <f>IF('Data Entry'!A1651="","",'Data Entry'!C1651)</f>
        <v/>
      </c>
      <c r="D1651" s="12">
        <f>IF('Data Entry'!A1651="","",'Data Entry'!D1651)</f>
        <v/>
      </c>
      <c r="E1651" s="12">
        <f>IF('Data Entry'!A1651="","",'Data Entry'!E1651)</f>
        <v/>
      </c>
      <c r="F1651" s="12">
        <f>IF('Data Entry'!A1651="","",'Data Entry'!F1651)</f>
        <v/>
      </c>
      <c r="G1651" s="13">
        <f>IF('Data Entry'!A1651="","",'Data Entry'!G1651)</f>
        <v/>
      </c>
      <c r="H1651" s="10">
        <f>IF('Data Entry'!A1651="","",'Data Entry'!H1651)</f>
        <v/>
      </c>
      <c r="I1651" s="10">
        <f>IF('Data Entry'!A1651="","",'Data Entry'!I1651)</f>
        <v/>
      </c>
      <c r="J1651" s="12">
        <f>IF('Data Entry'!A1651="","",IF('Data Entry'!D1651&lt;&gt;"",'Data Entry'!D1651,'Data Entry'!E1651))</f>
        <v/>
      </c>
      <c r="K1651" s="10">
        <f>IF('Data Entry'!A1651="","",IFERROR(SUMIFS($H$5:$H$2001,$J$5:$J$2001,$J1651,$B$5:$B$2001,$B1651,$A$5:$A$2001,(MAXIFS($A$5:$A$2001,$J$5:$J$2001,$J1651,$B$5:$B$2001,$B1651,$A$5:$A$2001,"&lt;"&amp;$A1651))),""))</f>
        <v/>
      </c>
      <c r="L1651" s="14">
        <f>IF(OR('Data Entry'!A1651="",$K1651=""),"",$H1651-$K1651)</f>
        <v/>
      </c>
      <c r="M1651" s="15">
        <f>IF(OR('Data Entry'!A1651="",$K1651="",$K1651=0),"",$L1651/$K1651)</f>
        <v/>
      </c>
      <c r="N1651" s="12">
        <f>IF('Data Entry'!A1651="","",IF($L1651="","New item",IF($L1651&gt;0,"UP",IF($L1651&lt;0,"down","same"))))</f>
        <v/>
      </c>
    </row>
    <row r="1652">
      <c r="A1652" s="11">
        <f>IF('Data Entry'!A1652="","",'Data Entry'!A1652)</f>
        <v/>
      </c>
      <c r="B1652" s="12">
        <f>IF('Data Entry'!A1652="","",'Data Entry'!B1652)</f>
        <v/>
      </c>
      <c r="C1652" s="12">
        <f>IF('Data Entry'!A1652="","",'Data Entry'!C1652)</f>
        <v/>
      </c>
      <c r="D1652" s="12">
        <f>IF('Data Entry'!A1652="","",'Data Entry'!D1652)</f>
        <v/>
      </c>
      <c r="E1652" s="12">
        <f>IF('Data Entry'!A1652="","",'Data Entry'!E1652)</f>
        <v/>
      </c>
      <c r="F1652" s="12">
        <f>IF('Data Entry'!A1652="","",'Data Entry'!F1652)</f>
        <v/>
      </c>
      <c r="G1652" s="13">
        <f>IF('Data Entry'!A1652="","",'Data Entry'!G1652)</f>
        <v/>
      </c>
      <c r="H1652" s="10">
        <f>IF('Data Entry'!A1652="","",'Data Entry'!H1652)</f>
        <v/>
      </c>
      <c r="I1652" s="10">
        <f>IF('Data Entry'!A1652="","",'Data Entry'!I1652)</f>
        <v/>
      </c>
      <c r="J1652" s="12">
        <f>IF('Data Entry'!A1652="","",IF('Data Entry'!D1652&lt;&gt;"",'Data Entry'!D1652,'Data Entry'!E1652))</f>
        <v/>
      </c>
      <c r="K1652" s="10">
        <f>IF('Data Entry'!A1652="","",IFERROR(SUMIFS($H$5:$H$2001,$J$5:$J$2001,$J1652,$B$5:$B$2001,$B1652,$A$5:$A$2001,(MAXIFS($A$5:$A$2001,$J$5:$J$2001,$J1652,$B$5:$B$2001,$B1652,$A$5:$A$2001,"&lt;"&amp;$A1652))),""))</f>
        <v/>
      </c>
      <c r="L1652" s="14">
        <f>IF(OR('Data Entry'!A1652="",$K1652=""),"",$H1652-$K1652)</f>
        <v/>
      </c>
      <c r="M1652" s="15">
        <f>IF(OR('Data Entry'!A1652="",$K1652="",$K1652=0),"",$L1652/$K1652)</f>
        <v/>
      </c>
      <c r="N1652" s="12">
        <f>IF('Data Entry'!A1652="","",IF($L1652="","New item",IF($L1652&gt;0,"UP",IF($L1652&lt;0,"down","same"))))</f>
        <v/>
      </c>
    </row>
    <row r="1653">
      <c r="A1653" s="11">
        <f>IF('Data Entry'!A1653="","",'Data Entry'!A1653)</f>
        <v/>
      </c>
      <c r="B1653" s="12">
        <f>IF('Data Entry'!A1653="","",'Data Entry'!B1653)</f>
        <v/>
      </c>
      <c r="C1653" s="12">
        <f>IF('Data Entry'!A1653="","",'Data Entry'!C1653)</f>
        <v/>
      </c>
      <c r="D1653" s="12">
        <f>IF('Data Entry'!A1653="","",'Data Entry'!D1653)</f>
        <v/>
      </c>
      <c r="E1653" s="12">
        <f>IF('Data Entry'!A1653="","",'Data Entry'!E1653)</f>
        <v/>
      </c>
      <c r="F1653" s="12">
        <f>IF('Data Entry'!A1653="","",'Data Entry'!F1653)</f>
        <v/>
      </c>
      <c r="G1653" s="13">
        <f>IF('Data Entry'!A1653="","",'Data Entry'!G1653)</f>
        <v/>
      </c>
      <c r="H1653" s="10">
        <f>IF('Data Entry'!A1653="","",'Data Entry'!H1653)</f>
        <v/>
      </c>
      <c r="I1653" s="10">
        <f>IF('Data Entry'!A1653="","",'Data Entry'!I1653)</f>
        <v/>
      </c>
      <c r="J1653" s="12">
        <f>IF('Data Entry'!A1653="","",IF('Data Entry'!D1653&lt;&gt;"",'Data Entry'!D1653,'Data Entry'!E1653))</f>
        <v/>
      </c>
      <c r="K1653" s="10">
        <f>IF('Data Entry'!A1653="","",IFERROR(SUMIFS($H$5:$H$2001,$J$5:$J$2001,$J1653,$B$5:$B$2001,$B1653,$A$5:$A$2001,(MAXIFS($A$5:$A$2001,$J$5:$J$2001,$J1653,$B$5:$B$2001,$B1653,$A$5:$A$2001,"&lt;"&amp;$A1653))),""))</f>
        <v/>
      </c>
      <c r="L1653" s="14">
        <f>IF(OR('Data Entry'!A1653="",$K1653=""),"",$H1653-$K1653)</f>
        <v/>
      </c>
      <c r="M1653" s="15">
        <f>IF(OR('Data Entry'!A1653="",$K1653="",$K1653=0),"",$L1653/$K1653)</f>
        <v/>
      </c>
      <c r="N1653" s="12">
        <f>IF('Data Entry'!A1653="","",IF($L1653="","New item",IF($L1653&gt;0,"UP",IF($L1653&lt;0,"down","same"))))</f>
        <v/>
      </c>
    </row>
    <row r="1654">
      <c r="A1654" s="11">
        <f>IF('Data Entry'!A1654="","",'Data Entry'!A1654)</f>
        <v/>
      </c>
      <c r="B1654" s="12">
        <f>IF('Data Entry'!A1654="","",'Data Entry'!B1654)</f>
        <v/>
      </c>
      <c r="C1654" s="12">
        <f>IF('Data Entry'!A1654="","",'Data Entry'!C1654)</f>
        <v/>
      </c>
      <c r="D1654" s="12">
        <f>IF('Data Entry'!A1654="","",'Data Entry'!D1654)</f>
        <v/>
      </c>
      <c r="E1654" s="12">
        <f>IF('Data Entry'!A1654="","",'Data Entry'!E1654)</f>
        <v/>
      </c>
      <c r="F1654" s="12">
        <f>IF('Data Entry'!A1654="","",'Data Entry'!F1654)</f>
        <v/>
      </c>
      <c r="G1654" s="13">
        <f>IF('Data Entry'!A1654="","",'Data Entry'!G1654)</f>
        <v/>
      </c>
      <c r="H1654" s="10">
        <f>IF('Data Entry'!A1654="","",'Data Entry'!H1654)</f>
        <v/>
      </c>
      <c r="I1654" s="10">
        <f>IF('Data Entry'!A1654="","",'Data Entry'!I1654)</f>
        <v/>
      </c>
      <c r="J1654" s="12">
        <f>IF('Data Entry'!A1654="","",IF('Data Entry'!D1654&lt;&gt;"",'Data Entry'!D1654,'Data Entry'!E1654))</f>
        <v/>
      </c>
      <c r="K1654" s="10">
        <f>IF('Data Entry'!A1654="","",IFERROR(SUMIFS($H$5:$H$2001,$J$5:$J$2001,$J1654,$B$5:$B$2001,$B1654,$A$5:$A$2001,(MAXIFS($A$5:$A$2001,$J$5:$J$2001,$J1654,$B$5:$B$2001,$B1654,$A$5:$A$2001,"&lt;"&amp;$A1654))),""))</f>
        <v/>
      </c>
      <c r="L1654" s="14">
        <f>IF(OR('Data Entry'!A1654="",$K1654=""),"",$H1654-$K1654)</f>
        <v/>
      </c>
      <c r="M1654" s="15">
        <f>IF(OR('Data Entry'!A1654="",$K1654="",$K1654=0),"",$L1654/$K1654)</f>
        <v/>
      </c>
      <c r="N1654" s="12">
        <f>IF('Data Entry'!A1654="","",IF($L1654="","New item",IF($L1654&gt;0,"UP",IF($L1654&lt;0,"down","same"))))</f>
        <v/>
      </c>
    </row>
    <row r="1655">
      <c r="A1655" s="11">
        <f>IF('Data Entry'!A1655="","",'Data Entry'!A1655)</f>
        <v/>
      </c>
      <c r="B1655" s="12">
        <f>IF('Data Entry'!A1655="","",'Data Entry'!B1655)</f>
        <v/>
      </c>
      <c r="C1655" s="12">
        <f>IF('Data Entry'!A1655="","",'Data Entry'!C1655)</f>
        <v/>
      </c>
      <c r="D1655" s="12">
        <f>IF('Data Entry'!A1655="","",'Data Entry'!D1655)</f>
        <v/>
      </c>
      <c r="E1655" s="12">
        <f>IF('Data Entry'!A1655="","",'Data Entry'!E1655)</f>
        <v/>
      </c>
      <c r="F1655" s="12">
        <f>IF('Data Entry'!A1655="","",'Data Entry'!F1655)</f>
        <v/>
      </c>
      <c r="G1655" s="13">
        <f>IF('Data Entry'!A1655="","",'Data Entry'!G1655)</f>
        <v/>
      </c>
      <c r="H1655" s="10">
        <f>IF('Data Entry'!A1655="","",'Data Entry'!H1655)</f>
        <v/>
      </c>
      <c r="I1655" s="10">
        <f>IF('Data Entry'!A1655="","",'Data Entry'!I1655)</f>
        <v/>
      </c>
      <c r="J1655" s="12">
        <f>IF('Data Entry'!A1655="","",IF('Data Entry'!D1655&lt;&gt;"",'Data Entry'!D1655,'Data Entry'!E1655))</f>
        <v/>
      </c>
      <c r="K1655" s="10">
        <f>IF('Data Entry'!A1655="","",IFERROR(SUMIFS($H$5:$H$2001,$J$5:$J$2001,$J1655,$B$5:$B$2001,$B1655,$A$5:$A$2001,(MAXIFS($A$5:$A$2001,$J$5:$J$2001,$J1655,$B$5:$B$2001,$B1655,$A$5:$A$2001,"&lt;"&amp;$A1655))),""))</f>
        <v/>
      </c>
      <c r="L1655" s="14">
        <f>IF(OR('Data Entry'!A1655="",$K1655=""),"",$H1655-$K1655)</f>
        <v/>
      </c>
      <c r="M1655" s="15">
        <f>IF(OR('Data Entry'!A1655="",$K1655="",$K1655=0),"",$L1655/$K1655)</f>
        <v/>
      </c>
      <c r="N1655" s="12">
        <f>IF('Data Entry'!A1655="","",IF($L1655="","New item",IF($L1655&gt;0,"UP",IF($L1655&lt;0,"down","same"))))</f>
        <v/>
      </c>
    </row>
    <row r="1656">
      <c r="A1656" s="11">
        <f>IF('Data Entry'!A1656="","",'Data Entry'!A1656)</f>
        <v/>
      </c>
      <c r="B1656" s="12">
        <f>IF('Data Entry'!A1656="","",'Data Entry'!B1656)</f>
        <v/>
      </c>
      <c r="C1656" s="12">
        <f>IF('Data Entry'!A1656="","",'Data Entry'!C1656)</f>
        <v/>
      </c>
      <c r="D1656" s="12">
        <f>IF('Data Entry'!A1656="","",'Data Entry'!D1656)</f>
        <v/>
      </c>
      <c r="E1656" s="12">
        <f>IF('Data Entry'!A1656="","",'Data Entry'!E1656)</f>
        <v/>
      </c>
      <c r="F1656" s="12">
        <f>IF('Data Entry'!A1656="","",'Data Entry'!F1656)</f>
        <v/>
      </c>
      <c r="G1656" s="13">
        <f>IF('Data Entry'!A1656="","",'Data Entry'!G1656)</f>
        <v/>
      </c>
      <c r="H1656" s="10">
        <f>IF('Data Entry'!A1656="","",'Data Entry'!H1656)</f>
        <v/>
      </c>
      <c r="I1656" s="10">
        <f>IF('Data Entry'!A1656="","",'Data Entry'!I1656)</f>
        <v/>
      </c>
      <c r="J1656" s="12">
        <f>IF('Data Entry'!A1656="","",IF('Data Entry'!D1656&lt;&gt;"",'Data Entry'!D1656,'Data Entry'!E1656))</f>
        <v/>
      </c>
      <c r="K1656" s="10">
        <f>IF('Data Entry'!A1656="","",IFERROR(SUMIFS($H$5:$H$2001,$J$5:$J$2001,$J1656,$B$5:$B$2001,$B1656,$A$5:$A$2001,(MAXIFS($A$5:$A$2001,$J$5:$J$2001,$J1656,$B$5:$B$2001,$B1656,$A$5:$A$2001,"&lt;"&amp;$A1656))),""))</f>
        <v/>
      </c>
      <c r="L1656" s="14">
        <f>IF(OR('Data Entry'!A1656="",$K1656=""),"",$H1656-$K1656)</f>
        <v/>
      </c>
      <c r="M1656" s="15">
        <f>IF(OR('Data Entry'!A1656="",$K1656="",$K1656=0),"",$L1656/$K1656)</f>
        <v/>
      </c>
      <c r="N1656" s="12">
        <f>IF('Data Entry'!A1656="","",IF($L1656="","New item",IF($L1656&gt;0,"UP",IF($L1656&lt;0,"down","same"))))</f>
        <v/>
      </c>
    </row>
    <row r="1657">
      <c r="A1657" s="11">
        <f>IF('Data Entry'!A1657="","",'Data Entry'!A1657)</f>
        <v/>
      </c>
      <c r="B1657" s="12">
        <f>IF('Data Entry'!A1657="","",'Data Entry'!B1657)</f>
        <v/>
      </c>
      <c r="C1657" s="12">
        <f>IF('Data Entry'!A1657="","",'Data Entry'!C1657)</f>
        <v/>
      </c>
      <c r="D1657" s="12">
        <f>IF('Data Entry'!A1657="","",'Data Entry'!D1657)</f>
        <v/>
      </c>
      <c r="E1657" s="12">
        <f>IF('Data Entry'!A1657="","",'Data Entry'!E1657)</f>
        <v/>
      </c>
      <c r="F1657" s="12">
        <f>IF('Data Entry'!A1657="","",'Data Entry'!F1657)</f>
        <v/>
      </c>
      <c r="G1657" s="13">
        <f>IF('Data Entry'!A1657="","",'Data Entry'!G1657)</f>
        <v/>
      </c>
      <c r="H1657" s="10">
        <f>IF('Data Entry'!A1657="","",'Data Entry'!H1657)</f>
        <v/>
      </c>
      <c r="I1657" s="10">
        <f>IF('Data Entry'!A1657="","",'Data Entry'!I1657)</f>
        <v/>
      </c>
      <c r="J1657" s="12">
        <f>IF('Data Entry'!A1657="","",IF('Data Entry'!D1657&lt;&gt;"",'Data Entry'!D1657,'Data Entry'!E1657))</f>
        <v/>
      </c>
      <c r="K1657" s="10">
        <f>IF('Data Entry'!A1657="","",IFERROR(SUMIFS($H$5:$H$2001,$J$5:$J$2001,$J1657,$B$5:$B$2001,$B1657,$A$5:$A$2001,(MAXIFS($A$5:$A$2001,$J$5:$J$2001,$J1657,$B$5:$B$2001,$B1657,$A$5:$A$2001,"&lt;"&amp;$A1657))),""))</f>
        <v/>
      </c>
      <c r="L1657" s="14">
        <f>IF(OR('Data Entry'!A1657="",$K1657=""),"",$H1657-$K1657)</f>
        <v/>
      </c>
      <c r="M1657" s="15">
        <f>IF(OR('Data Entry'!A1657="",$K1657="",$K1657=0),"",$L1657/$K1657)</f>
        <v/>
      </c>
      <c r="N1657" s="12">
        <f>IF('Data Entry'!A1657="","",IF($L1657="","New item",IF($L1657&gt;0,"UP",IF($L1657&lt;0,"down","same"))))</f>
        <v/>
      </c>
    </row>
    <row r="1658">
      <c r="A1658" s="11">
        <f>IF('Data Entry'!A1658="","",'Data Entry'!A1658)</f>
        <v/>
      </c>
      <c r="B1658" s="12">
        <f>IF('Data Entry'!A1658="","",'Data Entry'!B1658)</f>
        <v/>
      </c>
      <c r="C1658" s="12">
        <f>IF('Data Entry'!A1658="","",'Data Entry'!C1658)</f>
        <v/>
      </c>
      <c r="D1658" s="12">
        <f>IF('Data Entry'!A1658="","",'Data Entry'!D1658)</f>
        <v/>
      </c>
      <c r="E1658" s="12">
        <f>IF('Data Entry'!A1658="","",'Data Entry'!E1658)</f>
        <v/>
      </c>
      <c r="F1658" s="12">
        <f>IF('Data Entry'!A1658="","",'Data Entry'!F1658)</f>
        <v/>
      </c>
      <c r="G1658" s="13">
        <f>IF('Data Entry'!A1658="","",'Data Entry'!G1658)</f>
        <v/>
      </c>
      <c r="H1658" s="10">
        <f>IF('Data Entry'!A1658="","",'Data Entry'!H1658)</f>
        <v/>
      </c>
      <c r="I1658" s="10">
        <f>IF('Data Entry'!A1658="","",'Data Entry'!I1658)</f>
        <v/>
      </c>
      <c r="J1658" s="12">
        <f>IF('Data Entry'!A1658="","",IF('Data Entry'!D1658&lt;&gt;"",'Data Entry'!D1658,'Data Entry'!E1658))</f>
        <v/>
      </c>
      <c r="K1658" s="10">
        <f>IF('Data Entry'!A1658="","",IFERROR(SUMIFS($H$5:$H$2001,$J$5:$J$2001,$J1658,$B$5:$B$2001,$B1658,$A$5:$A$2001,(MAXIFS($A$5:$A$2001,$J$5:$J$2001,$J1658,$B$5:$B$2001,$B1658,$A$5:$A$2001,"&lt;"&amp;$A1658))),""))</f>
        <v/>
      </c>
      <c r="L1658" s="14">
        <f>IF(OR('Data Entry'!A1658="",$K1658=""),"",$H1658-$K1658)</f>
        <v/>
      </c>
      <c r="M1658" s="15">
        <f>IF(OR('Data Entry'!A1658="",$K1658="",$K1658=0),"",$L1658/$K1658)</f>
        <v/>
      </c>
      <c r="N1658" s="12">
        <f>IF('Data Entry'!A1658="","",IF($L1658="","New item",IF($L1658&gt;0,"UP",IF($L1658&lt;0,"down","same"))))</f>
        <v/>
      </c>
    </row>
    <row r="1659">
      <c r="A1659" s="11">
        <f>IF('Data Entry'!A1659="","",'Data Entry'!A1659)</f>
        <v/>
      </c>
      <c r="B1659" s="12">
        <f>IF('Data Entry'!A1659="","",'Data Entry'!B1659)</f>
        <v/>
      </c>
      <c r="C1659" s="12">
        <f>IF('Data Entry'!A1659="","",'Data Entry'!C1659)</f>
        <v/>
      </c>
      <c r="D1659" s="12">
        <f>IF('Data Entry'!A1659="","",'Data Entry'!D1659)</f>
        <v/>
      </c>
      <c r="E1659" s="12">
        <f>IF('Data Entry'!A1659="","",'Data Entry'!E1659)</f>
        <v/>
      </c>
      <c r="F1659" s="12">
        <f>IF('Data Entry'!A1659="","",'Data Entry'!F1659)</f>
        <v/>
      </c>
      <c r="G1659" s="13">
        <f>IF('Data Entry'!A1659="","",'Data Entry'!G1659)</f>
        <v/>
      </c>
      <c r="H1659" s="10">
        <f>IF('Data Entry'!A1659="","",'Data Entry'!H1659)</f>
        <v/>
      </c>
      <c r="I1659" s="10">
        <f>IF('Data Entry'!A1659="","",'Data Entry'!I1659)</f>
        <v/>
      </c>
      <c r="J1659" s="12">
        <f>IF('Data Entry'!A1659="","",IF('Data Entry'!D1659&lt;&gt;"",'Data Entry'!D1659,'Data Entry'!E1659))</f>
        <v/>
      </c>
      <c r="K1659" s="10">
        <f>IF('Data Entry'!A1659="","",IFERROR(SUMIFS($H$5:$H$2001,$J$5:$J$2001,$J1659,$B$5:$B$2001,$B1659,$A$5:$A$2001,(MAXIFS($A$5:$A$2001,$J$5:$J$2001,$J1659,$B$5:$B$2001,$B1659,$A$5:$A$2001,"&lt;"&amp;$A1659))),""))</f>
        <v/>
      </c>
      <c r="L1659" s="14">
        <f>IF(OR('Data Entry'!A1659="",$K1659=""),"",$H1659-$K1659)</f>
        <v/>
      </c>
      <c r="M1659" s="15">
        <f>IF(OR('Data Entry'!A1659="",$K1659="",$K1659=0),"",$L1659/$K1659)</f>
        <v/>
      </c>
      <c r="N1659" s="12">
        <f>IF('Data Entry'!A1659="","",IF($L1659="","New item",IF($L1659&gt;0,"UP",IF($L1659&lt;0,"down","same"))))</f>
        <v/>
      </c>
    </row>
    <row r="1660">
      <c r="A1660" s="11">
        <f>IF('Data Entry'!A1660="","",'Data Entry'!A1660)</f>
        <v/>
      </c>
      <c r="B1660" s="12">
        <f>IF('Data Entry'!A1660="","",'Data Entry'!B1660)</f>
        <v/>
      </c>
      <c r="C1660" s="12">
        <f>IF('Data Entry'!A1660="","",'Data Entry'!C1660)</f>
        <v/>
      </c>
      <c r="D1660" s="12">
        <f>IF('Data Entry'!A1660="","",'Data Entry'!D1660)</f>
        <v/>
      </c>
      <c r="E1660" s="12">
        <f>IF('Data Entry'!A1660="","",'Data Entry'!E1660)</f>
        <v/>
      </c>
      <c r="F1660" s="12">
        <f>IF('Data Entry'!A1660="","",'Data Entry'!F1660)</f>
        <v/>
      </c>
      <c r="G1660" s="13">
        <f>IF('Data Entry'!A1660="","",'Data Entry'!G1660)</f>
        <v/>
      </c>
      <c r="H1660" s="10">
        <f>IF('Data Entry'!A1660="","",'Data Entry'!H1660)</f>
        <v/>
      </c>
      <c r="I1660" s="10">
        <f>IF('Data Entry'!A1660="","",'Data Entry'!I1660)</f>
        <v/>
      </c>
      <c r="J1660" s="12">
        <f>IF('Data Entry'!A1660="","",IF('Data Entry'!D1660&lt;&gt;"",'Data Entry'!D1660,'Data Entry'!E1660))</f>
        <v/>
      </c>
      <c r="K1660" s="10">
        <f>IF('Data Entry'!A1660="","",IFERROR(SUMIFS($H$5:$H$2001,$J$5:$J$2001,$J1660,$B$5:$B$2001,$B1660,$A$5:$A$2001,(MAXIFS($A$5:$A$2001,$J$5:$J$2001,$J1660,$B$5:$B$2001,$B1660,$A$5:$A$2001,"&lt;"&amp;$A1660))),""))</f>
        <v/>
      </c>
      <c r="L1660" s="14">
        <f>IF(OR('Data Entry'!A1660="",$K1660=""),"",$H1660-$K1660)</f>
        <v/>
      </c>
      <c r="M1660" s="15">
        <f>IF(OR('Data Entry'!A1660="",$K1660="",$K1660=0),"",$L1660/$K1660)</f>
        <v/>
      </c>
      <c r="N1660" s="12">
        <f>IF('Data Entry'!A1660="","",IF($L1660="","New item",IF($L1660&gt;0,"UP",IF($L1660&lt;0,"down","same"))))</f>
        <v/>
      </c>
    </row>
    <row r="1661">
      <c r="A1661" s="11">
        <f>IF('Data Entry'!A1661="","",'Data Entry'!A1661)</f>
        <v/>
      </c>
      <c r="B1661" s="12">
        <f>IF('Data Entry'!A1661="","",'Data Entry'!B1661)</f>
        <v/>
      </c>
      <c r="C1661" s="12">
        <f>IF('Data Entry'!A1661="","",'Data Entry'!C1661)</f>
        <v/>
      </c>
      <c r="D1661" s="12">
        <f>IF('Data Entry'!A1661="","",'Data Entry'!D1661)</f>
        <v/>
      </c>
      <c r="E1661" s="12">
        <f>IF('Data Entry'!A1661="","",'Data Entry'!E1661)</f>
        <v/>
      </c>
      <c r="F1661" s="12">
        <f>IF('Data Entry'!A1661="","",'Data Entry'!F1661)</f>
        <v/>
      </c>
      <c r="G1661" s="13">
        <f>IF('Data Entry'!A1661="","",'Data Entry'!G1661)</f>
        <v/>
      </c>
      <c r="H1661" s="10">
        <f>IF('Data Entry'!A1661="","",'Data Entry'!H1661)</f>
        <v/>
      </c>
      <c r="I1661" s="10">
        <f>IF('Data Entry'!A1661="","",'Data Entry'!I1661)</f>
        <v/>
      </c>
      <c r="J1661" s="12">
        <f>IF('Data Entry'!A1661="","",IF('Data Entry'!D1661&lt;&gt;"",'Data Entry'!D1661,'Data Entry'!E1661))</f>
        <v/>
      </c>
      <c r="K1661" s="10">
        <f>IF('Data Entry'!A1661="","",IFERROR(SUMIFS($H$5:$H$2001,$J$5:$J$2001,$J1661,$B$5:$B$2001,$B1661,$A$5:$A$2001,(MAXIFS($A$5:$A$2001,$J$5:$J$2001,$J1661,$B$5:$B$2001,$B1661,$A$5:$A$2001,"&lt;"&amp;$A1661))),""))</f>
        <v/>
      </c>
      <c r="L1661" s="14">
        <f>IF(OR('Data Entry'!A1661="",$K1661=""),"",$H1661-$K1661)</f>
        <v/>
      </c>
      <c r="M1661" s="15">
        <f>IF(OR('Data Entry'!A1661="",$K1661="",$K1661=0),"",$L1661/$K1661)</f>
        <v/>
      </c>
      <c r="N1661" s="12">
        <f>IF('Data Entry'!A1661="","",IF($L1661="","New item",IF($L1661&gt;0,"UP",IF($L1661&lt;0,"down","same"))))</f>
        <v/>
      </c>
    </row>
    <row r="1662">
      <c r="A1662" s="11">
        <f>IF('Data Entry'!A1662="","",'Data Entry'!A1662)</f>
        <v/>
      </c>
      <c r="B1662" s="12">
        <f>IF('Data Entry'!A1662="","",'Data Entry'!B1662)</f>
        <v/>
      </c>
      <c r="C1662" s="12">
        <f>IF('Data Entry'!A1662="","",'Data Entry'!C1662)</f>
        <v/>
      </c>
      <c r="D1662" s="12">
        <f>IF('Data Entry'!A1662="","",'Data Entry'!D1662)</f>
        <v/>
      </c>
      <c r="E1662" s="12">
        <f>IF('Data Entry'!A1662="","",'Data Entry'!E1662)</f>
        <v/>
      </c>
      <c r="F1662" s="12">
        <f>IF('Data Entry'!A1662="","",'Data Entry'!F1662)</f>
        <v/>
      </c>
      <c r="G1662" s="13">
        <f>IF('Data Entry'!A1662="","",'Data Entry'!G1662)</f>
        <v/>
      </c>
      <c r="H1662" s="10">
        <f>IF('Data Entry'!A1662="","",'Data Entry'!H1662)</f>
        <v/>
      </c>
      <c r="I1662" s="10">
        <f>IF('Data Entry'!A1662="","",'Data Entry'!I1662)</f>
        <v/>
      </c>
      <c r="J1662" s="12">
        <f>IF('Data Entry'!A1662="","",IF('Data Entry'!D1662&lt;&gt;"",'Data Entry'!D1662,'Data Entry'!E1662))</f>
        <v/>
      </c>
      <c r="K1662" s="10">
        <f>IF('Data Entry'!A1662="","",IFERROR(SUMIFS($H$5:$H$2001,$J$5:$J$2001,$J1662,$B$5:$B$2001,$B1662,$A$5:$A$2001,(MAXIFS($A$5:$A$2001,$J$5:$J$2001,$J1662,$B$5:$B$2001,$B1662,$A$5:$A$2001,"&lt;"&amp;$A1662))),""))</f>
        <v/>
      </c>
      <c r="L1662" s="14">
        <f>IF(OR('Data Entry'!A1662="",$K1662=""),"",$H1662-$K1662)</f>
        <v/>
      </c>
      <c r="M1662" s="15">
        <f>IF(OR('Data Entry'!A1662="",$K1662="",$K1662=0),"",$L1662/$K1662)</f>
        <v/>
      </c>
      <c r="N1662" s="12">
        <f>IF('Data Entry'!A1662="","",IF($L1662="","New item",IF($L1662&gt;0,"UP",IF($L1662&lt;0,"down","same"))))</f>
        <v/>
      </c>
    </row>
    <row r="1663">
      <c r="A1663" s="11">
        <f>IF('Data Entry'!A1663="","",'Data Entry'!A1663)</f>
        <v/>
      </c>
      <c r="B1663" s="12">
        <f>IF('Data Entry'!A1663="","",'Data Entry'!B1663)</f>
        <v/>
      </c>
      <c r="C1663" s="12">
        <f>IF('Data Entry'!A1663="","",'Data Entry'!C1663)</f>
        <v/>
      </c>
      <c r="D1663" s="12">
        <f>IF('Data Entry'!A1663="","",'Data Entry'!D1663)</f>
        <v/>
      </c>
      <c r="E1663" s="12">
        <f>IF('Data Entry'!A1663="","",'Data Entry'!E1663)</f>
        <v/>
      </c>
      <c r="F1663" s="12">
        <f>IF('Data Entry'!A1663="","",'Data Entry'!F1663)</f>
        <v/>
      </c>
      <c r="G1663" s="13">
        <f>IF('Data Entry'!A1663="","",'Data Entry'!G1663)</f>
        <v/>
      </c>
      <c r="H1663" s="10">
        <f>IF('Data Entry'!A1663="","",'Data Entry'!H1663)</f>
        <v/>
      </c>
      <c r="I1663" s="10">
        <f>IF('Data Entry'!A1663="","",'Data Entry'!I1663)</f>
        <v/>
      </c>
      <c r="J1663" s="12">
        <f>IF('Data Entry'!A1663="","",IF('Data Entry'!D1663&lt;&gt;"",'Data Entry'!D1663,'Data Entry'!E1663))</f>
        <v/>
      </c>
      <c r="K1663" s="10">
        <f>IF('Data Entry'!A1663="","",IFERROR(SUMIFS($H$5:$H$2001,$J$5:$J$2001,$J1663,$B$5:$B$2001,$B1663,$A$5:$A$2001,(MAXIFS($A$5:$A$2001,$J$5:$J$2001,$J1663,$B$5:$B$2001,$B1663,$A$5:$A$2001,"&lt;"&amp;$A1663))),""))</f>
        <v/>
      </c>
      <c r="L1663" s="14">
        <f>IF(OR('Data Entry'!A1663="",$K1663=""),"",$H1663-$K1663)</f>
        <v/>
      </c>
      <c r="M1663" s="15">
        <f>IF(OR('Data Entry'!A1663="",$K1663="",$K1663=0),"",$L1663/$K1663)</f>
        <v/>
      </c>
      <c r="N1663" s="12">
        <f>IF('Data Entry'!A1663="","",IF($L1663="","New item",IF($L1663&gt;0,"UP",IF($L1663&lt;0,"down","same"))))</f>
        <v/>
      </c>
    </row>
    <row r="1664">
      <c r="A1664" s="11">
        <f>IF('Data Entry'!A1664="","",'Data Entry'!A1664)</f>
        <v/>
      </c>
      <c r="B1664" s="12">
        <f>IF('Data Entry'!A1664="","",'Data Entry'!B1664)</f>
        <v/>
      </c>
      <c r="C1664" s="12">
        <f>IF('Data Entry'!A1664="","",'Data Entry'!C1664)</f>
        <v/>
      </c>
      <c r="D1664" s="12">
        <f>IF('Data Entry'!A1664="","",'Data Entry'!D1664)</f>
        <v/>
      </c>
      <c r="E1664" s="12">
        <f>IF('Data Entry'!A1664="","",'Data Entry'!E1664)</f>
        <v/>
      </c>
      <c r="F1664" s="12">
        <f>IF('Data Entry'!A1664="","",'Data Entry'!F1664)</f>
        <v/>
      </c>
      <c r="G1664" s="13">
        <f>IF('Data Entry'!A1664="","",'Data Entry'!G1664)</f>
        <v/>
      </c>
      <c r="H1664" s="10">
        <f>IF('Data Entry'!A1664="","",'Data Entry'!H1664)</f>
        <v/>
      </c>
      <c r="I1664" s="10">
        <f>IF('Data Entry'!A1664="","",'Data Entry'!I1664)</f>
        <v/>
      </c>
      <c r="J1664" s="12">
        <f>IF('Data Entry'!A1664="","",IF('Data Entry'!D1664&lt;&gt;"",'Data Entry'!D1664,'Data Entry'!E1664))</f>
        <v/>
      </c>
      <c r="K1664" s="10">
        <f>IF('Data Entry'!A1664="","",IFERROR(SUMIFS($H$5:$H$2001,$J$5:$J$2001,$J1664,$B$5:$B$2001,$B1664,$A$5:$A$2001,(MAXIFS($A$5:$A$2001,$J$5:$J$2001,$J1664,$B$5:$B$2001,$B1664,$A$5:$A$2001,"&lt;"&amp;$A1664))),""))</f>
        <v/>
      </c>
      <c r="L1664" s="14">
        <f>IF(OR('Data Entry'!A1664="",$K1664=""),"",$H1664-$K1664)</f>
        <v/>
      </c>
      <c r="M1664" s="15">
        <f>IF(OR('Data Entry'!A1664="",$K1664="",$K1664=0),"",$L1664/$K1664)</f>
        <v/>
      </c>
      <c r="N1664" s="12">
        <f>IF('Data Entry'!A1664="","",IF($L1664="","New item",IF($L1664&gt;0,"UP",IF($L1664&lt;0,"down","same"))))</f>
        <v/>
      </c>
    </row>
    <row r="1665">
      <c r="A1665" s="11">
        <f>IF('Data Entry'!A1665="","",'Data Entry'!A1665)</f>
        <v/>
      </c>
      <c r="B1665" s="12">
        <f>IF('Data Entry'!A1665="","",'Data Entry'!B1665)</f>
        <v/>
      </c>
      <c r="C1665" s="12">
        <f>IF('Data Entry'!A1665="","",'Data Entry'!C1665)</f>
        <v/>
      </c>
      <c r="D1665" s="12">
        <f>IF('Data Entry'!A1665="","",'Data Entry'!D1665)</f>
        <v/>
      </c>
      <c r="E1665" s="12">
        <f>IF('Data Entry'!A1665="","",'Data Entry'!E1665)</f>
        <v/>
      </c>
      <c r="F1665" s="12">
        <f>IF('Data Entry'!A1665="","",'Data Entry'!F1665)</f>
        <v/>
      </c>
      <c r="G1665" s="13">
        <f>IF('Data Entry'!A1665="","",'Data Entry'!G1665)</f>
        <v/>
      </c>
      <c r="H1665" s="10">
        <f>IF('Data Entry'!A1665="","",'Data Entry'!H1665)</f>
        <v/>
      </c>
      <c r="I1665" s="10">
        <f>IF('Data Entry'!A1665="","",'Data Entry'!I1665)</f>
        <v/>
      </c>
      <c r="J1665" s="12">
        <f>IF('Data Entry'!A1665="","",IF('Data Entry'!D1665&lt;&gt;"",'Data Entry'!D1665,'Data Entry'!E1665))</f>
        <v/>
      </c>
      <c r="K1665" s="10">
        <f>IF('Data Entry'!A1665="","",IFERROR(SUMIFS($H$5:$H$2001,$J$5:$J$2001,$J1665,$B$5:$B$2001,$B1665,$A$5:$A$2001,(MAXIFS($A$5:$A$2001,$J$5:$J$2001,$J1665,$B$5:$B$2001,$B1665,$A$5:$A$2001,"&lt;"&amp;$A1665))),""))</f>
        <v/>
      </c>
      <c r="L1665" s="14">
        <f>IF(OR('Data Entry'!A1665="",$K1665=""),"",$H1665-$K1665)</f>
        <v/>
      </c>
      <c r="M1665" s="15">
        <f>IF(OR('Data Entry'!A1665="",$K1665="",$K1665=0),"",$L1665/$K1665)</f>
        <v/>
      </c>
      <c r="N1665" s="12">
        <f>IF('Data Entry'!A1665="","",IF($L1665="","New item",IF($L1665&gt;0,"UP",IF($L1665&lt;0,"down","same"))))</f>
        <v/>
      </c>
    </row>
    <row r="1666">
      <c r="A1666" s="11">
        <f>IF('Data Entry'!A1666="","",'Data Entry'!A1666)</f>
        <v/>
      </c>
      <c r="B1666" s="12">
        <f>IF('Data Entry'!A1666="","",'Data Entry'!B1666)</f>
        <v/>
      </c>
      <c r="C1666" s="12">
        <f>IF('Data Entry'!A1666="","",'Data Entry'!C1666)</f>
        <v/>
      </c>
      <c r="D1666" s="12">
        <f>IF('Data Entry'!A1666="","",'Data Entry'!D1666)</f>
        <v/>
      </c>
      <c r="E1666" s="12">
        <f>IF('Data Entry'!A1666="","",'Data Entry'!E1666)</f>
        <v/>
      </c>
      <c r="F1666" s="12">
        <f>IF('Data Entry'!A1666="","",'Data Entry'!F1666)</f>
        <v/>
      </c>
      <c r="G1666" s="13">
        <f>IF('Data Entry'!A1666="","",'Data Entry'!G1666)</f>
        <v/>
      </c>
      <c r="H1666" s="10">
        <f>IF('Data Entry'!A1666="","",'Data Entry'!H1666)</f>
        <v/>
      </c>
      <c r="I1666" s="10">
        <f>IF('Data Entry'!A1666="","",'Data Entry'!I1666)</f>
        <v/>
      </c>
      <c r="J1666" s="12">
        <f>IF('Data Entry'!A1666="","",IF('Data Entry'!D1666&lt;&gt;"",'Data Entry'!D1666,'Data Entry'!E1666))</f>
        <v/>
      </c>
      <c r="K1666" s="10">
        <f>IF('Data Entry'!A1666="","",IFERROR(SUMIFS($H$5:$H$2001,$J$5:$J$2001,$J1666,$B$5:$B$2001,$B1666,$A$5:$A$2001,(MAXIFS($A$5:$A$2001,$J$5:$J$2001,$J1666,$B$5:$B$2001,$B1666,$A$5:$A$2001,"&lt;"&amp;$A1666))),""))</f>
        <v/>
      </c>
      <c r="L1666" s="14">
        <f>IF(OR('Data Entry'!A1666="",$K1666=""),"",$H1666-$K1666)</f>
        <v/>
      </c>
      <c r="M1666" s="15">
        <f>IF(OR('Data Entry'!A1666="",$K1666="",$K1666=0),"",$L1666/$K1666)</f>
        <v/>
      </c>
      <c r="N1666" s="12">
        <f>IF('Data Entry'!A1666="","",IF($L1666="","New item",IF($L1666&gt;0,"UP",IF($L1666&lt;0,"down","same"))))</f>
        <v/>
      </c>
    </row>
    <row r="1667">
      <c r="A1667" s="11">
        <f>IF('Data Entry'!A1667="","",'Data Entry'!A1667)</f>
        <v/>
      </c>
      <c r="B1667" s="12">
        <f>IF('Data Entry'!A1667="","",'Data Entry'!B1667)</f>
        <v/>
      </c>
      <c r="C1667" s="12">
        <f>IF('Data Entry'!A1667="","",'Data Entry'!C1667)</f>
        <v/>
      </c>
      <c r="D1667" s="12">
        <f>IF('Data Entry'!A1667="","",'Data Entry'!D1667)</f>
        <v/>
      </c>
      <c r="E1667" s="12">
        <f>IF('Data Entry'!A1667="","",'Data Entry'!E1667)</f>
        <v/>
      </c>
      <c r="F1667" s="12">
        <f>IF('Data Entry'!A1667="","",'Data Entry'!F1667)</f>
        <v/>
      </c>
      <c r="G1667" s="13">
        <f>IF('Data Entry'!A1667="","",'Data Entry'!G1667)</f>
        <v/>
      </c>
      <c r="H1667" s="10">
        <f>IF('Data Entry'!A1667="","",'Data Entry'!H1667)</f>
        <v/>
      </c>
      <c r="I1667" s="10">
        <f>IF('Data Entry'!A1667="","",'Data Entry'!I1667)</f>
        <v/>
      </c>
      <c r="J1667" s="12">
        <f>IF('Data Entry'!A1667="","",IF('Data Entry'!D1667&lt;&gt;"",'Data Entry'!D1667,'Data Entry'!E1667))</f>
        <v/>
      </c>
      <c r="K1667" s="10">
        <f>IF('Data Entry'!A1667="","",IFERROR(SUMIFS($H$5:$H$2001,$J$5:$J$2001,$J1667,$B$5:$B$2001,$B1667,$A$5:$A$2001,(MAXIFS($A$5:$A$2001,$J$5:$J$2001,$J1667,$B$5:$B$2001,$B1667,$A$5:$A$2001,"&lt;"&amp;$A1667))),""))</f>
        <v/>
      </c>
      <c r="L1667" s="14">
        <f>IF(OR('Data Entry'!A1667="",$K1667=""),"",$H1667-$K1667)</f>
        <v/>
      </c>
      <c r="M1667" s="15">
        <f>IF(OR('Data Entry'!A1667="",$K1667="",$K1667=0),"",$L1667/$K1667)</f>
        <v/>
      </c>
      <c r="N1667" s="12">
        <f>IF('Data Entry'!A1667="","",IF($L1667="","New item",IF($L1667&gt;0,"UP",IF($L1667&lt;0,"down","same"))))</f>
        <v/>
      </c>
    </row>
    <row r="1668">
      <c r="A1668" s="11">
        <f>IF('Data Entry'!A1668="","",'Data Entry'!A1668)</f>
        <v/>
      </c>
      <c r="B1668" s="12">
        <f>IF('Data Entry'!A1668="","",'Data Entry'!B1668)</f>
        <v/>
      </c>
      <c r="C1668" s="12">
        <f>IF('Data Entry'!A1668="","",'Data Entry'!C1668)</f>
        <v/>
      </c>
      <c r="D1668" s="12">
        <f>IF('Data Entry'!A1668="","",'Data Entry'!D1668)</f>
        <v/>
      </c>
      <c r="E1668" s="12">
        <f>IF('Data Entry'!A1668="","",'Data Entry'!E1668)</f>
        <v/>
      </c>
      <c r="F1668" s="12">
        <f>IF('Data Entry'!A1668="","",'Data Entry'!F1668)</f>
        <v/>
      </c>
      <c r="G1668" s="13">
        <f>IF('Data Entry'!A1668="","",'Data Entry'!G1668)</f>
        <v/>
      </c>
      <c r="H1668" s="10">
        <f>IF('Data Entry'!A1668="","",'Data Entry'!H1668)</f>
        <v/>
      </c>
      <c r="I1668" s="10">
        <f>IF('Data Entry'!A1668="","",'Data Entry'!I1668)</f>
        <v/>
      </c>
      <c r="J1668" s="12">
        <f>IF('Data Entry'!A1668="","",IF('Data Entry'!D1668&lt;&gt;"",'Data Entry'!D1668,'Data Entry'!E1668))</f>
        <v/>
      </c>
      <c r="K1668" s="10">
        <f>IF('Data Entry'!A1668="","",IFERROR(SUMIFS($H$5:$H$2001,$J$5:$J$2001,$J1668,$B$5:$B$2001,$B1668,$A$5:$A$2001,(MAXIFS($A$5:$A$2001,$J$5:$J$2001,$J1668,$B$5:$B$2001,$B1668,$A$5:$A$2001,"&lt;"&amp;$A1668))),""))</f>
        <v/>
      </c>
      <c r="L1668" s="14">
        <f>IF(OR('Data Entry'!A1668="",$K1668=""),"",$H1668-$K1668)</f>
        <v/>
      </c>
      <c r="M1668" s="15">
        <f>IF(OR('Data Entry'!A1668="",$K1668="",$K1668=0),"",$L1668/$K1668)</f>
        <v/>
      </c>
      <c r="N1668" s="12">
        <f>IF('Data Entry'!A1668="","",IF($L1668="","New item",IF($L1668&gt;0,"UP",IF($L1668&lt;0,"down","same"))))</f>
        <v/>
      </c>
    </row>
    <row r="1669">
      <c r="A1669" s="11">
        <f>IF('Data Entry'!A1669="","",'Data Entry'!A1669)</f>
        <v/>
      </c>
      <c r="B1669" s="12">
        <f>IF('Data Entry'!A1669="","",'Data Entry'!B1669)</f>
        <v/>
      </c>
      <c r="C1669" s="12">
        <f>IF('Data Entry'!A1669="","",'Data Entry'!C1669)</f>
        <v/>
      </c>
      <c r="D1669" s="12">
        <f>IF('Data Entry'!A1669="","",'Data Entry'!D1669)</f>
        <v/>
      </c>
      <c r="E1669" s="12">
        <f>IF('Data Entry'!A1669="","",'Data Entry'!E1669)</f>
        <v/>
      </c>
      <c r="F1669" s="12">
        <f>IF('Data Entry'!A1669="","",'Data Entry'!F1669)</f>
        <v/>
      </c>
      <c r="G1669" s="13">
        <f>IF('Data Entry'!A1669="","",'Data Entry'!G1669)</f>
        <v/>
      </c>
      <c r="H1669" s="10">
        <f>IF('Data Entry'!A1669="","",'Data Entry'!H1669)</f>
        <v/>
      </c>
      <c r="I1669" s="10">
        <f>IF('Data Entry'!A1669="","",'Data Entry'!I1669)</f>
        <v/>
      </c>
      <c r="J1669" s="12">
        <f>IF('Data Entry'!A1669="","",IF('Data Entry'!D1669&lt;&gt;"",'Data Entry'!D1669,'Data Entry'!E1669))</f>
        <v/>
      </c>
      <c r="K1669" s="10">
        <f>IF('Data Entry'!A1669="","",IFERROR(SUMIFS($H$5:$H$2001,$J$5:$J$2001,$J1669,$B$5:$B$2001,$B1669,$A$5:$A$2001,(MAXIFS($A$5:$A$2001,$J$5:$J$2001,$J1669,$B$5:$B$2001,$B1669,$A$5:$A$2001,"&lt;"&amp;$A1669))),""))</f>
        <v/>
      </c>
      <c r="L1669" s="14">
        <f>IF(OR('Data Entry'!A1669="",$K1669=""),"",$H1669-$K1669)</f>
        <v/>
      </c>
      <c r="M1669" s="15">
        <f>IF(OR('Data Entry'!A1669="",$K1669="",$K1669=0),"",$L1669/$K1669)</f>
        <v/>
      </c>
      <c r="N1669" s="12">
        <f>IF('Data Entry'!A1669="","",IF($L1669="","New item",IF($L1669&gt;0,"UP",IF($L1669&lt;0,"down","same"))))</f>
        <v/>
      </c>
    </row>
    <row r="1670">
      <c r="A1670" s="11">
        <f>IF('Data Entry'!A1670="","",'Data Entry'!A1670)</f>
        <v/>
      </c>
      <c r="B1670" s="12">
        <f>IF('Data Entry'!A1670="","",'Data Entry'!B1670)</f>
        <v/>
      </c>
      <c r="C1670" s="12">
        <f>IF('Data Entry'!A1670="","",'Data Entry'!C1670)</f>
        <v/>
      </c>
      <c r="D1670" s="12">
        <f>IF('Data Entry'!A1670="","",'Data Entry'!D1670)</f>
        <v/>
      </c>
      <c r="E1670" s="12">
        <f>IF('Data Entry'!A1670="","",'Data Entry'!E1670)</f>
        <v/>
      </c>
      <c r="F1670" s="12">
        <f>IF('Data Entry'!A1670="","",'Data Entry'!F1670)</f>
        <v/>
      </c>
      <c r="G1670" s="13">
        <f>IF('Data Entry'!A1670="","",'Data Entry'!G1670)</f>
        <v/>
      </c>
      <c r="H1670" s="10">
        <f>IF('Data Entry'!A1670="","",'Data Entry'!H1670)</f>
        <v/>
      </c>
      <c r="I1670" s="10">
        <f>IF('Data Entry'!A1670="","",'Data Entry'!I1670)</f>
        <v/>
      </c>
      <c r="J1670" s="12">
        <f>IF('Data Entry'!A1670="","",IF('Data Entry'!D1670&lt;&gt;"",'Data Entry'!D1670,'Data Entry'!E1670))</f>
        <v/>
      </c>
      <c r="K1670" s="10">
        <f>IF('Data Entry'!A1670="","",IFERROR(SUMIFS($H$5:$H$2001,$J$5:$J$2001,$J1670,$B$5:$B$2001,$B1670,$A$5:$A$2001,(MAXIFS($A$5:$A$2001,$J$5:$J$2001,$J1670,$B$5:$B$2001,$B1670,$A$5:$A$2001,"&lt;"&amp;$A1670))),""))</f>
        <v/>
      </c>
      <c r="L1670" s="14">
        <f>IF(OR('Data Entry'!A1670="",$K1670=""),"",$H1670-$K1670)</f>
        <v/>
      </c>
      <c r="M1670" s="15">
        <f>IF(OR('Data Entry'!A1670="",$K1670="",$K1670=0),"",$L1670/$K1670)</f>
        <v/>
      </c>
      <c r="N1670" s="12">
        <f>IF('Data Entry'!A1670="","",IF($L1670="","New item",IF($L1670&gt;0,"UP",IF($L1670&lt;0,"down","same"))))</f>
        <v/>
      </c>
    </row>
    <row r="1671">
      <c r="A1671" s="11">
        <f>IF('Data Entry'!A1671="","",'Data Entry'!A1671)</f>
        <v/>
      </c>
      <c r="B1671" s="12">
        <f>IF('Data Entry'!A1671="","",'Data Entry'!B1671)</f>
        <v/>
      </c>
      <c r="C1671" s="12">
        <f>IF('Data Entry'!A1671="","",'Data Entry'!C1671)</f>
        <v/>
      </c>
      <c r="D1671" s="12">
        <f>IF('Data Entry'!A1671="","",'Data Entry'!D1671)</f>
        <v/>
      </c>
      <c r="E1671" s="12">
        <f>IF('Data Entry'!A1671="","",'Data Entry'!E1671)</f>
        <v/>
      </c>
      <c r="F1671" s="12">
        <f>IF('Data Entry'!A1671="","",'Data Entry'!F1671)</f>
        <v/>
      </c>
      <c r="G1671" s="13">
        <f>IF('Data Entry'!A1671="","",'Data Entry'!G1671)</f>
        <v/>
      </c>
      <c r="H1671" s="10">
        <f>IF('Data Entry'!A1671="","",'Data Entry'!H1671)</f>
        <v/>
      </c>
      <c r="I1671" s="10">
        <f>IF('Data Entry'!A1671="","",'Data Entry'!I1671)</f>
        <v/>
      </c>
      <c r="J1671" s="12">
        <f>IF('Data Entry'!A1671="","",IF('Data Entry'!D1671&lt;&gt;"",'Data Entry'!D1671,'Data Entry'!E1671))</f>
        <v/>
      </c>
      <c r="K1671" s="10">
        <f>IF('Data Entry'!A1671="","",IFERROR(SUMIFS($H$5:$H$2001,$J$5:$J$2001,$J1671,$B$5:$B$2001,$B1671,$A$5:$A$2001,(MAXIFS($A$5:$A$2001,$J$5:$J$2001,$J1671,$B$5:$B$2001,$B1671,$A$5:$A$2001,"&lt;"&amp;$A1671))),""))</f>
        <v/>
      </c>
      <c r="L1671" s="14">
        <f>IF(OR('Data Entry'!A1671="",$K1671=""),"",$H1671-$K1671)</f>
        <v/>
      </c>
      <c r="M1671" s="15">
        <f>IF(OR('Data Entry'!A1671="",$K1671="",$K1671=0),"",$L1671/$K1671)</f>
        <v/>
      </c>
      <c r="N1671" s="12">
        <f>IF('Data Entry'!A1671="","",IF($L1671="","New item",IF($L1671&gt;0,"UP",IF($L1671&lt;0,"down","same"))))</f>
        <v/>
      </c>
    </row>
    <row r="1672">
      <c r="A1672" s="11">
        <f>IF('Data Entry'!A1672="","",'Data Entry'!A1672)</f>
        <v/>
      </c>
      <c r="B1672" s="12">
        <f>IF('Data Entry'!A1672="","",'Data Entry'!B1672)</f>
        <v/>
      </c>
      <c r="C1672" s="12">
        <f>IF('Data Entry'!A1672="","",'Data Entry'!C1672)</f>
        <v/>
      </c>
      <c r="D1672" s="12">
        <f>IF('Data Entry'!A1672="","",'Data Entry'!D1672)</f>
        <v/>
      </c>
      <c r="E1672" s="12">
        <f>IF('Data Entry'!A1672="","",'Data Entry'!E1672)</f>
        <v/>
      </c>
      <c r="F1672" s="12">
        <f>IF('Data Entry'!A1672="","",'Data Entry'!F1672)</f>
        <v/>
      </c>
      <c r="G1672" s="13">
        <f>IF('Data Entry'!A1672="","",'Data Entry'!G1672)</f>
        <v/>
      </c>
      <c r="H1672" s="10">
        <f>IF('Data Entry'!A1672="","",'Data Entry'!H1672)</f>
        <v/>
      </c>
      <c r="I1672" s="10">
        <f>IF('Data Entry'!A1672="","",'Data Entry'!I1672)</f>
        <v/>
      </c>
      <c r="J1672" s="12">
        <f>IF('Data Entry'!A1672="","",IF('Data Entry'!D1672&lt;&gt;"",'Data Entry'!D1672,'Data Entry'!E1672))</f>
        <v/>
      </c>
      <c r="K1672" s="10">
        <f>IF('Data Entry'!A1672="","",IFERROR(SUMIFS($H$5:$H$2001,$J$5:$J$2001,$J1672,$B$5:$B$2001,$B1672,$A$5:$A$2001,(MAXIFS($A$5:$A$2001,$J$5:$J$2001,$J1672,$B$5:$B$2001,$B1672,$A$5:$A$2001,"&lt;"&amp;$A1672))),""))</f>
        <v/>
      </c>
      <c r="L1672" s="14">
        <f>IF(OR('Data Entry'!A1672="",$K1672=""),"",$H1672-$K1672)</f>
        <v/>
      </c>
      <c r="M1672" s="15">
        <f>IF(OR('Data Entry'!A1672="",$K1672="",$K1672=0),"",$L1672/$K1672)</f>
        <v/>
      </c>
      <c r="N1672" s="12">
        <f>IF('Data Entry'!A1672="","",IF($L1672="","New item",IF($L1672&gt;0,"UP",IF($L1672&lt;0,"down","same"))))</f>
        <v/>
      </c>
    </row>
    <row r="1673">
      <c r="A1673" s="11">
        <f>IF('Data Entry'!A1673="","",'Data Entry'!A1673)</f>
        <v/>
      </c>
      <c r="B1673" s="12">
        <f>IF('Data Entry'!A1673="","",'Data Entry'!B1673)</f>
        <v/>
      </c>
      <c r="C1673" s="12">
        <f>IF('Data Entry'!A1673="","",'Data Entry'!C1673)</f>
        <v/>
      </c>
      <c r="D1673" s="12">
        <f>IF('Data Entry'!A1673="","",'Data Entry'!D1673)</f>
        <v/>
      </c>
      <c r="E1673" s="12">
        <f>IF('Data Entry'!A1673="","",'Data Entry'!E1673)</f>
        <v/>
      </c>
      <c r="F1673" s="12">
        <f>IF('Data Entry'!A1673="","",'Data Entry'!F1673)</f>
        <v/>
      </c>
      <c r="G1673" s="13">
        <f>IF('Data Entry'!A1673="","",'Data Entry'!G1673)</f>
        <v/>
      </c>
      <c r="H1673" s="10">
        <f>IF('Data Entry'!A1673="","",'Data Entry'!H1673)</f>
        <v/>
      </c>
      <c r="I1673" s="10">
        <f>IF('Data Entry'!A1673="","",'Data Entry'!I1673)</f>
        <v/>
      </c>
      <c r="J1673" s="12">
        <f>IF('Data Entry'!A1673="","",IF('Data Entry'!D1673&lt;&gt;"",'Data Entry'!D1673,'Data Entry'!E1673))</f>
        <v/>
      </c>
      <c r="K1673" s="10">
        <f>IF('Data Entry'!A1673="","",IFERROR(SUMIFS($H$5:$H$2001,$J$5:$J$2001,$J1673,$B$5:$B$2001,$B1673,$A$5:$A$2001,(MAXIFS($A$5:$A$2001,$J$5:$J$2001,$J1673,$B$5:$B$2001,$B1673,$A$5:$A$2001,"&lt;"&amp;$A1673))),""))</f>
        <v/>
      </c>
      <c r="L1673" s="14">
        <f>IF(OR('Data Entry'!A1673="",$K1673=""),"",$H1673-$K1673)</f>
        <v/>
      </c>
      <c r="M1673" s="15">
        <f>IF(OR('Data Entry'!A1673="",$K1673="",$K1673=0),"",$L1673/$K1673)</f>
        <v/>
      </c>
      <c r="N1673" s="12">
        <f>IF('Data Entry'!A1673="","",IF($L1673="","New item",IF($L1673&gt;0,"UP",IF($L1673&lt;0,"down","same"))))</f>
        <v/>
      </c>
    </row>
    <row r="1674">
      <c r="A1674" s="11">
        <f>IF('Data Entry'!A1674="","",'Data Entry'!A1674)</f>
        <v/>
      </c>
      <c r="B1674" s="12">
        <f>IF('Data Entry'!A1674="","",'Data Entry'!B1674)</f>
        <v/>
      </c>
      <c r="C1674" s="12">
        <f>IF('Data Entry'!A1674="","",'Data Entry'!C1674)</f>
        <v/>
      </c>
      <c r="D1674" s="12">
        <f>IF('Data Entry'!A1674="","",'Data Entry'!D1674)</f>
        <v/>
      </c>
      <c r="E1674" s="12">
        <f>IF('Data Entry'!A1674="","",'Data Entry'!E1674)</f>
        <v/>
      </c>
      <c r="F1674" s="12">
        <f>IF('Data Entry'!A1674="","",'Data Entry'!F1674)</f>
        <v/>
      </c>
      <c r="G1674" s="13">
        <f>IF('Data Entry'!A1674="","",'Data Entry'!G1674)</f>
        <v/>
      </c>
      <c r="H1674" s="10">
        <f>IF('Data Entry'!A1674="","",'Data Entry'!H1674)</f>
        <v/>
      </c>
      <c r="I1674" s="10">
        <f>IF('Data Entry'!A1674="","",'Data Entry'!I1674)</f>
        <v/>
      </c>
      <c r="J1674" s="12">
        <f>IF('Data Entry'!A1674="","",IF('Data Entry'!D1674&lt;&gt;"",'Data Entry'!D1674,'Data Entry'!E1674))</f>
        <v/>
      </c>
      <c r="K1674" s="10">
        <f>IF('Data Entry'!A1674="","",IFERROR(SUMIFS($H$5:$H$2001,$J$5:$J$2001,$J1674,$B$5:$B$2001,$B1674,$A$5:$A$2001,(MAXIFS($A$5:$A$2001,$J$5:$J$2001,$J1674,$B$5:$B$2001,$B1674,$A$5:$A$2001,"&lt;"&amp;$A1674))),""))</f>
        <v/>
      </c>
      <c r="L1674" s="14">
        <f>IF(OR('Data Entry'!A1674="",$K1674=""),"",$H1674-$K1674)</f>
        <v/>
      </c>
      <c r="M1674" s="15">
        <f>IF(OR('Data Entry'!A1674="",$K1674="",$K1674=0),"",$L1674/$K1674)</f>
        <v/>
      </c>
      <c r="N1674" s="12">
        <f>IF('Data Entry'!A1674="","",IF($L1674="","New item",IF($L1674&gt;0,"UP",IF($L1674&lt;0,"down","same"))))</f>
        <v/>
      </c>
    </row>
    <row r="1675">
      <c r="A1675" s="11">
        <f>IF('Data Entry'!A1675="","",'Data Entry'!A1675)</f>
        <v/>
      </c>
      <c r="B1675" s="12">
        <f>IF('Data Entry'!A1675="","",'Data Entry'!B1675)</f>
        <v/>
      </c>
      <c r="C1675" s="12">
        <f>IF('Data Entry'!A1675="","",'Data Entry'!C1675)</f>
        <v/>
      </c>
      <c r="D1675" s="12">
        <f>IF('Data Entry'!A1675="","",'Data Entry'!D1675)</f>
        <v/>
      </c>
      <c r="E1675" s="12">
        <f>IF('Data Entry'!A1675="","",'Data Entry'!E1675)</f>
        <v/>
      </c>
      <c r="F1675" s="12">
        <f>IF('Data Entry'!A1675="","",'Data Entry'!F1675)</f>
        <v/>
      </c>
      <c r="G1675" s="13">
        <f>IF('Data Entry'!A1675="","",'Data Entry'!G1675)</f>
        <v/>
      </c>
      <c r="H1675" s="10">
        <f>IF('Data Entry'!A1675="","",'Data Entry'!H1675)</f>
        <v/>
      </c>
      <c r="I1675" s="10">
        <f>IF('Data Entry'!A1675="","",'Data Entry'!I1675)</f>
        <v/>
      </c>
      <c r="J1675" s="12">
        <f>IF('Data Entry'!A1675="","",IF('Data Entry'!D1675&lt;&gt;"",'Data Entry'!D1675,'Data Entry'!E1675))</f>
        <v/>
      </c>
      <c r="K1675" s="10">
        <f>IF('Data Entry'!A1675="","",IFERROR(SUMIFS($H$5:$H$2001,$J$5:$J$2001,$J1675,$B$5:$B$2001,$B1675,$A$5:$A$2001,(MAXIFS($A$5:$A$2001,$J$5:$J$2001,$J1675,$B$5:$B$2001,$B1675,$A$5:$A$2001,"&lt;"&amp;$A1675))),""))</f>
        <v/>
      </c>
      <c r="L1675" s="14">
        <f>IF(OR('Data Entry'!A1675="",$K1675=""),"",$H1675-$K1675)</f>
        <v/>
      </c>
      <c r="M1675" s="15">
        <f>IF(OR('Data Entry'!A1675="",$K1675="",$K1675=0),"",$L1675/$K1675)</f>
        <v/>
      </c>
      <c r="N1675" s="12">
        <f>IF('Data Entry'!A1675="","",IF($L1675="","New item",IF($L1675&gt;0,"UP",IF($L1675&lt;0,"down","same"))))</f>
        <v/>
      </c>
    </row>
    <row r="1676">
      <c r="A1676" s="11">
        <f>IF('Data Entry'!A1676="","",'Data Entry'!A1676)</f>
        <v/>
      </c>
      <c r="B1676" s="12">
        <f>IF('Data Entry'!A1676="","",'Data Entry'!B1676)</f>
        <v/>
      </c>
      <c r="C1676" s="12">
        <f>IF('Data Entry'!A1676="","",'Data Entry'!C1676)</f>
        <v/>
      </c>
      <c r="D1676" s="12">
        <f>IF('Data Entry'!A1676="","",'Data Entry'!D1676)</f>
        <v/>
      </c>
      <c r="E1676" s="12">
        <f>IF('Data Entry'!A1676="","",'Data Entry'!E1676)</f>
        <v/>
      </c>
      <c r="F1676" s="12">
        <f>IF('Data Entry'!A1676="","",'Data Entry'!F1676)</f>
        <v/>
      </c>
      <c r="G1676" s="13">
        <f>IF('Data Entry'!A1676="","",'Data Entry'!G1676)</f>
        <v/>
      </c>
      <c r="H1676" s="10">
        <f>IF('Data Entry'!A1676="","",'Data Entry'!H1676)</f>
        <v/>
      </c>
      <c r="I1676" s="10">
        <f>IF('Data Entry'!A1676="","",'Data Entry'!I1676)</f>
        <v/>
      </c>
      <c r="J1676" s="12">
        <f>IF('Data Entry'!A1676="","",IF('Data Entry'!D1676&lt;&gt;"",'Data Entry'!D1676,'Data Entry'!E1676))</f>
        <v/>
      </c>
      <c r="K1676" s="10">
        <f>IF('Data Entry'!A1676="","",IFERROR(SUMIFS($H$5:$H$2001,$J$5:$J$2001,$J1676,$B$5:$B$2001,$B1676,$A$5:$A$2001,(MAXIFS($A$5:$A$2001,$J$5:$J$2001,$J1676,$B$5:$B$2001,$B1676,$A$5:$A$2001,"&lt;"&amp;$A1676))),""))</f>
        <v/>
      </c>
      <c r="L1676" s="14">
        <f>IF(OR('Data Entry'!A1676="",$K1676=""),"",$H1676-$K1676)</f>
        <v/>
      </c>
      <c r="M1676" s="15">
        <f>IF(OR('Data Entry'!A1676="",$K1676="",$K1676=0),"",$L1676/$K1676)</f>
        <v/>
      </c>
      <c r="N1676" s="12">
        <f>IF('Data Entry'!A1676="","",IF($L1676="","New item",IF($L1676&gt;0,"UP",IF($L1676&lt;0,"down","same"))))</f>
        <v/>
      </c>
    </row>
    <row r="1677">
      <c r="A1677" s="11">
        <f>IF('Data Entry'!A1677="","",'Data Entry'!A1677)</f>
        <v/>
      </c>
      <c r="B1677" s="12">
        <f>IF('Data Entry'!A1677="","",'Data Entry'!B1677)</f>
        <v/>
      </c>
      <c r="C1677" s="12">
        <f>IF('Data Entry'!A1677="","",'Data Entry'!C1677)</f>
        <v/>
      </c>
      <c r="D1677" s="12">
        <f>IF('Data Entry'!A1677="","",'Data Entry'!D1677)</f>
        <v/>
      </c>
      <c r="E1677" s="12">
        <f>IF('Data Entry'!A1677="","",'Data Entry'!E1677)</f>
        <v/>
      </c>
      <c r="F1677" s="12">
        <f>IF('Data Entry'!A1677="","",'Data Entry'!F1677)</f>
        <v/>
      </c>
      <c r="G1677" s="13">
        <f>IF('Data Entry'!A1677="","",'Data Entry'!G1677)</f>
        <v/>
      </c>
      <c r="H1677" s="10">
        <f>IF('Data Entry'!A1677="","",'Data Entry'!H1677)</f>
        <v/>
      </c>
      <c r="I1677" s="10">
        <f>IF('Data Entry'!A1677="","",'Data Entry'!I1677)</f>
        <v/>
      </c>
      <c r="J1677" s="12">
        <f>IF('Data Entry'!A1677="","",IF('Data Entry'!D1677&lt;&gt;"",'Data Entry'!D1677,'Data Entry'!E1677))</f>
        <v/>
      </c>
      <c r="K1677" s="10">
        <f>IF('Data Entry'!A1677="","",IFERROR(SUMIFS($H$5:$H$2001,$J$5:$J$2001,$J1677,$B$5:$B$2001,$B1677,$A$5:$A$2001,(MAXIFS($A$5:$A$2001,$J$5:$J$2001,$J1677,$B$5:$B$2001,$B1677,$A$5:$A$2001,"&lt;"&amp;$A1677))),""))</f>
        <v/>
      </c>
      <c r="L1677" s="14">
        <f>IF(OR('Data Entry'!A1677="",$K1677=""),"",$H1677-$K1677)</f>
        <v/>
      </c>
      <c r="M1677" s="15">
        <f>IF(OR('Data Entry'!A1677="",$K1677="",$K1677=0),"",$L1677/$K1677)</f>
        <v/>
      </c>
      <c r="N1677" s="12">
        <f>IF('Data Entry'!A1677="","",IF($L1677="","New item",IF($L1677&gt;0,"UP",IF($L1677&lt;0,"down","same"))))</f>
        <v/>
      </c>
    </row>
    <row r="1678">
      <c r="A1678" s="11">
        <f>IF('Data Entry'!A1678="","",'Data Entry'!A1678)</f>
        <v/>
      </c>
      <c r="B1678" s="12">
        <f>IF('Data Entry'!A1678="","",'Data Entry'!B1678)</f>
        <v/>
      </c>
      <c r="C1678" s="12">
        <f>IF('Data Entry'!A1678="","",'Data Entry'!C1678)</f>
        <v/>
      </c>
      <c r="D1678" s="12">
        <f>IF('Data Entry'!A1678="","",'Data Entry'!D1678)</f>
        <v/>
      </c>
      <c r="E1678" s="12">
        <f>IF('Data Entry'!A1678="","",'Data Entry'!E1678)</f>
        <v/>
      </c>
      <c r="F1678" s="12">
        <f>IF('Data Entry'!A1678="","",'Data Entry'!F1678)</f>
        <v/>
      </c>
      <c r="G1678" s="13">
        <f>IF('Data Entry'!A1678="","",'Data Entry'!G1678)</f>
        <v/>
      </c>
      <c r="H1678" s="10">
        <f>IF('Data Entry'!A1678="","",'Data Entry'!H1678)</f>
        <v/>
      </c>
      <c r="I1678" s="10">
        <f>IF('Data Entry'!A1678="","",'Data Entry'!I1678)</f>
        <v/>
      </c>
      <c r="J1678" s="12">
        <f>IF('Data Entry'!A1678="","",IF('Data Entry'!D1678&lt;&gt;"",'Data Entry'!D1678,'Data Entry'!E1678))</f>
        <v/>
      </c>
      <c r="K1678" s="10">
        <f>IF('Data Entry'!A1678="","",IFERROR(SUMIFS($H$5:$H$2001,$J$5:$J$2001,$J1678,$B$5:$B$2001,$B1678,$A$5:$A$2001,(MAXIFS($A$5:$A$2001,$J$5:$J$2001,$J1678,$B$5:$B$2001,$B1678,$A$5:$A$2001,"&lt;"&amp;$A1678))),""))</f>
        <v/>
      </c>
      <c r="L1678" s="14">
        <f>IF(OR('Data Entry'!A1678="",$K1678=""),"",$H1678-$K1678)</f>
        <v/>
      </c>
      <c r="M1678" s="15">
        <f>IF(OR('Data Entry'!A1678="",$K1678="",$K1678=0),"",$L1678/$K1678)</f>
        <v/>
      </c>
      <c r="N1678" s="12">
        <f>IF('Data Entry'!A1678="","",IF($L1678="","New item",IF($L1678&gt;0,"UP",IF($L1678&lt;0,"down","same"))))</f>
        <v/>
      </c>
    </row>
    <row r="1679">
      <c r="A1679" s="11">
        <f>IF('Data Entry'!A1679="","",'Data Entry'!A1679)</f>
        <v/>
      </c>
      <c r="B1679" s="12">
        <f>IF('Data Entry'!A1679="","",'Data Entry'!B1679)</f>
        <v/>
      </c>
      <c r="C1679" s="12">
        <f>IF('Data Entry'!A1679="","",'Data Entry'!C1679)</f>
        <v/>
      </c>
      <c r="D1679" s="12">
        <f>IF('Data Entry'!A1679="","",'Data Entry'!D1679)</f>
        <v/>
      </c>
      <c r="E1679" s="12">
        <f>IF('Data Entry'!A1679="","",'Data Entry'!E1679)</f>
        <v/>
      </c>
      <c r="F1679" s="12">
        <f>IF('Data Entry'!A1679="","",'Data Entry'!F1679)</f>
        <v/>
      </c>
      <c r="G1679" s="13">
        <f>IF('Data Entry'!A1679="","",'Data Entry'!G1679)</f>
        <v/>
      </c>
      <c r="H1679" s="10">
        <f>IF('Data Entry'!A1679="","",'Data Entry'!H1679)</f>
        <v/>
      </c>
      <c r="I1679" s="10">
        <f>IF('Data Entry'!A1679="","",'Data Entry'!I1679)</f>
        <v/>
      </c>
      <c r="J1679" s="12">
        <f>IF('Data Entry'!A1679="","",IF('Data Entry'!D1679&lt;&gt;"",'Data Entry'!D1679,'Data Entry'!E1679))</f>
        <v/>
      </c>
      <c r="K1679" s="10">
        <f>IF('Data Entry'!A1679="","",IFERROR(SUMIFS($H$5:$H$2001,$J$5:$J$2001,$J1679,$B$5:$B$2001,$B1679,$A$5:$A$2001,(MAXIFS($A$5:$A$2001,$J$5:$J$2001,$J1679,$B$5:$B$2001,$B1679,$A$5:$A$2001,"&lt;"&amp;$A1679))),""))</f>
        <v/>
      </c>
      <c r="L1679" s="14">
        <f>IF(OR('Data Entry'!A1679="",$K1679=""),"",$H1679-$K1679)</f>
        <v/>
      </c>
      <c r="M1679" s="15">
        <f>IF(OR('Data Entry'!A1679="",$K1679="",$K1679=0),"",$L1679/$K1679)</f>
        <v/>
      </c>
      <c r="N1679" s="12">
        <f>IF('Data Entry'!A1679="","",IF($L1679="","New item",IF($L1679&gt;0,"UP",IF($L1679&lt;0,"down","same"))))</f>
        <v/>
      </c>
    </row>
    <row r="1680">
      <c r="A1680" s="11">
        <f>IF('Data Entry'!A1680="","",'Data Entry'!A1680)</f>
        <v/>
      </c>
      <c r="B1680" s="12">
        <f>IF('Data Entry'!A1680="","",'Data Entry'!B1680)</f>
        <v/>
      </c>
      <c r="C1680" s="12">
        <f>IF('Data Entry'!A1680="","",'Data Entry'!C1680)</f>
        <v/>
      </c>
      <c r="D1680" s="12">
        <f>IF('Data Entry'!A1680="","",'Data Entry'!D1680)</f>
        <v/>
      </c>
      <c r="E1680" s="12">
        <f>IF('Data Entry'!A1680="","",'Data Entry'!E1680)</f>
        <v/>
      </c>
      <c r="F1680" s="12">
        <f>IF('Data Entry'!A1680="","",'Data Entry'!F1680)</f>
        <v/>
      </c>
      <c r="G1680" s="13">
        <f>IF('Data Entry'!A1680="","",'Data Entry'!G1680)</f>
        <v/>
      </c>
      <c r="H1680" s="10">
        <f>IF('Data Entry'!A1680="","",'Data Entry'!H1680)</f>
        <v/>
      </c>
      <c r="I1680" s="10">
        <f>IF('Data Entry'!A1680="","",'Data Entry'!I1680)</f>
        <v/>
      </c>
      <c r="J1680" s="12">
        <f>IF('Data Entry'!A1680="","",IF('Data Entry'!D1680&lt;&gt;"",'Data Entry'!D1680,'Data Entry'!E1680))</f>
        <v/>
      </c>
      <c r="K1680" s="10">
        <f>IF('Data Entry'!A1680="","",IFERROR(SUMIFS($H$5:$H$2001,$J$5:$J$2001,$J1680,$B$5:$B$2001,$B1680,$A$5:$A$2001,(MAXIFS($A$5:$A$2001,$J$5:$J$2001,$J1680,$B$5:$B$2001,$B1680,$A$5:$A$2001,"&lt;"&amp;$A1680))),""))</f>
        <v/>
      </c>
      <c r="L1680" s="14">
        <f>IF(OR('Data Entry'!A1680="",$K1680=""),"",$H1680-$K1680)</f>
        <v/>
      </c>
      <c r="M1680" s="15">
        <f>IF(OR('Data Entry'!A1680="",$K1680="",$K1680=0),"",$L1680/$K1680)</f>
        <v/>
      </c>
      <c r="N1680" s="12">
        <f>IF('Data Entry'!A1680="","",IF($L1680="","New item",IF($L1680&gt;0,"UP",IF($L1680&lt;0,"down","same"))))</f>
        <v/>
      </c>
    </row>
    <row r="1681">
      <c r="A1681" s="11">
        <f>IF('Data Entry'!A1681="","",'Data Entry'!A1681)</f>
        <v/>
      </c>
      <c r="B1681" s="12">
        <f>IF('Data Entry'!A1681="","",'Data Entry'!B1681)</f>
        <v/>
      </c>
      <c r="C1681" s="12">
        <f>IF('Data Entry'!A1681="","",'Data Entry'!C1681)</f>
        <v/>
      </c>
      <c r="D1681" s="12">
        <f>IF('Data Entry'!A1681="","",'Data Entry'!D1681)</f>
        <v/>
      </c>
      <c r="E1681" s="12">
        <f>IF('Data Entry'!A1681="","",'Data Entry'!E1681)</f>
        <v/>
      </c>
      <c r="F1681" s="12">
        <f>IF('Data Entry'!A1681="","",'Data Entry'!F1681)</f>
        <v/>
      </c>
      <c r="G1681" s="13">
        <f>IF('Data Entry'!A1681="","",'Data Entry'!G1681)</f>
        <v/>
      </c>
      <c r="H1681" s="10">
        <f>IF('Data Entry'!A1681="","",'Data Entry'!H1681)</f>
        <v/>
      </c>
      <c r="I1681" s="10">
        <f>IF('Data Entry'!A1681="","",'Data Entry'!I1681)</f>
        <v/>
      </c>
      <c r="J1681" s="12">
        <f>IF('Data Entry'!A1681="","",IF('Data Entry'!D1681&lt;&gt;"",'Data Entry'!D1681,'Data Entry'!E1681))</f>
        <v/>
      </c>
      <c r="K1681" s="10">
        <f>IF('Data Entry'!A1681="","",IFERROR(SUMIFS($H$5:$H$2001,$J$5:$J$2001,$J1681,$B$5:$B$2001,$B1681,$A$5:$A$2001,(MAXIFS($A$5:$A$2001,$J$5:$J$2001,$J1681,$B$5:$B$2001,$B1681,$A$5:$A$2001,"&lt;"&amp;$A1681))),""))</f>
        <v/>
      </c>
      <c r="L1681" s="14">
        <f>IF(OR('Data Entry'!A1681="",$K1681=""),"",$H1681-$K1681)</f>
        <v/>
      </c>
      <c r="M1681" s="15">
        <f>IF(OR('Data Entry'!A1681="",$K1681="",$K1681=0),"",$L1681/$K1681)</f>
        <v/>
      </c>
      <c r="N1681" s="12">
        <f>IF('Data Entry'!A1681="","",IF($L1681="","New item",IF($L1681&gt;0,"UP",IF($L1681&lt;0,"down","same"))))</f>
        <v/>
      </c>
    </row>
    <row r="1682">
      <c r="A1682" s="11">
        <f>IF('Data Entry'!A1682="","",'Data Entry'!A1682)</f>
        <v/>
      </c>
      <c r="B1682" s="12">
        <f>IF('Data Entry'!A1682="","",'Data Entry'!B1682)</f>
        <v/>
      </c>
      <c r="C1682" s="12">
        <f>IF('Data Entry'!A1682="","",'Data Entry'!C1682)</f>
        <v/>
      </c>
      <c r="D1682" s="12">
        <f>IF('Data Entry'!A1682="","",'Data Entry'!D1682)</f>
        <v/>
      </c>
      <c r="E1682" s="12">
        <f>IF('Data Entry'!A1682="","",'Data Entry'!E1682)</f>
        <v/>
      </c>
      <c r="F1682" s="12">
        <f>IF('Data Entry'!A1682="","",'Data Entry'!F1682)</f>
        <v/>
      </c>
      <c r="G1682" s="13">
        <f>IF('Data Entry'!A1682="","",'Data Entry'!G1682)</f>
        <v/>
      </c>
      <c r="H1682" s="10">
        <f>IF('Data Entry'!A1682="","",'Data Entry'!H1682)</f>
        <v/>
      </c>
      <c r="I1682" s="10">
        <f>IF('Data Entry'!A1682="","",'Data Entry'!I1682)</f>
        <v/>
      </c>
      <c r="J1682" s="12">
        <f>IF('Data Entry'!A1682="","",IF('Data Entry'!D1682&lt;&gt;"",'Data Entry'!D1682,'Data Entry'!E1682))</f>
        <v/>
      </c>
      <c r="K1682" s="10">
        <f>IF('Data Entry'!A1682="","",IFERROR(SUMIFS($H$5:$H$2001,$J$5:$J$2001,$J1682,$B$5:$B$2001,$B1682,$A$5:$A$2001,(MAXIFS($A$5:$A$2001,$J$5:$J$2001,$J1682,$B$5:$B$2001,$B1682,$A$5:$A$2001,"&lt;"&amp;$A1682))),""))</f>
        <v/>
      </c>
      <c r="L1682" s="14">
        <f>IF(OR('Data Entry'!A1682="",$K1682=""),"",$H1682-$K1682)</f>
        <v/>
      </c>
      <c r="M1682" s="15">
        <f>IF(OR('Data Entry'!A1682="",$K1682="",$K1682=0),"",$L1682/$K1682)</f>
        <v/>
      </c>
      <c r="N1682" s="12">
        <f>IF('Data Entry'!A1682="","",IF($L1682="","New item",IF($L1682&gt;0,"UP",IF($L1682&lt;0,"down","same"))))</f>
        <v/>
      </c>
    </row>
    <row r="1683">
      <c r="A1683" s="11">
        <f>IF('Data Entry'!A1683="","",'Data Entry'!A1683)</f>
        <v/>
      </c>
      <c r="B1683" s="12">
        <f>IF('Data Entry'!A1683="","",'Data Entry'!B1683)</f>
        <v/>
      </c>
      <c r="C1683" s="12">
        <f>IF('Data Entry'!A1683="","",'Data Entry'!C1683)</f>
        <v/>
      </c>
      <c r="D1683" s="12">
        <f>IF('Data Entry'!A1683="","",'Data Entry'!D1683)</f>
        <v/>
      </c>
      <c r="E1683" s="12">
        <f>IF('Data Entry'!A1683="","",'Data Entry'!E1683)</f>
        <v/>
      </c>
      <c r="F1683" s="12">
        <f>IF('Data Entry'!A1683="","",'Data Entry'!F1683)</f>
        <v/>
      </c>
      <c r="G1683" s="13">
        <f>IF('Data Entry'!A1683="","",'Data Entry'!G1683)</f>
        <v/>
      </c>
      <c r="H1683" s="10">
        <f>IF('Data Entry'!A1683="","",'Data Entry'!H1683)</f>
        <v/>
      </c>
      <c r="I1683" s="10">
        <f>IF('Data Entry'!A1683="","",'Data Entry'!I1683)</f>
        <v/>
      </c>
      <c r="J1683" s="12">
        <f>IF('Data Entry'!A1683="","",IF('Data Entry'!D1683&lt;&gt;"",'Data Entry'!D1683,'Data Entry'!E1683))</f>
        <v/>
      </c>
      <c r="K1683" s="10">
        <f>IF('Data Entry'!A1683="","",IFERROR(SUMIFS($H$5:$H$2001,$J$5:$J$2001,$J1683,$B$5:$B$2001,$B1683,$A$5:$A$2001,(MAXIFS($A$5:$A$2001,$J$5:$J$2001,$J1683,$B$5:$B$2001,$B1683,$A$5:$A$2001,"&lt;"&amp;$A1683))),""))</f>
        <v/>
      </c>
      <c r="L1683" s="14">
        <f>IF(OR('Data Entry'!A1683="",$K1683=""),"",$H1683-$K1683)</f>
        <v/>
      </c>
      <c r="M1683" s="15">
        <f>IF(OR('Data Entry'!A1683="",$K1683="",$K1683=0),"",$L1683/$K1683)</f>
        <v/>
      </c>
      <c r="N1683" s="12">
        <f>IF('Data Entry'!A1683="","",IF($L1683="","New item",IF($L1683&gt;0,"UP",IF($L1683&lt;0,"down","same"))))</f>
        <v/>
      </c>
    </row>
    <row r="1684">
      <c r="A1684" s="11">
        <f>IF('Data Entry'!A1684="","",'Data Entry'!A1684)</f>
        <v/>
      </c>
      <c r="B1684" s="12">
        <f>IF('Data Entry'!A1684="","",'Data Entry'!B1684)</f>
        <v/>
      </c>
      <c r="C1684" s="12">
        <f>IF('Data Entry'!A1684="","",'Data Entry'!C1684)</f>
        <v/>
      </c>
      <c r="D1684" s="12">
        <f>IF('Data Entry'!A1684="","",'Data Entry'!D1684)</f>
        <v/>
      </c>
      <c r="E1684" s="12">
        <f>IF('Data Entry'!A1684="","",'Data Entry'!E1684)</f>
        <v/>
      </c>
      <c r="F1684" s="12">
        <f>IF('Data Entry'!A1684="","",'Data Entry'!F1684)</f>
        <v/>
      </c>
      <c r="G1684" s="13">
        <f>IF('Data Entry'!A1684="","",'Data Entry'!G1684)</f>
        <v/>
      </c>
      <c r="H1684" s="10">
        <f>IF('Data Entry'!A1684="","",'Data Entry'!H1684)</f>
        <v/>
      </c>
      <c r="I1684" s="10">
        <f>IF('Data Entry'!A1684="","",'Data Entry'!I1684)</f>
        <v/>
      </c>
      <c r="J1684" s="12">
        <f>IF('Data Entry'!A1684="","",IF('Data Entry'!D1684&lt;&gt;"",'Data Entry'!D1684,'Data Entry'!E1684))</f>
        <v/>
      </c>
      <c r="K1684" s="10">
        <f>IF('Data Entry'!A1684="","",IFERROR(SUMIFS($H$5:$H$2001,$J$5:$J$2001,$J1684,$B$5:$B$2001,$B1684,$A$5:$A$2001,(MAXIFS($A$5:$A$2001,$J$5:$J$2001,$J1684,$B$5:$B$2001,$B1684,$A$5:$A$2001,"&lt;"&amp;$A1684))),""))</f>
        <v/>
      </c>
      <c r="L1684" s="14">
        <f>IF(OR('Data Entry'!A1684="",$K1684=""),"",$H1684-$K1684)</f>
        <v/>
      </c>
      <c r="M1684" s="15">
        <f>IF(OR('Data Entry'!A1684="",$K1684="",$K1684=0),"",$L1684/$K1684)</f>
        <v/>
      </c>
      <c r="N1684" s="12">
        <f>IF('Data Entry'!A1684="","",IF($L1684="","New item",IF($L1684&gt;0,"UP",IF($L1684&lt;0,"down","same"))))</f>
        <v/>
      </c>
    </row>
    <row r="1685">
      <c r="A1685" s="11">
        <f>IF('Data Entry'!A1685="","",'Data Entry'!A1685)</f>
        <v/>
      </c>
      <c r="B1685" s="12">
        <f>IF('Data Entry'!A1685="","",'Data Entry'!B1685)</f>
        <v/>
      </c>
      <c r="C1685" s="12">
        <f>IF('Data Entry'!A1685="","",'Data Entry'!C1685)</f>
        <v/>
      </c>
      <c r="D1685" s="12">
        <f>IF('Data Entry'!A1685="","",'Data Entry'!D1685)</f>
        <v/>
      </c>
      <c r="E1685" s="12">
        <f>IF('Data Entry'!A1685="","",'Data Entry'!E1685)</f>
        <v/>
      </c>
      <c r="F1685" s="12">
        <f>IF('Data Entry'!A1685="","",'Data Entry'!F1685)</f>
        <v/>
      </c>
      <c r="G1685" s="13">
        <f>IF('Data Entry'!A1685="","",'Data Entry'!G1685)</f>
        <v/>
      </c>
      <c r="H1685" s="10">
        <f>IF('Data Entry'!A1685="","",'Data Entry'!H1685)</f>
        <v/>
      </c>
      <c r="I1685" s="10">
        <f>IF('Data Entry'!A1685="","",'Data Entry'!I1685)</f>
        <v/>
      </c>
      <c r="J1685" s="12">
        <f>IF('Data Entry'!A1685="","",IF('Data Entry'!D1685&lt;&gt;"",'Data Entry'!D1685,'Data Entry'!E1685))</f>
        <v/>
      </c>
      <c r="K1685" s="10">
        <f>IF('Data Entry'!A1685="","",IFERROR(SUMIFS($H$5:$H$2001,$J$5:$J$2001,$J1685,$B$5:$B$2001,$B1685,$A$5:$A$2001,(MAXIFS($A$5:$A$2001,$J$5:$J$2001,$J1685,$B$5:$B$2001,$B1685,$A$5:$A$2001,"&lt;"&amp;$A1685))),""))</f>
        <v/>
      </c>
      <c r="L1685" s="14">
        <f>IF(OR('Data Entry'!A1685="",$K1685=""),"",$H1685-$K1685)</f>
        <v/>
      </c>
      <c r="M1685" s="15">
        <f>IF(OR('Data Entry'!A1685="",$K1685="",$K1685=0),"",$L1685/$K1685)</f>
        <v/>
      </c>
      <c r="N1685" s="12">
        <f>IF('Data Entry'!A1685="","",IF($L1685="","New item",IF($L1685&gt;0,"UP",IF($L1685&lt;0,"down","same"))))</f>
        <v/>
      </c>
    </row>
    <row r="1686">
      <c r="A1686" s="11">
        <f>IF('Data Entry'!A1686="","",'Data Entry'!A1686)</f>
        <v/>
      </c>
      <c r="B1686" s="12">
        <f>IF('Data Entry'!A1686="","",'Data Entry'!B1686)</f>
        <v/>
      </c>
      <c r="C1686" s="12">
        <f>IF('Data Entry'!A1686="","",'Data Entry'!C1686)</f>
        <v/>
      </c>
      <c r="D1686" s="12">
        <f>IF('Data Entry'!A1686="","",'Data Entry'!D1686)</f>
        <v/>
      </c>
      <c r="E1686" s="12">
        <f>IF('Data Entry'!A1686="","",'Data Entry'!E1686)</f>
        <v/>
      </c>
      <c r="F1686" s="12">
        <f>IF('Data Entry'!A1686="","",'Data Entry'!F1686)</f>
        <v/>
      </c>
      <c r="G1686" s="13">
        <f>IF('Data Entry'!A1686="","",'Data Entry'!G1686)</f>
        <v/>
      </c>
      <c r="H1686" s="10">
        <f>IF('Data Entry'!A1686="","",'Data Entry'!H1686)</f>
        <v/>
      </c>
      <c r="I1686" s="10">
        <f>IF('Data Entry'!A1686="","",'Data Entry'!I1686)</f>
        <v/>
      </c>
      <c r="J1686" s="12">
        <f>IF('Data Entry'!A1686="","",IF('Data Entry'!D1686&lt;&gt;"",'Data Entry'!D1686,'Data Entry'!E1686))</f>
        <v/>
      </c>
      <c r="K1686" s="10">
        <f>IF('Data Entry'!A1686="","",IFERROR(SUMIFS($H$5:$H$2001,$J$5:$J$2001,$J1686,$B$5:$B$2001,$B1686,$A$5:$A$2001,(MAXIFS($A$5:$A$2001,$J$5:$J$2001,$J1686,$B$5:$B$2001,$B1686,$A$5:$A$2001,"&lt;"&amp;$A1686))),""))</f>
        <v/>
      </c>
      <c r="L1686" s="14">
        <f>IF(OR('Data Entry'!A1686="",$K1686=""),"",$H1686-$K1686)</f>
        <v/>
      </c>
      <c r="M1686" s="15">
        <f>IF(OR('Data Entry'!A1686="",$K1686="",$K1686=0),"",$L1686/$K1686)</f>
        <v/>
      </c>
      <c r="N1686" s="12">
        <f>IF('Data Entry'!A1686="","",IF($L1686="","New item",IF($L1686&gt;0,"UP",IF($L1686&lt;0,"down","same"))))</f>
        <v/>
      </c>
    </row>
    <row r="1687">
      <c r="A1687" s="11">
        <f>IF('Data Entry'!A1687="","",'Data Entry'!A1687)</f>
        <v/>
      </c>
      <c r="B1687" s="12">
        <f>IF('Data Entry'!A1687="","",'Data Entry'!B1687)</f>
        <v/>
      </c>
      <c r="C1687" s="12">
        <f>IF('Data Entry'!A1687="","",'Data Entry'!C1687)</f>
        <v/>
      </c>
      <c r="D1687" s="12">
        <f>IF('Data Entry'!A1687="","",'Data Entry'!D1687)</f>
        <v/>
      </c>
      <c r="E1687" s="12">
        <f>IF('Data Entry'!A1687="","",'Data Entry'!E1687)</f>
        <v/>
      </c>
      <c r="F1687" s="12">
        <f>IF('Data Entry'!A1687="","",'Data Entry'!F1687)</f>
        <v/>
      </c>
      <c r="G1687" s="13">
        <f>IF('Data Entry'!A1687="","",'Data Entry'!G1687)</f>
        <v/>
      </c>
      <c r="H1687" s="10">
        <f>IF('Data Entry'!A1687="","",'Data Entry'!H1687)</f>
        <v/>
      </c>
      <c r="I1687" s="10">
        <f>IF('Data Entry'!A1687="","",'Data Entry'!I1687)</f>
        <v/>
      </c>
      <c r="J1687" s="12">
        <f>IF('Data Entry'!A1687="","",IF('Data Entry'!D1687&lt;&gt;"",'Data Entry'!D1687,'Data Entry'!E1687))</f>
        <v/>
      </c>
      <c r="K1687" s="10">
        <f>IF('Data Entry'!A1687="","",IFERROR(SUMIFS($H$5:$H$2001,$J$5:$J$2001,$J1687,$B$5:$B$2001,$B1687,$A$5:$A$2001,(MAXIFS($A$5:$A$2001,$J$5:$J$2001,$J1687,$B$5:$B$2001,$B1687,$A$5:$A$2001,"&lt;"&amp;$A1687))),""))</f>
        <v/>
      </c>
      <c r="L1687" s="14">
        <f>IF(OR('Data Entry'!A1687="",$K1687=""),"",$H1687-$K1687)</f>
        <v/>
      </c>
      <c r="M1687" s="15">
        <f>IF(OR('Data Entry'!A1687="",$K1687="",$K1687=0),"",$L1687/$K1687)</f>
        <v/>
      </c>
      <c r="N1687" s="12">
        <f>IF('Data Entry'!A1687="","",IF($L1687="","New item",IF($L1687&gt;0,"UP",IF($L1687&lt;0,"down","same"))))</f>
        <v/>
      </c>
    </row>
    <row r="1688">
      <c r="A1688" s="11">
        <f>IF('Data Entry'!A1688="","",'Data Entry'!A1688)</f>
        <v/>
      </c>
      <c r="B1688" s="12">
        <f>IF('Data Entry'!A1688="","",'Data Entry'!B1688)</f>
        <v/>
      </c>
      <c r="C1688" s="12">
        <f>IF('Data Entry'!A1688="","",'Data Entry'!C1688)</f>
        <v/>
      </c>
      <c r="D1688" s="12">
        <f>IF('Data Entry'!A1688="","",'Data Entry'!D1688)</f>
        <v/>
      </c>
      <c r="E1688" s="12">
        <f>IF('Data Entry'!A1688="","",'Data Entry'!E1688)</f>
        <v/>
      </c>
      <c r="F1688" s="12">
        <f>IF('Data Entry'!A1688="","",'Data Entry'!F1688)</f>
        <v/>
      </c>
      <c r="G1688" s="13">
        <f>IF('Data Entry'!A1688="","",'Data Entry'!G1688)</f>
        <v/>
      </c>
      <c r="H1688" s="10">
        <f>IF('Data Entry'!A1688="","",'Data Entry'!H1688)</f>
        <v/>
      </c>
      <c r="I1688" s="10">
        <f>IF('Data Entry'!A1688="","",'Data Entry'!I1688)</f>
        <v/>
      </c>
      <c r="J1688" s="12">
        <f>IF('Data Entry'!A1688="","",IF('Data Entry'!D1688&lt;&gt;"",'Data Entry'!D1688,'Data Entry'!E1688))</f>
        <v/>
      </c>
      <c r="K1688" s="10">
        <f>IF('Data Entry'!A1688="","",IFERROR(SUMIFS($H$5:$H$2001,$J$5:$J$2001,$J1688,$B$5:$B$2001,$B1688,$A$5:$A$2001,(MAXIFS($A$5:$A$2001,$J$5:$J$2001,$J1688,$B$5:$B$2001,$B1688,$A$5:$A$2001,"&lt;"&amp;$A1688))),""))</f>
        <v/>
      </c>
      <c r="L1688" s="14">
        <f>IF(OR('Data Entry'!A1688="",$K1688=""),"",$H1688-$K1688)</f>
        <v/>
      </c>
      <c r="M1688" s="15">
        <f>IF(OR('Data Entry'!A1688="",$K1688="",$K1688=0),"",$L1688/$K1688)</f>
        <v/>
      </c>
      <c r="N1688" s="12">
        <f>IF('Data Entry'!A1688="","",IF($L1688="","New item",IF($L1688&gt;0,"UP",IF($L1688&lt;0,"down","same"))))</f>
        <v/>
      </c>
    </row>
    <row r="1689">
      <c r="A1689" s="11">
        <f>IF('Data Entry'!A1689="","",'Data Entry'!A1689)</f>
        <v/>
      </c>
      <c r="B1689" s="12">
        <f>IF('Data Entry'!A1689="","",'Data Entry'!B1689)</f>
        <v/>
      </c>
      <c r="C1689" s="12">
        <f>IF('Data Entry'!A1689="","",'Data Entry'!C1689)</f>
        <v/>
      </c>
      <c r="D1689" s="12">
        <f>IF('Data Entry'!A1689="","",'Data Entry'!D1689)</f>
        <v/>
      </c>
      <c r="E1689" s="12">
        <f>IF('Data Entry'!A1689="","",'Data Entry'!E1689)</f>
        <v/>
      </c>
      <c r="F1689" s="12">
        <f>IF('Data Entry'!A1689="","",'Data Entry'!F1689)</f>
        <v/>
      </c>
      <c r="G1689" s="13">
        <f>IF('Data Entry'!A1689="","",'Data Entry'!G1689)</f>
        <v/>
      </c>
      <c r="H1689" s="10">
        <f>IF('Data Entry'!A1689="","",'Data Entry'!H1689)</f>
        <v/>
      </c>
      <c r="I1689" s="10">
        <f>IF('Data Entry'!A1689="","",'Data Entry'!I1689)</f>
        <v/>
      </c>
      <c r="J1689" s="12">
        <f>IF('Data Entry'!A1689="","",IF('Data Entry'!D1689&lt;&gt;"",'Data Entry'!D1689,'Data Entry'!E1689))</f>
        <v/>
      </c>
      <c r="K1689" s="10">
        <f>IF('Data Entry'!A1689="","",IFERROR(SUMIFS($H$5:$H$2001,$J$5:$J$2001,$J1689,$B$5:$B$2001,$B1689,$A$5:$A$2001,(MAXIFS($A$5:$A$2001,$J$5:$J$2001,$J1689,$B$5:$B$2001,$B1689,$A$5:$A$2001,"&lt;"&amp;$A1689))),""))</f>
        <v/>
      </c>
      <c r="L1689" s="14">
        <f>IF(OR('Data Entry'!A1689="",$K1689=""),"",$H1689-$K1689)</f>
        <v/>
      </c>
      <c r="M1689" s="15">
        <f>IF(OR('Data Entry'!A1689="",$K1689="",$K1689=0),"",$L1689/$K1689)</f>
        <v/>
      </c>
      <c r="N1689" s="12">
        <f>IF('Data Entry'!A1689="","",IF($L1689="","New item",IF($L1689&gt;0,"UP",IF($L1689&lt;0,"down","same"))))</f>
        <v/>
      </c>
    </row>
    <row r="1690">
      <c r="A1690" s="11">
        <f>IF('Data Entry'!A1690="","",'Data Entry'!A1690)</f>
        <v/>
      </c>
      <c r="B1690" s="12">
        <f>IF('Data Entry'!A1690="","",'Data Entry'!B1690)</f>
        <v/>
      </c>
      <c r="C1690" s="12">
        <f>IF('Data Entry'!A1690="","",'Data Entry'!C1690)</f>
        <v/>
      </c>
      <c r="D1690" s="12">
        <f>IF('Data Entry'!A1690="","",'Data Entry'!D1690)</f>
        <v/>
      </c>
      <c r="E1690" s="12">
        <f>IF('Data Entry'!A1690="","",'Data Entry'!E1690)</f>
        <v/>
      </c>
      <c r="F1690" s="12">
        <f>IF('Data Entry'!A1690="","",'Data Entry'!F1690)</f>
        <v/>
      </c>
      <c r="G1690" s="13">
        <f>IF('Data Entry'!A1690="","",'Data Entry'!G1690)</f>
        <v/>
      </c>
      <c r="H1690" s="10">
        <f>IF('Data Entry'!A1690="","",'Data Entry'!H1690)</f>
        <v/>
      </c>
      <c r="I1690" s="10">
        <f>IF('Data Entry'!A1690="","",'Data Entry'!I1690)</f>
        <v/>
      </c>
      <c r="J1690" s="12">
        <f>IF('Data Entry'!A1690="","",IF('Data Entry'!D1690&lt;&gt;"",'Data Entry'!D1690,'Data Entry'!E1690))</f>
        <v/>
      </c>
      <c r="K1690" s="10">
        <f>IF('Data Entry'!A1690="","",IFERROR(SUMIFS($H$5:$H$2001,$J$5:$J$2001,$J1690,$B$5:$B$2001,$B1690,$A$5:$A$2001,(MAXIFS($A$5:$A$2001,$J$5:$J$2001,$J1690,$B$5:$B$2001,$B1690,$A$5:$A$2001,"&lt;"&amp;$A1690))),""))</f>
        <v/>
      </c>
      <c r="L1690" s="14">
        <f>IF(OR('Data Entry'!A1690="",$K1690=""),"",$H1690-$K1690)</f>
        <v/>
      </c>
      <c r="M1690" s="15">
        <f>IF(OR('Data Entry'!A1690="",$K1690="",$K1690=0),"",$L1690/$K1690)</f>
        <v/>
      </c>
      <c r="N1690" s="12">
        <f>IF('Data Entry'!A1690="","",IF($L1690="","New item",IF($L1690&gt;0,"UP",IF($L1690&lt;0,"down","same"))))</f>
        <v/>
      </c>
    </row>
    <row r="1691">
      <c r="A1691" s="11">
        <f>IF('Data Entry'!A1691="","",'Data Entry'!A1691)</f>
        <v/>
      </c>
      <c r="B1691" s="12">
        <f>IF('Data Entry'!A1691="","",'Data Entry'!B1691)</f>
        <v/>
      </c>
      <c r="C1691" s="12">
        <f>IF('Data Entry'!A1691="","",'Data Entry'!C1691)</f>
        <v/>
      </c>
      <c r="D1691" s="12">
        <f>IF('Data Entry'!A1691="","",'Data Entry'!D1691)</f>
        <v/>
      </c>
      <c r="E1691" s="12">
        <f>IF('Data Entry'!A1691="","",'Data Entry'!E1691)</f>
        <v/>
      </c>
      <c r="F1691" s="12">
        <f>IF('Data Entry'!A1691="","",'Data Entry'!F1691)</f>
        <v/>
      </c>
      <c r="G1691" s="13">
        <f>IF('Data Entry'!A1691="","",'Data Entry'!G1691)</f>
        <v/>
      </c>
      <c r="H1691" s="10">
        <f>IF('Data Entry'!A1691="","",'Data Entry'!H1691)</f>
        <v/>
      </c>
      <c r="I1691" s="10">
        <f>IF('Data Entry'!A1691="","",'Data Entry'!I1691)</f>
        <v/>
      </c>
      <c r="J1691" s="12">
        <f>IF('Data Entry'!A1691="","",IF('Data Entry'!D1691&lt;&gt;"",'Data Entry'!D1691,'Data Entry'!E1691))</f>
        <v/>
      </c>
      <c r="K1691" s="10">
        <f>IF('Data Entry'!A1691="","",IFERROR(SUMIFS($H$5:$H$2001,$J$5:$J$2001,$J1691,$B$5:$B$2001,$B1691,$A$5:$A$2001,(MAXIFS($A$5:$A$2001,$J$5:$J$2001,$J1691,$B$5:$B$2001,$B1691,$A$5:$A$2001,"&lt;"&amp;$A1691))),""))</f>
        <v/>
      </c>
      <c r="L1691" s="14">
        <f>IF(OR('Data Entry'!A1691="",$K1691=""),"",$H1691-$K1691)</f>
        <v/>
      </c>
      <c r="M1691" s="15">
        <f>IF(OR('Data Entry'!A1691="",$K1691="",$K1691=0),"",$L1691/$K1691)</f>
        <v/>
      </c>
      <c r="N1691" s="12">
        <f>IF('Data Entry'!A1691="","",IF($L1691="","New item",IF($L1691&gt;0,"UP",IF($L1691&lt;0,"down","same"))))</f>
        <v/>
      </c>
    </row>
    <row r="1692">
      <c r="A1692" s="11">
        <f>IF('Data Entry'!A1692="","",'Data Entry'!A1692)</f>
        <v/>
      </c>
      <c r="B1692" s="12">
        <f>IF('Data Entry'!A1692="","",'Data Entry'!B1692)</f>
        <v/>
      </c>
      <c r="C1692" s="12">
        <f>IF('Data Entry'!A1692="","",'Data Entry'!C1692)</f>
        <v/>
      </c>
      <c r="D1692" s="12">
        <f>IF('Data Entry'!A1692="","",'Data Entry'!D1692)</f>
        <v/>
      </c>
      <c r="E1692" s="12">
        <f>IF('Data Entry'!A1692="","",'Data Entry'!E1692)</f>
        <v/>
      </c>
      <c r="F1692" s="12">
        <f>IF('Data Entry'!A1692="","",'Data Entry'!F1692)</f>
        <v/>
      </c>
      <c r="G1692" s="13">
        <f>IF('Data Entry'!A1692="","",'Data Entry'!G1692)</f>
        <v/>
      </c>
      <c r="H1692" s="10">
        <f>IF('Data Entry'!A1692="","",'Data Entry'!H1692)</f>
        <v/>
      </c>
      <c r="I1692" s="10">
        <f>IF('Data Entry'!A1692="","",'Data Entry'!I1692)</f>
        <v/>
      </c>
      <c r="J1692" s="12">
        <f>IF('Data Entry'!A1692="","",IF('Data Entry'!D1692&lt;&gt;"",'Data Entry'!D1692,'Data Entry'!E1692))</f>
        <v/>
      </c>
      <c r="K1692" s="10">
        <f>IF('Data Entry'!A1692="","",IFERROR(SUMIFS($H$5:$H$2001,$J$5:$J$2001,$J1692,$B$5:$B$2001,$B1692,$A$5:$A$2001,(MAXIFS($A$5:$A$2001,$J$5:$J$2001,$J1692,$B$5:$B$2001,$B1692,$A$5:$A$2001,"&lt;"&amp;$A1692))),""))</f>
        <v/>
      </c>
      <c r="L1692" s="14">
        <f>IF(OR('Data Entry'!A1692="",$K1692=""),"",$H1692-$K1692)</f>
        <v/>
      </c>
      <c r="M1692" s="15">
        <f>IF(OR('Data Entry'!A1692="",$K1692="",$K1692=0),"",$L1692/$K1692)</f>
        <v/>
      </c>
      <c r="N1692" s="12">
        <f>IF('Data Entry'!A1692="","",IF($L1692="","New item",IF($L1692&gt;0,"UP",IF($L1692&lt;0,"down","same"))))</f>
        <v/>
      </c>
    </row>
    <row r="1693">
      <c r="A1693" s="11">
        <f>IF('Data Entry'!A1693="","",'Data Entry'!A1693)</f>
        <v/>
      </c>
      <c r="B1693" s="12">
        <f>IF('Data Entry'!A1693="","",'Data Entry'!B1693)</f>
        <v/>
      </c>
      <c r="C1693" s="12">
        <f>IF('Data Entry'!A1693="","",'Data Entry'!C1693)</f>
        <v/>
      </c>
      <c r="D1693" s="12">
        <f>IF('Data Entry'!A1693="","",'Data Entry'!D1693)</f>
        <v/>
      </c>
      <c r="E1693" s="12">
        <f>IF('Data Entry'!A1693="","",'Data Entry'!E1693)</f>
        <v/>
      </c>
      <c r="F1693" s="12">
        <f>IF('Data Entry'!A1693="","",'Data Entry'!F1693)</f>
        <v/>
      </c>
      <c r="G1693" s="13">
        <f>IF('Data Entry'!A1693="","",'Data Entry'!G1693)</f>
        <v/>
      </c>
      <c r="H1693" s="10">
        <f>IF('Data Entry'!A1693="","",'Data Entry'!H1693)</f>
        <v/>
      </c>
      <c r="I1693" s="10">
        <f>IF('Data Entry'!A1693="","",'Data Entry'!I1693)</f>
        <v/>
      </c>
      <c r="J1693" s="12">
        <f>IF('Data Entry'!A1693="","",IF('Data Entry'!D1693&lt;&gt;"",'Data Entry'!D1693,'Data Entry'!E1693))</f>
        <v/>
      </c>
      <c r="K1693" s="10">
        <f>IF('Data Entry'!A1693="","",IFERROR(SUMIFS($H$5:$H$2001,$J$5:$J$2001,$J1693,$B$5:$B$2001,$B1693,$A$5:$A$2001,(MAXIFS($A$5:$A$2001,$J$5:$J$2001,$J1693,$B$5:$B$2001,$B1693,$A$5:$A$2001,"&lt;"&amp;$A1693))),""))</f>
        <v/>
      </c>
      <c r="L1693" s="14">
        <f>IF(OR('Data Entry'!A1693="",$K1693=""),"",$H1693-$K1693)</f>
        <v/>
      </c>
      <c r="M1693" s="15">
        <f>IF(OR('Data Entry'!A1693="",$K1693="",$K1693=0),"",$L1693/$K1693)</f>
        <v/>
      </c>
      <c r="N1693" s="12">
        <f>IF('Data Entry'!A1693="","",IF($L1693="","New item",IF($L1693&gt;0,"UP",IF($L1693&lt;0,"down","same"))))</f>
        <v/>
      </c>
    </row>
    <row r="1694">
      <c r="A1694" s="11">
        <f>IF('Data Entry'!A1694="","",'Data Entry'!A1694)</f>
        <v/>
      </c>
      <c r="B1694" s="12">
        <f>IF('Data Entry'!A1694="","",'Data Entry'!B1694)</f>
        <v/>
      </c>
      <c r="C1694" s="12">
        <f>IF('Data Entry'!A1694="","",'Data Entry'!C1694)</f>
        <v/>
      </c>
      <c r="D1694" s="12">
        <f>IF('Data Entry'!A1694="","",'Data Entry'!D1694)</f>
        <v/>
      </c>
      <c r="E1694" s="12">
        <f>IF('Data Entry'!A1694="","",'Data Entry'!E1694)</f>
        <v/>
      </c>
      <c r="F1694" s="12">
        <f>IF('Data Entry'!A1694="","",'Data Entry'!F1694)</f>
        <v/>
      </c>
      <c r="G1694" s="13">
        <f>IF('Data Entry'!A1694="","",'Data Entry'!G1694)</f>
        <v/>
      </c>
      <c r="H1694" s="10">
        <f>IF('Data Entry'!A1694="","",'Data Entry'!H1694)</f>
        <v/>
      </c>
      <c r="I1694" s="10">
        <f>IF('Data Entry'!A1694="","",'Data Entry'!I1694)</f>
        <v/>
      </c>
      <c r="J1694" s="12">
        <f>IF('Data Entry'!A1694="","",IF('Data Entry'!D1694&lt;&gt;"",'Data Entry'!D1694,'Data Entry'!E1694))</f>
        <v/>
      </c>
      <c r="K1694" s="10">
        <f>IF('Data Entry'!A1694="","",IFERROR(SUMIFS($H$5:$H$2001,$J$5:$J$2001,$J1694,$B$5:$B$2001,$B1694,$A$5:$A$2001,(MAXIFS($A$5:$A$2001,$J$5:$J$2001,$J1694,$B$5:$B$2001,$B1694,$A$5:$A$2001,"&lt;"&amp;$A1694))),""))</f>
        <v/>
      </c>
      <c r="L1694" s="14">
        <f>IF(OR('Data Entry'!A1694="",$K1694=""),"",$H1694-$K1694)</f>
        <v/>
      </c>
      <c r="M1694" s="15">
        <f>IF(OR('Data Entry'!A1694="",$K1694="",$K1694=0),"",$L1694/$K1694)</f>
        <v/>
      </c>
      <c r="N1694" s="12">
        <f>IF('Data Entry'!A1694="","",IF($L1694="","New item",IF($L1694&gt;0,"UP",IF($L1694&lt;0,"down","same"))))</f>
        <v/>
      </c>
    </row>
    <row r="1695">
      <c r="A1695" s="11">
        <f>IF('Data Entry'!A1695="","",'Data Entry'!A1695)</f>
        <v/>
      </c>
      <c r="B1695" s="12">
        <f>IF('Data Entry'!A1695="","",'Data Entry'!B1695)</f>
        <v/>
      </c>
      <c r="C1695" s="12">
        <f>IF('Data Entry'!A1695="","",'Data Entry'!C1695)</f>
        <v/>
      </c>
      <c r="D1695" s="12">
        <f>IF('Data Entry'!A1695="","",'Data Entry'!D1695)</f>
        <v/>
      </c>
      <c r="E1695" s="12">
        <f>IF('Data Entry'!A1695="","",'Data Entry'!E1695)</f>
        <v/>
      </c>
      <c r="F1695" s="12">
        <f>IF('Data Entry'!A1695="","",'Data Entry'!F1695)</f>
        <v/>
      </c>
      <c r="G1695" s="13">
        <f>IF('Data Entry'!A1695="","",'Data Entry'!G1695)</f>
        <v/>
      </c>
      <c r="H1695" s="10">
        <f>IF('Data Entry'!A1695="","",'Data Entry'!H1695)</f>
        <v/>
      </c>
      <c r="I1695" s="10">
        <f>IF('Data Entry'!A1695="","",'Data Entry'!I1695)</f>
        <v/>
      </c>
      <c r="J1695" s="12">
        <f>IF('Data Entry'!A1695="","",IF('Data Entry'!D1695&lt;&gt;"",'Data Entry'!D1695,'Data Entry'!E1695))</f>
        <v/>
      </c>
      <c r="K1695" s="10">
        <f>IF('Data Entry'!A1695="","",IFERROR(SUMIFS($H$5:$H$2001,$J$5:$J$2001,$J1695,$B$5:$B$2001,$B1695,$A$5:$A$2001,(MAXIFS($A$5:$A$2001,$J$5:$J$2001,$J1695,$B$5:$B$2001,$B1695,$A$5:$A$2001,"&lt;"&amp;$A1695))),""))</f>
        <v/>
      </c>
      <c r="L1695" s="14">
        <f>IF(OR('Data Entry'!A1695="",$K1695=""),"",$H1695-$K1695)</f>
        <v/>
      </c>
      <c r="M1695" s="15">
        <f>IF(OR('Data Entry'!A1695="",$K1695="",$K1695=0),"",$L1695/$K1695)</f>
        <v/>
      </c>
      <c r="N1695" s="12">
        <f>IF('Data Entry'!A1695="","",IF($L1695="","New item",IF($L1695&gt;0,"UP",IF($L1695&lt;0,"down","same"))))</f>
        <v/>
      </c>
    </row>
    <row r="1696">
      <c r="A1696" s="11">
        <f>IF('Data Entry'!A1696="","",'Data Entry'!A1696)</f>
        <v/>
      </c>
      <c r="B1696" s="12">
        <f>IF('Data Entry'!A1696="","",'Data Entry'!B1696)</f>
        <v/>
      </c>
      <c r="C1696" s="12">
        <f>IF('Data Entry'!A1696="","",'Data Entry'!C1696)</f>
        <v/>
      </c>
      <c r="D1696" s="12">
        <f>IF('Data Entry'!A1696="","",'Data Entry'!D1696)</f>
        <v/>
      </c>
      <c r="E1696" s="12">
        <f>IF('Data Entry'!A1696="","",'Data Entry'!E1696)</f>
        <v/>
      </c>
      <c r="F1696" s="12">
        <f>IF('Data Entry'!A1696="","",'Data Entry'!F1696)</f>
        <v/>
      </c>
      <c r="G1696" s="13">
        <f>IF('Data Entry'!A1696="","",'Data Entry'!G1696)</f>
        <v/>
      </c>
      <c r="H1696" s="10">
        <f>IF('Data Entry'!A1696="","",'Data Entry'!H1696)</f>
        <v/>
      </c>
      <c r="I1696" s="10">
        <f>IF('Data Entry'!A1696="","",'Data Entry'!I1696)</f>
        <v/>
      </c>
      <c r="J1696" s="12">
        <f>IF('Data Entry'!A1696="","",IF('Data Entry'!D1696&lt;&gt;"",'Data Entry'!D1696,'Data Entry'!E1696))</f>
        <v/>
      </c>
      <c r="K1696" s="10">
        <f>IF('Data Entry'!A1696="","",IFERROR(SUMIFS($H$5:$H$2001,$J$5:$J$2001,$J1696,$B$5:$B$2001,$B1696,$A$5:$A$2001,(MAXIFS($A$5:$A$2001,$J$5:$J$2001,$J1696,$B$5:$B$2001,$B1696,$A$5:$A$2001,"&lt;"&amp;$A1696))),""))</f>
        <v/>
      </c>
      <c r="L1696" s="14">
        <f>IF(OR('Data Entry'!A1696="",$K1696=""),"",$H1696-$K1696)</f>
        <v/>
      </c>
      <c r="M1696" s="15">
        <f>IF(OR('Data Entry'!A1696="",$K1696="",$K1696=0),"",$L1696/$K1696)</f>
        <v/>
      </c>
      <c r="N1696" s="12">
        <f>IF('Data Entry'!A1696="","",IF($L1696="","New item",IF($L1696&gt;0,"UP",IF($L1696&lt;0,"down","same"))))</f>
        <v/>
      </c>
    </row>
    <row r="1697">
      <c r="A1697" s="11">
        <f>IF('Data Entry'!A1697="","",'Data Entry'!A1697)</f>
        <v/>
      </c>
      <c r="B1697" s="12">
        <f>IF('Data Entry'!A1697="","",'Data Entry'!B1697)</f>
        <v/>
      </c>
      <c r="C1697" s="12">
        <f>IF('Data Entry'!A1697="","",'Data Entry'!C1697)</f>
        <v/>
      </c>
      <c r="D1697" s="12">
        <f>IF('Data Entry'!A1697="","",'Data Entry'!D1697)</f>
        <v/>
      </c>
      <c r="E1697" s="12">
        <f>IF('Data Entry'!A1697="","",'Data Entry'!E1697)</f>
        <v/>
      </c>
      <c r="F1697" s="12">
        <f>IF('Data Entry'!A1697="","",'Data Entry'!F1697)</f>
        <v/>
      </c>
      <c r="G1697" s="13">
        <f>IF('Data Entry'!A1697="","",'Data Entry'!G1697)</f>
        <v/>
      </c>
      <c r="H1697" s="10">
        <f>IF('Data Entry'!A1697="","",'Data Entry'!H1697)</f>
        <v/>
      </c>
      <c r="I1697" s="10">
        <f>IF('Data Entry'!A1697="","",'Data Entry'!I1697)</f>
        <v/>
      </c>
      <c r="J1697" s="12">
        <f>IF('Data Entry'!A1697="","",IF('Data Entry'!D1697&lt;&gt;"",'Data Entry'!D1697,'Data Entry'!E1697))</f>
        <v/>
      </c>
      <c r="K1697" s="10">
        <f>IF('Data Entry'!A1697="","",IFERROR(SUMIFS($H$5:$H$2001,$J$5:$J$2001,$J1697,$B$5:$B$2001,$B1697,$A$5:$A$2001,(MAXIFS($A$5:$A$2001,$J$5:$J$2001,$J1697,$B$5:$B$2001,$B1697,$A$5:$A$2001,"&lt;"&amp;$A1697))),""))</f>
        <v/>
      </c>
      <c r="L1697" s="14">
        <f>IF(OR('Data Entry'!A1697="",$K1697=""),"",$H1697-$K1697)</f>
        <v/>
      </c>
      <c r="M1697" s="15">
        <f>IF(OR('Data Entry'!A1697="",$K1697="",$K1697=0),"",$L1697/$K1697)</f>
        <v/>
      </c>
      <c r="N1697" s="12">
        <f>IF('Data Entry'!A1697="","",IF($L1697="","New item",IF($L1697&gt;0,"UP",IF($L1697&lt;0,"down","same"))))</f>
        <v/>
      </c>
    </row>
    <row r="1698">
      <c r="A1698" s="11">
        <f>IF('Data Entry'!A1698="","",'Data Entry'!A1698)</f>
        <v/>
      </c>
      <c r="B1698" s="12">
        <f>IF('Data Entry'!A1698="","",'Data Entry'!B1698)</f>
        <v/>
      </c>
      <c r="C1698" s="12">
        <f>IF('Data Entry'!A1698="","",'Data Entry'!C1698)</f>
        <v/>
      </c>
      <c r="D1698" s="12">
        <f>IF('Data Entry'!A1698="","",'Data Entry'!D1698)</f>
        <v/>
      </c>
      <c r="E1698" s="12">
        <f>IF('Data Entry'!A1698="","",'Data Entry'!E1698)</f>
        <v/>
      </c>
      <c r="F1698" s="12">
        <f>IF('Data Entry'!A1698="","",'Data Entry'!F1698)</f>
        <v/>
      </c>
      <c r="G1698" s="13">
        <f>IF('Data Entry'!A1698="","",'Data Entry'!G1698)</f>
        <v/>
      </c>
      <c r="H1698" s="10">
        <f>IF('Data Entry'!A1698="","",'Data Entry'!H1698)</f>
        <v/>
      </c>
      <c r="I1698" s="10">
        <f>IF('Data Entry'!A1698="","",'Data Entry'!I1698)</f>
        <v/>
      </c>
      <c r="J1698" s="12">
        <f>IF('Data Entry'!A1698="","",IF('Data Entry'!D1698&lt;&gt;"",'Data Entry'!D1698,'Data Entry'!E1698))</f>
        <v/>
      </c>
      <c r="K1698" s="10">
        <f>IF('Data Entry'!A1698="","",IFERROR(SUMIFS($H$5:$H$2001,$J$5:$J$2001,$J1698,$B$5:$B$2001,$B1698,$A$5:$A$2001,(MAXIFS($A$5:$A$2001,$J$5:$J$2001,$J1698,$B$5:$B$2001,$B1698,$A$5:$A$2001,"&lt;"&amp;$A1698))),""))</f>
        <v/>
      </c>
      <c r="L1698" s="14">
        <f>IF(OR('Data Entry'!A1698="",$K1698=""),"",$H1698-$K1698)</f>
        <v/>
      </c>
      <c r="M1698" s="15">
        <f>IF(OR('Data Entry'!A1698="",$K1698="",$K1698=0),"",$L1698/$K1698)</f>
        <v/>
      </c>
      <c r="N1698" s="12">
        <f>IF('Data Entry'!A1698="","",IF($L1698="","New item",IF($L1698&gt;0,"UP",IF($L1698&lt;0,"down","same"))))</f>
        <v/>
      </c>
    </row>
    <row r="1699">
      <c r="A1699" s="11">
        <f>IF('Data Entry'!A1699="","",'Data Entry'!A1699)</f>
        <v/>
      </c>
      <c r="B1699" s="12">
        <f>IF('Data Entry'!A1699="","",'Data Entry'!B1699)</f>
        <v/>
      </c>
      <c r="C1699" s="12">
        <f>IF('Data Entry'!A1699="","",'Data Entry'!C1699)</f>
        <v/>
      </c>
      <c r="D1699" s="12">
        <f>IF('Data Entry'!A1699="","",'Data Entry'!D1699)</f>
        <v/>
      </c>
      <c r="E1699" s="12">
        <f>IF('Data Entry'!A1699="","",'Data Entry'!E1699)</f>
        <v/>
      </c>
      <c r="F1699" s="12">
        <f>IF('Data Entry'!A1699="","",'Data Entry'!F1699)</f>
        <v/>
      </c>
      <c r="G1699" s="13">
        <f>IF('Data Entry'!A1699="","",'Data Entry'!G1699)</f>
        <v/>
      </c>
      <c r="H1699" s="10">
        <f>IF('Data Entry'!A1699="","",'Data Entry'!H1699)</f>
        <v/>
      </c>
      <c r="I1699" s="10">
        <f>IF('Data Entry'!A1699="","",'Data Entry'!I1699)</f>
        <v/>
      </c>
      <c r="J1699" s="12">
        <f>IF('Data Entry'!A1699="","",IF('Data Entry'!D1699&lt;&gt;"",'Data Entry'!D1699,'Data Entry'!E1699))</f>
        <v/>
      </c>
      <c r="K1699" s="10">
        <f>IF('Data Entry'!A1699="","",IFERROR(SUMIFS($H$5:$H$2001,$J$5:$J$2001,$J1699,$B$5:$B$2001,$B1699,$A$5:$A$2001,(MAXIFS($A$5:$A$2001,$J$5:$J$2001,$J1699,$B$5:$B$2001,$B1699,$A$5:$A$2001,"&lt;"&amp;$A1699))),""))</f>
        <v/>
      </c>
      <c r="L1699" s="14">
        <f>IF(OR('Data Entry'!A1699="",$K1699=""),"",$H1699-$K1699)</f>
        <v/>
      </c>
      <c r="M1699" s="15">
        <f>IF(OR('Data Entry'!A1699="",$K1699="",$K1699=0),"",$L1699/$K1699)</f>
        <v/>
      </c>
      <c r="N1699" s="12">
        <f>IF('Data Entry'!A1699="","",IF($L1699="","New item",IF($L1699&gt;0,"UP",IF($L1699&lt;0,"down","same"))))</f>
        <v/>
      </c>
    </row>
    <row r="1700">
      <c r="A1700" s="11">
        <f>IF('Data Entry'!A1700="","",'Data Entry'!A1700)</f>
        <v/>
      </c>
      <c r="B1700" s="12">
        <f>IF('Data Entry'!A1700="","",'Data Entry'!B1700)</f>
        <v/>
      </c>
      <c r="C1700" s="12">
        <f>IF('Data Entry'!A1700="","",'Data Entry'!C1700)</f>
        <v/>
      </c>
      <c r="D1700" s="12">
        <f>IF('Data Entry'!A1700="","",'Data Entry'!D1700)</f>
        <v/>
      </c>
      <c r="E1700" s="12">
        <f>IF('Data Entry'!A1700="","",'Data Entry'!E1700)</f>
        <v/>
      </c>
      <c r="F1700" s="12">
        <f>IF('Data Entry'!A1700="","",'Data Entry'!F1700)</f>
        <v/>
      </c>
      <c r="G1700" s="13">
        <f>IF('Data Entry'!A1700="","",'Data Entry'!G1700)</f>
        <v/>
      </c>
      <c r="H1700" s="10">
        <f>IF('Data Entry'!A1700="","",'Data Entry'!H1700)</f>
        <v/>
      </c>
      <c r="I1700" s="10">
        <f>IF('Data Entry'!A1700="","",'Data Entry'!I1700)</f>
        <v/>
      </c>
      <c r="J1700" s="12">
        <f>IF('Data Entry'!A1700="","",IF('Data Entry'!D1700&lt;&gt;"",'Data Entry'!D1700,'Data Entry'!E1700))</f>
        <v/>
      </c>
      <c r="K1700" s="10">
        <f>IF('Data Entry'!A1700="","",IFERROR(SUMIFS($H$5:$H$2001,$J$5:$J$2001,$J1700,$B$5:$B$2001,$B1700,$A$5:$A$2001,(MAXIFS($A$5:$A$2001,$J$5:$J$2001,$J1700,$B$5:$B$2001,$B1700,$A$5:$A$2001,"&lt;"&amp;$A1700))),""))</f>
        <v/>
      </c>
      <c r="L1700" s="14">
        <f>IF(OR('Data Entry'!A1700="",$K1700=""),"",$H1700-$K1700)</f>
        <v/>
      </c>
      <c r="M1700" s="15">
        <f>IF(OR('Data Entry'!A1700="",$K1700="",$K1700=0),"",$L1700/$K1700)</f>
        <v/>
      </c>
      <c r="N1700" s="12">
        <f>IF('Data Entry'!A1700="","",IF($L1700="","New item",IF($L1700&gt;0,"UP",IF($L1700&lt;0,"down","same"))))</f>
        <v/>
      </c>
    </row>
    <row r="1701">
      <c r="A1701" s="11">
        <f>IF('Data Entry'!A1701="","",'Data Entry'!A1701)</f>
        <v/>
      </c>
      <c r="B1701" s="12">
        <f>IF('Data Entry'!A1701="","",'Data Entry'!B1701)</f>
        <v/>
      </c>
      <c r="C1701" s="12">
        <f>IF('Data Entry'!A1701="","",'Data Entry'!C1701)</f>
        <v/>
      </c>
      <c r="D1701" s="12">
        <f>IF('Data Entry'!A1701="","",'Data Entry'!D1701)</f>
        <v/>
      </c>
      <c r="E1701" s="12">
        <f>IF('Data Entry'!A1701="","",'Data Entry'!E1701)</f>
        <v/>
      </c>
      <c r="F1701" s="12">
        <f>IF('Data Entry'!A1701="","",'Data Entry'!F1701)</f>
        <v/>
      </c>
      <c r="G1701" s="13">
        <f>IF('Data Entry'!A1701="","",'Data Entry'!G1701)</f>
        <v/>
      </c>
      <c r="H1701" s="10">
        <f>IF('Data Entry'!A1701="","",'Data Entry'!H1701)</f>
        <v/>
      </c>
      <c r="I1701" s="10">
        <f>IF('Data Entry'!A1701="","",'Data Entry'!I1701)</f>
        <v/>
      </c>
      <c r="J1701" s="12">
        <f>IF('Data Entry'!A1701="","",IF('Data Entry'!D1701&lt;&gt;"",'Data Entry'!D1701,'Data Entry'!E1701))</f>
        <v/>
      </c>
      <c r="K1701" s="10">
        <f>IF('Data Entry'!A1701="","",IFERROR(SUMIFS($H$5:$H$2001,$J$5:$J$2001,$J1701,$B$5:$B$2001,$B1701,$A$5:$A$2001,(MAXIFS($A$5:$A$2001,$J$5:$J$2001,$J1701,$B$5:$B$2001,$B1701,$A$5:$A$2001,"&lt;"&amp;$A1701))),""))</f>
        <v/>
      </c>
      <c r="L1701" s="14">
        <f>IF(OR('Data Entry'!A1701="",$K1701=""),"",$H1701-$K1701)</f>
        <v/>
      </c>
      <c r="M1701" s="15">
        <f>IF(OR('Data Entry'!A1701="",$K1701="",$K1701=0),"",$L1701/$K1701)</f>
        <v/>
      </c>
      <c r="N1701" s="12">
        <f>IF('Data Entry'!A1701="","",IF($L1701="","New item",IF($L1701&gt;0,"UP",IF($L1701&lt;0,"down","same"))))</f>
        <v/>
      </c>
    </row>
    <row r="1702">
      <c r="A1702" s="11">
        <f>IF('Data Entry'!A1702="","",'Data Entry'!A1702)</f>
        <v/>
      </c>
      <c r="B1702" s="12">
        <f>IF('Data Entry'!A1702="","",'Data Entry'!B1702)</f>
        <v/>
      </c>
      <c r="C1702" s="12">
        <f>IF('Data Entry'!A1702="","",'Data Entry'!C1702)</f>
        <v/>
      </c>
      <c r="D1702" s="12">
        <f>IF('Data Entry'!A1702="","",'Data Entry'!D1702)</f>
        <v/>
      </c>
      <c r="E1702" s="12">
        <f>IF('Data Entry'!A1702="","",'Data Entry'!E1702)</f>
        <v/>
      </c>
      <c r="F1702" s="12">
        <f>IF('Data Entry'!A1702="","",'Data Entry'!F1702)</f>
        <v/>
      </c>
      <c r="G1702" s="13">
        <f>IF('Data Entry'!A1702="","",'Data Entry'!G1702)</f>
        <v/>
      </c>
      <c r="H1702" s="10">
        <f>IF('Data Entry'!A1702="","",'Data Entry'!H1702)</f>
        <v/>
      </c>
      <c r="I1702" s="10">
        <f>IF('Data Entry'!A1702="","",'Data Entry'!I1702)</f>
        <v/>
      </c>
      <c r="J1702" s="12">
        <f>IF('Data Entry'!A1702="","",IF('Data Entry'!D1702&lt;&gt;"",'Data Entry'!D1702,'Data Entry'!E1702))</f>
        <v/>
      </c>
      <c r="K1702" s="10">
        <f>IF('Data Entry'!A1702="","",IFERROR(SUMIFS($H$5:$H$2001,$J$5:$J$2001,$J1702,$B$5:$B$2001,$B1702,$A$5:$A$2001,(MAXIFS($A$5:$A$2001,$J$5:$J$2001,$J1702,$B$5:$B$2001,$B1702,$A$5:$A$2001,"&lt;"&amp;$A1702))),""))</f>
        <v/>
      </c>
      <c r="L1702" s="14">
        <f>IF(OR('Data Entry'!A1702="",$K1702=""),"",$H1702-$K1702)</f>
        <v/>
      </c>
      <c r="M1702" s="15">
        <f>IF(OR('Data Entry'!A1702="",$K1702="",$K1702=0),"",$L1702/$K1702)</f>
        <v/>
      </c>
      <c r="N1702" s="12">
        <f>IF('Data Entry'!A1702="","",IF($L1702="","New item",IF($L1702&gt;0,"UP",IF($L1702&lt;0,"down","same"))))</f>
        <v/>
      </c>
    </row>
    <row r="1703">
      <c r="A1703" s="11">
        <f>IF('Data Entry'!A1703="","",'Data Entry'!A1703)</f>
        <v/>
      </c>
      <c r="B1703" s="12">
        <f>IF('Data Entry'!A1703="","",'Data Entry'!B1703)</f>
        <v/>
      </c>
      <c r="C1703" s="12">
        <f>IF('Data Entry'!A1703="","",'Data Entry'!C1703)</f>
        <v/>
      </c>
      <c r="D1703" s="12">
        <f>IF('Data Entry'!A1703="","",'Data Entry'!D1703)</f>
        <v/>
      </c>
      <c r="E1703" s="12">
        <f>IF('Data Entry'!A1703="","",'Data Entry'!E1703)</f>
        <v/>
      </c>
      <c r="F1703" s="12">
        <f>IF('Data Entry'!A1703="","",'Data Entry'!F1703)</f>
        <v/>
      </c>
      <c r="G1703" s="13">
        <f>IF('Data Entry'!A1703="","",'Data Entry'!G1703)</f>
        <v/>
      </c>
      <c r="H1703" s="10">
        <f>IF('Data Entry'!A1703="","",'Data Entry'!H1703)</f>
        <v/>
      </c>
      <c r="I1703" s="10">
        <f>IF('Data Entry'!A1703="","",'Data Entry'!I1703)</f>
        <v/>
      </c>
      <c r="J1703" s="12">
        <f>IF('Data Entry'!A1703="","",IF('Data Entry'!D1703&lt;&gt;"",'Data Entry'!D1703,'Data Entry'!E1703))</f>
        <v/>
      </c>
      <c r="K1703" s="10">
        <f>IF('Data Entry'!A1703="","",IFERROR(SUMIFS($H$5:$H$2001,$J$5:$J$2001,$J1703,$B$5:$B$2001,$B1703,$A$5:$A$2001,(MAXIFS($A$5:$A$2001,$J$5:$J$2001,$J1703,$B$5:$B$2001,$B1703,$A$5:$A$2001,"&lt;"&amp;$A1703))),""))</f>
        <v/>
      </c>
      <c r="L1703" s="14">
        <f>IF(OR('Data Entry'!A1703="",$K1703=""),"",$H1703-$K1703)</f>
        <v/>
      </c>
      <c r="M1703" s="15">
        <f>IF(OR('Data Entry'!A1703="",$K1703="",$K1703=0),"",$L1703/$K1703)</f>
        <v/>
      </c>
      <c r="N1703" s="12">
        <f>IF('Data Entry'!A1703="","",IF($L1703="","New item",IF($L1703&gt;0,"UP",IF($L1703&lt;0,"down","same"))))</f>
        <v/>
      </c>
    </row>
    <row r="1704">
      <c r="A1704" s="11">
        <f>IF('Data Entry'!A1704="","",'Data Entry'!A1704)</f>
        <v/>
      </c>
      <c r="B1704" s="12">
        <f>IF('Data Entry'!A1704="","",'Data Entry'!B1704)</f>
        <v/>
      </c>
      <c r="C1704" s="12">
        <f>IF('Data Entry'!A1704="","",'Data Entry'!C1704)</f>
        <v/>
      </c>
      <c r="D1704" s="12">
        <f>IF('Data Entry'!A1704="","",'Data Entry'!D1704)</f>
        <v/>
      </c>
      <c r="E1704" s="12">
        <f>IF('Data Entry'!A1704="","",'Data Entry'!E1704)</f>
        <v/>
      </c>
      <c r="F1704" s="12">
        <f>IF('Data Entry'!A1704="","",'Data Entry'!F1704)</f>
        <v/>
      </c>
      <c r="G1704" s="13">
        <f>IF('Data Entry'!A1704="","",'Data Entry'!G1704)</f>
        <v/>
      </c>
      <c r="H1704" s="10">
        <f>IF('Data Entry'!A1704="","",'Data Entry'!H1704)</f>
        <v/>
      </c>
      <c r="I1704" s="10">
        <f>IF('Data Entry'!A1704="","",'Data Entry'!I1704)</f>
        <v/>
      </c>
      <c r="J1704" s="12">
        <f>IF('Data Entry'!A1704="","",IF('Data Entry'!D1704&lt;&gt;"",'Data Entry'!D1704,'Data Entry'!E1704))</f>
        <v/>
      </c>
      <c r="K1704" s="10">
        <f>IF('Data Entry'!A1704="","",IFERROR(SUMIFS($H$5:$H$2001,$J$5:$J$2001,$J1704,$B$5:$B$2001,$B1704,$A$5:$A$2001,(MAXIFS($A$5:$A$2001,$J$5:$J$2001,$J1704,$B$5:$B$2001,$B1704,$A$5:$A$2001,"&lt;"&amp;$A1704))),""))</f>
        <v/>
      </c>
      <c r="L1704" s="14">
        <f>IF(OR('Data Entry'!A1704="",$K1704=""),"",$H1704-$K1704)</f>
        <v/>
      </c>
      <c r="M1704" s="15">
        <f>IF(OR('Data Entry'!A1704="",$K1704="",$K1704=0),"",$L1704/$K1704)</f>
        <v/>
      </c>
      <c r="N1704" s="12">
        <f>IF('Data Entry'!A1704="","",IF($L1704="","New item",IF($L1704&gt;0,"UP",IF($L1704&lt;0,"down","same"))))</f>
        <v/>
      </c>
    </row>
    <row r="1705">
      <c r="A1705" s="11">
        <f>IF('Data Entry'!A1705="","",'Data Entry'!A1705)</f>
        <v/>
      </c>
      <c r="B1705" s="12">
        <f>IF('Data Entry'!A1705="","",'Data Entry'!B1705)</f>
        <v/>
      </c>
      <c r="C1705" s="12">
        <f>IF('Data Entry'!A1705="","",'Data Entry'!C1705)</f>
        <v/>
      </c>
      <c r="D1705" s="12">
        <f>IF('Data Entry'!A1705="","",'Data Entry'!D1705)</f>
        <v/>
      </c>
      <c r="E1705" s="12">
        <f>IF('Data Entry'!A1705="","",'Data Entry'!E1705)</f>
        <v/>
      </c>
      <c r="F1705" s="12">
        <f>IF('Data Entry'!A1705="","",'Data Entry'!F1705)</f>
        <v/>
      </c>
      <c r="G1705" s="13">
        <f>IF('Data Entry'!A1705="","",'Data Entry'!G1705)</f>
        <v/>
      </c>
      <c r="H1705" s="10">
        <f>IF('Data Entry'!A1705="","",'Data Entry'!H1705)</f>
        <v/>
      </c>
      <c r="I1705" s="10">
        <f>IF('Data Entry'!A1705="","",'Data Entry'!I1705)</f>
        <v/>
      </c>
      <c r="J1705" s="12">
        <f>IF('Data Entry'!A1705="","",IF('Data Entry'!D1705&lt;&gt;"",'Data Entry'!D1705,'Data Entry'!E1705))</f>
        <v/>
      </c>
      <c r="K1705" s="10">
        <f>IF('Data Entry'!A1705="","",IFERROR(SUMIFS($H$5:$H$2001,$J$5:$J$2001,$J1705,$B$5:$B$2001,$B1705,$A$5:$A$2001,(MAXIFS($A$5:$A$2001,$J$5:$J$2001,$J1705,$B$5:$B$2001,$B1705,$A$5:$A$2001,"&lt;"&amp;$A1705))),""))</f>
        <v/>
      </c>
      <c r="L1705" s="14">
        <f>IF(OR('Data Entry'!A1705="",$K1705=""),"",$H1705-$K1705)</f>
        <v/>
      </c>
      <c r="M1705" s="15">
        <f>IF(OR('Data Entry'!A1705="",$K1705="",$K1705=0),"",$L1705/$K1705)</f>
        <v/>
      </c>
      <c r="N1705" s="12">
        <f>IF('Data Entry'!A1705="","",IF($L1705="","New item",IF($L1705&gt;0,"UP",IF($L1705&lt;0,"down","same"))))</f>
        <v/>
      </c>
    </row>
    <row r="1706">
      <c r="A1706" s="11">
        <f>IF('Data Entry'!A1706="","",'Data Entry'!A1706)</f>
        <v/>
      </c>
      <c r="B1706" s="12">
        <f>IF('Data Entry'!A1706="","",'Data Entry'!B1706)</f>
        <v/>
      </c>
      <c r="C1706" s="12">
        <f>IF('Data Entry'!A1706="","",'Data Entry'!C1706)</f>
        <v/>
      </c>
      <c r="D1706" s="12">
        <f>IF('Data Entry'!A1706="","",'Data Entry'!D1706)</f>
        <v/>
      </c>
      <c r="E1706" s="12">
        <f>IF('Data Entry'!A1706="","",'Data Entry'!E1706)</f>
        <v/>
      </c>
      <c r="F1706" s="12">
        <f>IF('Data Entry'!A1706="","",'Data Entry'!F1706)</f>
        <v/>
      </c>
      <c r="G1706" s="13">
        <f>IF('Data Entry'!A1706="","",'Data Entry'!G1706)</f>
        <v/>
      </c>
      <c r="H1706" s="10">
        <f>IF('Data Entry'!A1706="","",'Data Entry'!H1706)</f>
        <v/>
      </c>
      <c r="I1706" s="10">
        <f>IF('Data Entry'!A1706="","",'Data Entry'!I1706)</f>
        <v/>
      </c>
      <c r="J1706" s="12">
        <f>IF('Data Entry'!A1706="","",IF('Data Entry'!D1706&lt;&gt;"",'Data Entry'!D1706,'Data Entry'!E1706))</f>
        <v/>
      </c>
      <c r="K1706" s="10">
        <f>IF('Data Entry'!A1706="","",IFERROR(SUMIFS($H$5:$H$2001,$J$5:$J$2001,$J1706,$B$5:$B$2001,$B1706,$A$5:$A$2001,(MAXIFS($A$5:$A$2001,$J$5:$J$2001,$J1706,$B$5:$B$2001,$B1706,$A$5:$A$2001,"&lt;"&amp;$A1706))),""))</f>
        <v/>
      </c>
      <c r="L1706" s="14">
        <f>IF(OR('Data Entry'!A1706="",$K1706=""),"",$H1706-$K1706)</f>
        <v/>
      </c>
      <c r="M1706" s="15">
        <f>IF(OR('Data Entry'!A1706="",$K1706="",$K1706=0),"",$L1706/$K1706)</f>
        <v/>
      </c>
      <c r="N1706" s="12">
        <f>IF('Data Entry'!A1706="","",IF($L1706="","New item",IF($L1706&gt;0,"UP",IF($L1706&lt;0,"down","same"))))</f>
        <v/>
      </c>
    </row>
    <row r="1707">
      <c r="A1707" s="11">
        <f>IF('Data Entry'!A1707="","",'Data Entry'!A1707)</f>
        <v/>
      </c>
      <c r="B1707" s="12">
        <f>IF('Data Entry'!A1707="","",'Data Entry'!B1707)</f>
        <v/>
      </c>
      <c r="C1707" s="12">
        <f>IF('Data Entry'!A1707="","",'Data Entry'!C1707)</f>
        <v/>
      </c>
      <c r="D1707" s="12">
        <f>IF('Data Entry'!A1707="","",'Data Entry'!D1707)</f>
        <v/>
      </c>
      <c r="E1707" s="12">
        <f>IF('Data Entry'!A1707="","",'Data Entry'!E1707)</f>
        <v/>
      </c>
      <c r="F1707" s="12">
        <f>IF('Data Entry'!A1707="","",'Data Entry'!F1707)</f>
        <v/>
      </c>
      <c r="G1707" s="13">
        <f>IF('Data Entry'!A1707="","",'Data Entry'!G1707)</f>
        <v/>
      </c>
      <c r="H1707" s="10">
        <f>IF('Data Entry'!A1707="","",'Data Entry'!H1707)</f>
        <v/>
      </c>
      <c r="I1707" s="10">
        <f>IF('Data Entry'!A1707="","",'Data Entry'!I1707)</f>
        <v/>
      </c>
      <c r="J1707" s="12">
        <f>IF('Data Entry'!A1707="","",IF('Data Entry'!D1707&lt;&gt;"",'Data Entry'!D1707,'Data Entry'!E1707))</f>
        <v/>
      </c>
      <c r="K1707" s="10">
        <f>IF('Data Entry'!A1707="","",IFERROR(SUMIFS($H$5:$H$2001,$J$5:$J$2001,$J1707,$B$5:$B$2001,$B1707,$A$5:$A$2001,(MAXIFS($A$5:$A$2001,$J$5:$J$2001,$J1707,$B$5:$B$2001,$B1707,$A$5:$A$2001,"&lt;"&amp;$A1707))),""))</f>
        <v/>
      </c>
      <c r="L1707" s="14">
        <f>IF(OR('Data Entry'!A1707="",$K1707=""),"",$H1707-$K1707)</f>
        <v/>
      </c>
      <c r="M1707" s="15">
        <f>IF(OR('Data Entry'!A1707="",$K1707="",$K1707=0),"",$L1707/$K1707)</f>
        <v/>
      </c>
      <c r="N1707" s="12">
        <f>IF('Data Entry'!A1707="","",IF($L1707="","New item",IF($L1707&gt;0,"UP",IF($L1707&lt;0,"down","same"))))</f>
        <v/>
      </c>
    </row>
    <row r="1708">
      <c r="A1708" s="11">
        <f>IF('Data Entry'!A1708="","",'Data Entry'!A1708)</f>
        <v/>
      </c>
      <c r="B1708" s="12">
        <f>IF('Data Entry'!A1708="","",'Data Entry'!B1708)</f>
        <v/>
      </c>
      <c r="C1708" s="12">
        <f>IF('Data Entry'!A1708="","",'Data Entry'!C1708)</f>
        <v/>
      </c>
      <c r="D1708" s="12">
        <f>IF('Data Entry'!A1708="","",'Data Entry'!D1708)</f>
        <v/>
      </c>
      <c r="E1708" s="12">
        <f>IF('Data Entry'!A1708="","",'Data Entry'!E1708)</f>
        <v/>
      </c>
      <c r="F1708" s="12">
        <f>IF('Data Entry'!A1708="","",'Data Entry'!F1708)</f>
        <v/>
      </c>
      <c r="G1708" s="13">
        <f>IF('Data Entry'!A1708="","",'Data Entry'!G1708)</f>
        <v/>
      </c>
      <c r="H1708" s="10">
        <f>IF('Data Entry'!A1708="","",'Data Entry'!H1708)</f>
        <v/>
      </c>
      <c r="I1708" s="10">
        <f>IF('Data Entry'!A1708="","",'Data Entry'!I1708)</f>
        <v/>
      </c>
      <c r="J1708" s="12">
        <f>IF('Data Entry'!A1708="","",IF('Data Entry'!D1708&lt;&gt;"",'Data Entry'!D1708,'Data Entry'!E1708))</f>
        <v/>
      </c>
      <c r="K1708" s="10">
        <f>IF('Data Entry'!A1708="","",IFERROR(SUMIFS($H$5:$H$2001,$J$5:$J$2001,$J1708,$B$5:$B$2001,$B1708,$A$5:$A$2001,(MAXIFS($A$5:$A$2001,$J$5:$J$2001,$J1708,$B$5:$B$2001,$B1708,$A$5:$A$2001,"&lt;"&amp;$A1708))),""))</f>
        <v/>
      </c>
      <c r="L1708" s="14">
        <f>IF(OR('Data Entry'!A1708="",$K1708=""),"",$H1708-$K1708)</f>
        <v/>
      </c>
      <c r="M1708" s="15">
        <f>IF(OR('Data Entry'!A1708="",$K1708="",$K1708=0),"",$L1708/$K1708)</f>
        <v/>
      </c>
      <c r="N1708" s="12">
        <f>IF('Data Entry'!A1708="","",IF($L1708="","New item",IF($L1708&gt;0,"UP",IF($L1708&lt;0,"down","same"))))</f>
        <v/>
      </c>
    </row>
    <row r="1709">
      <c r="A1709" s="11">
        <f>IF('Data Entry'!A1709="","",'Data Entry'!A1709)</f>
        <v/>
      </c>
      <c r="B1709" s="12">
        <f>IF('Data Entry'!A1709="","",'Data Entry'!B1709)</f>
        <v/>
      </c>
      <c r="C1709" s="12">
        <f>IF('Data Entry'!A1709="","",'Data Entry'!C1709)</f>
        <v/>
      </c>
      <c r="D1709" s="12">
        <f>IF('Data Entry'!A1709="","",'Data Entry'!D1709)</f>
        <v/>
      </c>
      <c r="E1709" s="12">
        <f>IF('Data Entry'!A1709="","",'Data Entry'!E1709)</f>
        <v/>
      </c>
      <c r="F1709" s="12">
        <f>IF('Data Entry'!A1709="","",'Data Entry'!F1709)</f>
        <v/>
      </c>
      <c r="G1709" s="13">
        <f>IF('Data Entry'!A1709="","",'Data Entry'!G1709)</f>
        <v/>
      </c>
      <c r="H1709" s="10">
        <f>IF('Data Entry'!A1709="","",'Data Entry'!H1709)</f>
        <v/>
      </c>
      <c r="I1709" s="10">
        <f>IF('Data Entry'!A1709="","",'Data Entry'!I1709)</f>
        <v/>
      </c>
      <c r="J1709" s="12">
        <f>IF('Data Entry'!A1709="","",IF('Data Entry'!D1709&lt;&gt;"",'Data Entry'!D1709,'Data Entry'!E1709))</f>
        <v/>
      </c>
      <c r="K1709" s="10">
        <f>IF('Data Entry'!A1709="","",IFERROR(SUMIFS($H$5:$H$2001,$J$5:$J$2001,$J1709,$B$5:$B$2001,$B1709,$A$5:$A$2001,(MAXIFS($A$5:$A$2001,$J$5:$J$2001,$J1709,$B$5:$B$2001,$B1709,$A$5:$A$2001,"&lt;"&amp;$A1709))),""))</f>
        <v/>
      </c>
      <c r="L1709" s="14">
        <f>IF(OR('Data Entry'!A1709="",$K1709=""),"",$H1709-$K1709)</f>
        <v/>
      </c>
      <c r="M1709" s="15">
        <f>IF(OR('Data Entry'!A1709="",$K1709="",$K1709=0),"",$L1709/$K1709)</f>
        <v/>
      </c>
      <c r="N1709" s="12">
        <f>IF('Data Entry'!A1709="","",IF($L1709="","New item",IF($L1709&gt;0,"UP",IF($L1709&lt;0,"down","same"))))</f>
        <v/>
      </c>
    </row>
    <row r="1710">
      <c r="A1710" s="11">
        <f>IF('Data Entry'!A1710="","",'Data Entry'!A1710)</f>
        <v/>
      </c>
      <c r="B1710" s="12">
        <f>IF('Data Entry'!A1710="","",'Data Entry'!B1710)</f>
        <v/>
      </c>
      <c r="C1710" s="12">
        <f>IF('Data Entry'!A1710="","",'Data Entry'!C1710)</f>
        <v/>
      </c>
      <c r="D1710" s="12">
        <f>IF('Data Entry'!A1710="","",'Data Entry'!D1710)</f>
        <v/>
      </c>
      <c r="E1710" s="12">
        <f>IF('Data Entry'!A1710="","",'Data Entry'!E1710)</f>
        <v/>
      </c>
      <c r="F1710" s="12">
        <f>IF('Data Entry'!A1710="","",'Data Entry'!F1710)</f>
        <v/>
      </c>
      <c r="G1710" s="13">
        <f>IF('Data Entry'!A1710="","",'Data Entry'!G1710)</f>
        <v/>
      </c>
      <c r="H1710" s="10">
        <f>IF('Data Entry'!A1710="","",'Data Entry'!H1710)</f>
        <v/>
      </c>
      <c r="I1710" s="10">
        <f>IF('Data Entry'!A1710="","",'Data Entry'!I1710)</f>
        <v/>
      </c>
      <c r="J1710" s="12">
        <f>IF('Data Entry'!A1710="","",IF('Data Entry'!D1710&lt;&gt;"",'Data Entry'!D1710,'Data Entry'!E1710))</f>
        <v/>
      </c>
      <c r="K1710" s="10">
        <f>IF('Data Entry'!A1710="","",IFERROR(SUMIFS($H$5:$H$2001,$J$5:$J$2001,$J1710,$B$5:$B$2001,$B1710,$A$5:$A$2001,(MAXIFS($A$5:$A$2001,$J$5:$J$2001,$J1710,$B$5:$B$2001,$B1710,$A$5:$A$2001,"&lt;"&amp;$A1710))),""))</f>
        <v/>
      </c>
      <c r="L1710" s="14">
        <f>IF(OR('Data Entry'!A1710="",$K1710=""),"",$H1710-$K1710)</f>
        <v/>
      </c>
      <c r="M1710" s="15">
        <f>IF(OR('Data Entry'!A1710="",$K1710="",$K1710=0),"",$L1710/$K1710)</f>
        <v/>
      </c>
      <c r="N1710" s="12">
        <f>IF('Data Entry'!A1710="","",IF($L1710="","New item",IF($L1710&gt;0,"UP",IF($L1710&lt;0,"down","same"))))</f>
        <v/>
      </c>
    </row>
    <row r="1711">
      <c r="A1711" s="11">
        <f>IF('Data Entry'!A1711="","",'Data Entry'!A1711)</f>
        <v/>
      </c>
      <c r="B1711" s="12">
        <f>IF('Data Entry'!A1711="","",'Data Entry'!B1711)</f>
        <v/>
      </c>
      <c r="C1711" s="12">
        <f>IF('Data Entry'!A1711="","",'Data Entry'!C1711)</f>
        <v/>
      </c>
      <c r="D1711" s="12">
        <f>IF('Data Entry'!A1711="","",'Data Entry'!D1711)</f>
        <v/>
      </c>
      <c r="E1711" s="12">
        <f>IF('Data Entry'!A1711="","",'Data Entry'!E1711)</f>
        <v/>
      </c>
      <c r="F1711" s="12">
        <f>IF('Data Entry'!A1711="","",'Data Entry'!F1711)</f>
        <v/>
      </c>
      <c r="G1711" s="13">
        <f>IF('Data Entry'!A1711="","",'Data Entry'!G1711)</f>
        <v/>
      </c>
      <c r="H1711" s="10">
        <f>IF('Data Entry'!A1711="","",'Data Entry'!H1711)</f>
        <v/>
      </c>
      <c r="I1711" s="10">
        <f>IF('Data Entry'!A1711="","",'Data Entry'!I1711)</f>
        <v/>
      </c>
      <c r="J1711" s="12">
        <f>IF('Data Entry'!A1711="","",IF('Data Entry'!D1711&lt;&gt;"",'Data Entry'!D1711,'Data Entry'!E1711))</f>
        <v/>
      </c>
      <c r="K1711" s="10">
        <f>IF('Data Entry'!A1711="","",IFERROR(SUMIFS($H$5:$H$2001,$J$5:$J$2001,$J1711,$B$5:$B$2001,$B1711,$A$5:$A$2001,(MAXIFS($A$5:$A$2001,$J$5:$J$2001,$J1711,$B$5:$B$2001,$B1711,$A$5:$A$2001,"&lt;"&amp;$A1711))),""))</f>
        <v/>
      </c>
      <c r="L1711" s="14">
        <f>IF(OR('Data Entry'!A1711="",$K1711=""),"",$H1711-$K1711)</f>
        <v/>
      </c>
      <c r="M1711" s="15">
        <f>IF(OR('Data Entry'!A1711="",$K1711="",$K1711=0),"",$L1711/$K1711)</f>
        <v/>
      </c>
      <c r="N1711" s="12">
        <f>IF('Data Entry'!A1711="","",IF($L1711="","New item",IF($L1711&gt;0,"UP",IF($L1711&lt;0,"down","same"))))</f>
        <v/>
      </c>
    </row>
    <row r="1712">
      <c r="A1712" s="11">
        <f>IF('Data Entry'!A1712="","",'Data Entry'!A1712)</f>
        <v/>
      </c>
      <c r="B1712" s="12">
        <f>IF('Data Entry'!A1712="","",'Data Entry'!B1712)</f>
        <v/>
      </c>
      <c r="C1712" s="12">
        <f>IF('Data Entry'!A1712="","",'Data Entry'!C1712)</f>
        <v/>
      </c>
      <c r="D1712" s="12">
        <f>IF('Data Entry'!A1712="","",'Data Entry'!D1712)</f>
        <v/>
      </c>
      <c r="E1712" s="12">
        <f>IF('Data Entry'!A1712="","",'Data Entry'!E1712)</f>
        <v/>
      </c>
      <c r="F1712" s="12">
        <f>IF('Data Entry'!A1712="","",'Data Entry'!F1712)</f>
        <v/>
      </c>
      <c r="G1712" s="13">
        <f>IF('Data Entry'!A1712="","",'Data Entry'!G1712)</f>
        <v/>
      </c>
      <c r="H1712" s="10">
        <f>IF('Data Entry'!A1712="","",'Data Entry'!H1712)</f>
        <v/>
      </c>
      <c r="I1712" s="10">
        <f>IF('Data Entry'!A1712="","",'Data Entry'!I1712)</f>
        <v/>
      </c>
      <c r="J1712" s="12">
        <f>IF('Data Entry'!A1712="","",IF('Data Entry'!D1712&lt;&gt;"",'Data Entry'!D1712,'Data Entry'!E1712))</f>
        <v/>
      </c>
      <c r="K1712" s="10">
        <f>IF('Data Entry'!A1712="","",IFERROR(SUMIFS($H$5:$H$2001,$J$5:$J$2001,$J1712,$B$5:$B$2001,$B1712,$A$5:$A$2001,(MAXIFS($A$5:$A$2001,$J$5:$J$2001,$J1712,$B$5:$B$2001,$B1712,$A$5:$A$2001,"&lt;"&amp;$A1712))),""))</f>
        <v/>
      </c>
      <c r="L1712" s="14">
        <f>IF(OR('Data Entry'!A1712="",$K1712=""),"",$H1712-$K1712)</f>
        <v/>
      </c>
      <c r="M1712" s="15">
        <f>IF(OR('Data Entry'!A1712="",$K1712="",$K1712=0),"",$L1712/$K1712)</f>
        <v/>
      </c>
      <c r="N1712" s="12">
        <f>IF('Data Entry'!A1712="","",IF($L1712="","New item",IF($L1712&gt;0,"UP",IF($L1712&lt;0,"down","same"))))</f>
        <v/>
      </c>
    </row>
    <row r="1713">
      <c r="A1713" s="11">
        <f>IF('Data Entry'!A1713="","",'Data Entry'!A1713)</f>
        <v/>
      </c>
      <c r="B1713" s="12">
        <f>IF('Data Entry'!A1713="","",'Data Entry'!B1713)</f>
        <v/>
      </c>
      <c r="C1713" s="12">
        <f>IF('Data Entry'!A1713="","",'Data Entry'!C1713)</f>
        <v/>
      </c>
      <c r="D1713" s="12">
        <f>IF('Data Entry'!A1713="","",'Data Entry'!D1713)</f>
        <v/>
      </c>
      <c r="E1713" s="12">
        <f>IF('Data Entry'!A1713="","",'Data Entry'!E1713)</f>
        <v/>
      </c>
      <c r="F1713" s="12">
        <f>IF('Data Entry'!A1713="","",'Data Entry'!F1713)</f>
        <v/>
      </c>
      <c r="G1713" s="13">
        <f>IF('Data Entry'!A1713="","",'Data Entry'!G1713)</f>
        <v/>
      </c>
      <c r="H1713" s="10">
        <f>IF('Data Entry'!A1713="","",'Data Entry'!H1713)</f>
        <v/>
      </c>
      <c r="I1713" s="10">
        <f>IF('Data Entry'!A1713="","",'Data Entry'!I1713)</f>
        <v/>
      </c>
      <c r="J1713" s="12">
        <f>IF('Data Entry'!A1713="","",IF('Data Entry'!D1713&lt;&gt;"",'Data Entry'!D1713,'Data Entry'!E1713))</f>
        <v/>
      </c>
      <c r="K1713" s="10">
        <f>IF('Data Entry'!A1713="","",IFERROR(SUMIFS($H$5:$H$2001,$J$5:$J$2001,$J1713,$B$5:$B$2001,$B1713,$A$5:$A$2001,(MAXIFS($A$5:$A$2001,$J$5:$J$2001,$J1713,$B$5:$B$2001,$B1713,$A$5:$A$2001,"&lt;"&amp;$A1713))),""))</f>
        <v/>
      </c>
      <c r="L1713" s="14">
        <f>IF(OR('Data Entry'!A1713="",$K1713=""),"",$H1713-$K1713)</f>
        <v/>
      </c>
      <c r="M1713" s="15">
        <f>IF(OR('Data Entry'!A1713="",$K1713="",$K1713=0),"",$L1713/$K1713)</f>
        <v/>
      </c>
      <c r="N1713" s="12">
        <f>IF('Data Entry'!A1713="","",IF($L1713="","New item",IF($L1713&gt;0,"UP",IF($L1713&lt;0,"down","same"))))</f>
        <v/>
      </c>
    </row>
    <row r="1714">
      <c r="A1714" s="11">
        <f>IF('Data Entry'!A1714="","",'Data Entry'!A1714)</f>
        <v/>
      </c>
      <c r="B1714" s="12">
        <f>IF('Data Entry'!A1714="","",'Data Entry'!B1714)</f>
        <v/>
      </c>
      <c r="C1714" s="12">
        <f>IF('Data Entry'!A1714="","",'Data Entry'!C1714)</f>
        <v/>
      </c>
      <c r="D1714" s="12">
        <f>IF('Data Entry'!A1714="","",'Data Entry'!D1714)</f>
        <v/>
      </c>
      <c r="E1714" s="12">
        <f>IF('Data Entry'!A1714="","",'Data Entry'!E1714)</f>
        <v/>
      </c>
      <c r="F1714" s="12">
        <f>IF('Data Entry'!A1714="","",'Data Entry'!F1714)</f>
        <v/>
      </c>
      <c r="G1714" s="13">
        <f>IF('Data Entry'!A1714="","",'Data Entry'!G1714)</f>
        <v/>
      </c>
      <c r="H1714" s="10">
        <f>IF('Data Entry'!A1714="","",'Data Entry'!H1714)</f>
        <v/>
      </c>
      <c r="I1714" s="10">
        <f>IF('Data Entry'!A1714="","",'Data Entry'!I1714)</f>
        <v/>
      </c>
      <c r="J1714" s="12">
        <f>IF('Data Entry'!A1714="","",IF('Data Entry'!D1714&lt;&gt;"",'Data Entry'!D1714,'Data Entry'!E1714))</f>
        <v/>
      </c>
      <c r="K1714" s="10">
        <f>IF('Data Entry'!A1714="","",IFERROR(SUMIFS($H$5:$H$2001,$J$5:$J$2001,$J1714,$B$5:$B$2001,$B1714,$A$5:$A$2001,(MAXIFS($A$5:$A$2001,$J$5:$J$2001,$J1714,$B$5:$B$2001,$B1714,$A$5:$A$2001,"&lt;"&amp;$A1714))),""))</f>
        <v/>
      </c>
      <c r="L1714" s="14">
        <f>IF(OR('Data Entry'!A1714="",$K1714=""),"",$H1714-$K1714)</f>
        <v/>
      </c>
      <c r="M1714" s="15">
        <f>IF(OR('Data Entry'!A1714="",$K1714="",$K1714=0),"",$L1714/$K1714)</f>
        <v/>
      </c>
      <c r="N1714" s="12">
        <f>IF('Data Entry'!A1714="","",IF($L1714="","New item",IF($L1714&gt;0,"UP",IF($L1714&lt;0,"down","same"))))</f>
        <v/>
      </c>
    </row>
    <row r="1715">
      <c r="A1715" s="11">
        <f>IF('Data Entry'!A1715="","",'Data Entry'!A1715)</f>
        <v/>
      </c>
      <c r="B1715" s="12">
        <f>IF('Data Entry'!A1715="","",'Data Entry'!B1715)</f>
        <v/>
      </c>
      <c r="C1715" s="12">
        <f>IF('Data Entry'!A1715="","",'Data Entry'!C1715)</f>
        <v/>
      </c>
      <c r="D1715" s="12">
        <f>IF('Data Entry'!A1715="","",'Data Entry'!D1715)</f>
        <v/>
      </c>
      <c r="E1715" s="12">
        <f>IF('Data Entry'!A1715="","",'Data Entry'!E1715)</f>
        <v/>
      </c>
      <c r="F1715" s="12">
        <f>IF('Data Entry'!A1715="","",'Data Entry'!F1715)</f>
        <v/>
      </c>
      <c r="G1715" s="13">
        <f>IF('Data Entry'!A1715="","",'Data Entry'!G1715)</f>
        <v/>
      </c>
      <c r="H1715" s="10">
        <f>IF('Data Entry'!A1715="","",'Data Entry'!H1715)</f>
        <v/>
      </c>
      <c r="I1715" s="10">
        <f>IF('Data Entry'!A1715="","",'Data Entry'!I1715)</f>
        <v/>
      </c>
      <c r="J1715" s="12">
        <f>IF('Data Entry'!A1715="","",IF('Data Entry'!D1715&lt;&gt;"",'Data Entry'!D1715,'Data Entry'!E1715))</f>
        <v/>
      </c>
      <c r="K1715" s="10">
        <f>IF('Data Entry'!A1715="","",IFERROR(SUMIFS($H$5:$H$2001,$J$5:$J$2001,$J1715,$B$5:$B$2001,$B1715,$A$5:$A$2001,(MAXIFS($A$5:$A$2001,$J$5:$J$2001,$J1715,$B$5:$B$2001,$B1715,$A$5:$A$2001,"&lt;"&amp;$A1715))),""))</f>
        <v/>
      </c>
      <c r="L1715" s="14">
        <f>IF(OR('Data Entry'!A1715="",$K1715=""),"",$H1715-$K1715)</f>
        <v/>
      </c>
      <c r="M1715" s="15">
        <f>IF(OR('Data Entry'!A1715="",$K1715="",$K1715=0),"",$L1715/$K1715)</f>
        <v/>
      </c>
      <c r="N1715" s="12">
        <f>IF('Data Entry'!A1715="","",IF($L1715="","New item",IF($L1715&gt;0,"UP",IF($L1715&lt;0,"down","same"))))</f>
        <v/>
      </c>
    </row>
    <row r="1716">
      <c r="A1716" s="11">
        <f>IF('Data Entry'!A1716="","",'Data Entry'!A1716)</f>
        <v/>
      </c>
      <c r="B1716" s="12">
        <f>IF('Data Entry'!A1716="","",'Data Entry'!B1716)</f>
        <v/>
      </c>
      <c r="C1716" s="12">
        <f>IF('Data Entry'!A1716="","",'Data Entry'!C1716)</f>
        <v/>
      </c>
      <c r="D1716" s="12">
        <f>IF('Data Entry'!A1716="","",'Data Entry'!D1716)</f>
        <v/>
      </c>
      <c r="E1716" s="12">
        <f>IF('Data Entry'!A1716="","",'Data Entry'!E1716)</f>
        <v/>
      </c>
      <c r="F1716" s="12">
        <f>IF('Data Entry'!A1716="","",'Data Entry'!F1716)</f>
        <v/>
      </c>
      <c r="G1716" s="13">
        <f>IF('Data Entry'!A1716="","",'Data Entry'!G1716)</f>
        <v/>
      </c>
      <c r="H1716" s="10">
        <f>IF('Data Entry'!A1716="","",'Data Entry'!H1716)</f>
        <v/>
      </c>
      <c r="I1716" s="10">
        <f>IF('Data Entry'!A1716="","",'Data Entry'!I1716)</f>
        <v/>
      </c>
      <c r="J1716" s="12">
        <f>IF('Data Entry'!A1716="","",IF('Data Entry'!D1716&lt;&gt;"",'Data Entry'!D1716,'Data Entry'!E1716))</f>
        <v/>
      </c>
      <c r="K1716" s="10">
        <f>IF('Data Entry'!A1716="","",IFERROR(SUMIFS($H$5:$H$2001,$J$5:$J$2001,$J1716,$B$5:$B$2001,$B1716,$A$5:$A$2001,(MAXIFS($A$5:$A$2001,$J$5:$J$2001,$J1716,$B$5:$B$2001,$B1716,$A$5:$A$2001,"&lt;"&amp;$A1716))),""))</f>
        <v/>
      </c>
      <c r="L1716" s="14">
        <f>IF(OR('Data Entry'!A1716="",$K1716=""),"",$H1716-$K1716)</f>
        <v/>
      </c>
      <c r="M1716" s="15">
        <f>IF(OR('Data Entry'!A1716="",$K1716="",$K1716=0),"",$L1716/$K1716)</f>
        <v/>
      </c>
      <c r="N1716" s="12">
        <f>IF('Data Entry'!A1716="","",IF($L1716="","New item",IF($L1716&gt;0,"UP",IF($L1716&lt;0,"down","same"))))</f>
        <v/>
      </c>
    </row>
    <row r="1717">
      <c r="A1717" s="11">
        <f>IF('Data Entry'!A1717="","",'Data Entry'!A1717)</f>
        <v/>
      </c>
      <c r="B1717" s="12">
        <f>IF('Data Entry'!A1717="","",'Data Entry'!B1717)</f>
        <v/>
      </c>
      <c r="C1717" s="12">
        <f>IF('Data Entry'!A1717="","",'Data Entry'!C1717)</f>
        <v/>
      </c>
      <c r="D1717" s="12">
        <f>IF('Data Entry'!A1717="","",'Data Entry'!D1717)</f>
        <v/>
      </c>
      <c r="E1717" s="12">
        <f>IF('Data Entry'!A1717="","",'Data Entry'!E1717)</f>
        <v/>
      </c>
      <c r="F1717" s="12">
        <f>IF('Data Entry'!A1717="","",'Data Entry'!F1717)</f>
        <v/>
      </c>
      <c r="G1717" s="13">
        <f>IF('Data Entry'!A1717="","",'Data Entry'!G1717)</f>
        <v/>
      </c>
      <c r="H1717" s="10">
        <f>IF('Data Entry'!A1717="","",'Data Entry'!H1717)</f>
        <v/>
      </c>
      <c r="I1717" s="10">
        <f>IF('Data Entry'!A1717="","",'Data Entry'!I1717)</f>
        <v/>
      </c>
      <c r="J1717" s="12">
        <f>IF('Data Entry'!A1717="","",IF('Data Entry'!D1717&lt;&gt;"",'Data Entry'!D1717,'Data Entry'!E1717))</f>
        <v/>
      </c>
      <c r="K1717" s="10">
        <f>IF('Data Entry'!A1717="","",IFERROR(SUMIFS($H$5:$H$2001,$J$5:$J$2001,$J1717,$B$5:$B$2001,$B1717,$A$5:$A$2001,(MAXIFS($A$5:$A$2001,$J$5:$J$2001,$J1717,$B$5:$B$2001,$B1717,$A$5:$A$2001,"&lt;"&amp;$A1717))),""))</f>
        <v/>
      </c>
      <c r="L1717" s="14">
        <f>IF(OR('Data Entry'!A1717="",$K1717=""),"",$H1717-$K1717)</f>
        <v/>
      </c>
      <c r="M1717" s="15">
        <f>IF(OR('Data Entry'!A1717="",$K1717="",$K1717=0),"",$L1717/$K1717)</f>
        <v/>
      </c>
      <c r="N1717" s="12">
        <f>IF('Data Entry'!A1717="","",IF($L1717="","New item",IF($L1717&gt;0,"UP",IF($L1717&lt;0,"down","same"))))</f>
        <v/>
      </c>
    </row>
    <row r="1718">
      <c r="A1718" s="11">
        <f>IF('Data Entry'!A1718="","",'Data Entry'!A1718)</f>
        <v/>
      </c>
      <c r="B1718" s="12">
        <f>IF('Data Entry'!A1718="","",'Data Entry'!B1718)</f>
        <v/>
      </c>
      <c r="C1718" s="12">
        <f>IF('Data Entry'!A1718="","",'Data Entry'!C1718)</f>
        <v/>
      </c>
      <c r="D1718" s="12">
        <f>IF('Data Entry'!A1718="","",'Data Entry'!D1718)</f>
        <v/>
      </c>
      <c r="E1718" s="12">
        <f>IF('Data Entry'!A1718="","",'Data Entry'!E1718)</f>
        <v/>
      </c>
      <c r="F1718" s="12">
        <f>IF('Data Entry'!A1718="","",'Data Entry'!F1718)</f>
        <v/>
      </c>
      <c r="G1718" s="13">
        <f>IF('Data Entry'!A1718="","",'Data Entry'!G1718)</f>
        <v/>
      </c>
      <c r="H1718" s="10">
        <f>IF('Data Entry'!A1718="","",'Data Entry'!H1718)</f>
        <v/>
      </c>
      <c r="I1718" s="10">
        <f>IF('Data Entry'!A1718="","",'Data Entry'!I1718)</f>
        <v/>
      </c>
      <c r="J1718" s="12">
        <f>IF('Data Entry'!A1718="","",IF('Data Entry'!D1718&lt;&gt;"",'Data Entry'!D1718,'Data Entry'!E1718))</f>
        <v/>
      </c>
      <c r="K1718" s="10">
        <f>IF('Data Entry'!A1718="","",IFERROR(SUMIFS($H$5:$H$2001,$J$5:$J$2001,$J1718,$B$5:$B$2001,$B1718,$A$5:$A$2001,(MAXIFS($A$5:$A$2001,$J$5:$J$2001,$J1718,$B$5:$B$2001,$B1718,$A$5:$A$2001,"&lt;"&amp;$A1718))),""))</f>
        <v/>
      </c>
      <c r="L1718" s="14">
        <f>IF(OR('Data Entry'!A1718="",$K1718=""),"",$H1718-$K1718)</f>
        <v/>
      </c>
      <c r="M1718" s="15">
        <f>IF(OR('Data Entry'!A1718="",$K1718="",$K1718=0),"",$L1718/$K1718)</f>
        <v/>
      </c>
      <c r="N1718" s="12">
        <f>IF('Data Entry'!A1718="","",IF($L1718="","New item",IF($L1718&gt;0,"UP",IF($L1718&lt;0,"down","same"))))</f>
        <v/>
      </c>
    </row>
    <row r="1719">
      <c r="A1719" s="11">
        <f>IF('Data Entry'!A1719="","",'Data Entry'!A1719)</f>
        <v/>
      </c>
      <c r="B1719" s="12">
        <f>IF('Data Entry'!A1719="","",'Data Entry'!B1719)</f>
        <v/>
      </c>
      <c r="C1719" s="12">
        <f>IF('Data Entry'!A1719="","",'Data Entry'!C1719)</f>
        <v/>
      </c>
      <c r="D1719" s="12">
        <f>IF('Data Entry'!A1719="","",'Data Entry'!D1719)</f>
        <v/>
      </c>
      <c r="E1719" s="12">
        <f>IF('Data Entry'!A1719="","",'Data Entry'!E1719)</f>
        <v/>
      </c>
      <c r="F1719" s="12">
        <f>IF('Data Entry'!A1719="","",'Data Entry'!F1719)</f>
        <v/>
      </c>
      <c r="G1719" s="13">
        <f>IF('Data Entry'!A1719="","",'Data Entry'!G1719)</f>
        <v/>
      </c>
      <c r="H1719" s="10">
        <f>IF('Data Entry'!A1719="","",'Data Entry'!H1719)</f>
        <v/>
      </c>
      <c r="I1719" s="10">
        <f>IF('Data Entry'!A1719="","",'Data Entry'!I1719)</f>
        <v/>
      </c>
      <c r="J1719" s="12">
        <f>IF('Data Entry'!A1719="","",IF('Data Entry'!D1719&lt;&gt;"",'Data Entry'!D1719,'Data Entry'!E1719))</f>
        <v/>
      </c>
      <c r="K1719" s="10">
        <f>IF('Data Entry'!A1719="","",IFERROR(SUMIFS($H$5:$H$2001,$J$5:$J$2001,$J1719,$B$5:$B$2001,$B1719,$A$5:$A$2001,(MAXIFS($A$5:$A$2001,$J$5:$J$2001,$J1719,$B$5:$B$2001,$B1719,$A$5:$A$2001,"&lt;"&amp;$A1719))),""))</f>
        <v/>
      </c>
      <c r="L1719" s="14">
        <f>IF(OR('Data Entry'!A1719="",$K1719=""),"",$H1719-$K1719)</f>
        <v/>
      </c>
      <c r="M1719" s="15">
        <f>IF(OR('Data Entry'!A1719="",$K1719="",$K1719=0),"",$L1719/$K1719)</f>
        <v/>
      </c>
      <c r="N1719" s="12">
        <f>IF('Data Entry'!A1719="","",IF($L1719="","New item",IF($L1719&gt;0,"UP",IF($L1719&lt;0,"down","same"))))</f>
        <v/>
      </c>
    </row>
    <row r="1720">
      <c r="A1720" s="11">
        <f>IF('Data Entry'!A1720="","",'Data Entry'!A1720)</f>
        <v/>
      </c>
      <c r="B1720" s="12">
        <f>IF('Data Entry'!A1720="","",'Data Entry'!B1720)</f>
        <v/>
      </c>
      <c r="C1720" s="12">
        <f>IF('Data Entry'!A1720="","",'Data Entry'!C1720)</f>
        <v/>
      </c>
      <c r="D1720" s="12">
        <f>IF('Data Entry'!A1720="","",'Data Entry'!D1720)</f>
        <v/>
      </c>
      <c r="E1720" s="12">
        <f>IF('Data Entry'!A1720="","",'Data Entry'!E1720)</f>
        <v/>
      </c>
      <c r="F1720" s="12">
        <f>IF('Data Entry'!A1720="","",'Data Entry'!F1720)</f>
        <v/>
      </c>
      <c r="G1720" s="13">
        <f>IF('Data Entry'!A1720="","",'Data Entry'!G1720)</f>
        <v/>
      </c>
      <c r="H1720" s="10">
        <f>IF('Data Entry'!A1720="","",'Data Entry'!H1720)</f>
        <v/>
      </c>
      <c r="I1720" s="10">
        <f>IF('Data Entry'!A1720="","",'Data Entry'!I1720)</f>
        <v/>
      </c>
      <c r="J1720" s="12">
        <f>IF('Data Entry'!A1720="","",IF('Data Entry'!D1720&lt;&gt;"",'Data Entry'!D1720,'Data Entry'!E1720))</f>
        <v/>
      </c>
      <c r="K1720" s="10">
        <f>IF('Data Entry'!A1720="","",IFERROR(SUMIFS($H$5:$H$2001,$J$5:$J$2001,$J1720,$B$5:$B$2001,$B1720,$A$5:$A$2001,(MAXIFS($A$5:$A$2001,$J$5:$J$2001,$J1720,$B$5:$B$2001,$B1720,$A$5:$A$2001,"&lt;"&amp;$A1720))),""))</f>
        <v/>
      </c>
      <c r="L1720" s="14">
        <f>IF(OR('Data Entry'!A1720="",$K1720=""),"",$H1720-$K1720)</f>
        <v/>
      </c>
      <c r="M1720" s="15">
        <f>IF(OR('Data Entry'!A1720="",$K1720="",$K1720=0),"",$L1720/$K1720)</f>
        <v/>
      </c>
      <c r="N1720" s="12">
        <f>IF('Data Entry'!A1720="","",IF($L1720="","New item",IF($L1720&gt;0,"UP",IF($L1720&lt;0,"down","same"))))</f>
        <v/>
      </c>
    </row>
    <row r="1721">
      <c r="A1721" s="11">
        <f>IF('Data Entry'!A1721="","",'Data Entry'!A1721)</f>
        <v/>
      </c>
      <c r="B1721" s="12">
        <f>IF('Data Entry'!A1721="","",'Data Entry'!B1721)</f>
        <v/>
      </c>
      <c r="C1721" s="12">
        <f>IF('Data Entry'!A1721="","",'Data Entry'!C1721)</f>
        <v/>
      </c>
      <c r="D1721" s="12">
        <f>IF('Data Entry'!A1721="","",'Data Entry'!D1721)</f>
        <v/>
      </c>
      <c r="E1721" s="12">
        <f>IF('Data Entry'!A1721="","",'Data Entry'!E1721)</f>
        <v/>
      </c>
      <c r="F1721" s="12">
        <f>IF('Data Entry'!A1721="","",'Data Entry'!F1721)</f>
        <v/>
      </c>
      <c r="G1721" s="13">
        <f>IF('Data Entry'!A1721="","",'Data Entry'!G1721)</f>
        <v/>
      </c>
      <c r="H1721" s="10">
        <f>IF('Data Entry'!A1721="","",'Data Entry'!H1721)</f>
        <v/>
      </c>
      <c r="I1721" s="10">
        <f>IF('Data Entry'!A1721="","",'Data Entry'!I1721)</f>
        <v/>
      </c>
      <c r="J1721" s="12">
        <f>IF('Data Entry'!A1721="","",IF('Data Entry'!D1721&lt;&gt;"",'Data Entry'!D1721,'Data Entry'!E1721))</f>
        <v/>
      </c>
      <c r="K1721" s="10">
        <f>IF('Data Entry'!A1721="","",IFERROR(SUMIFS($H$5:$H$2001,$J$5:$J$2001,$J1721,$B$5:$B$2001,$B1721,$A$5:$A$2001,(MAXIFS($A$5:$A$2001,$J$5:$J$2001,$J1721,$B$5:$B$2001,$B1721,$A$5:$A$2001,"&lt;"&amp;$A1721))),""))</f>
        <v/>
      </c>
      <c r="L1721" s="14">
        <f>IF(OR('Data Entry'!A1721="",$K1721=""),"",$H1721-$K1721)</f>
        <v/>
      </c>
      <c r="M1721" s="15">
        <f>IF(OR('Data Entry'!A1721="",$K1721="",$K1721=0),"",$L1721/$K1721)</f>
        <v/>
      </c>
      <c r="N1721" s="12">
        <f>IF('Data Entry'!A1721="","",IF($L1721="","New item",IF($L1721&gt;0,"UP",IF($L1721&lt;0,"down","same"))))</f>
        <v/>
      </c>
    </row>
    <row r="1722">
      <c r="A1722" s="11">
        <f>IF('Data Entry'!A1722="","",'Data Entry'!A1722)</f>
        <v/>
      </c>
      <c r="B1722" s="12">
        <f>IF('Data Entry'!A1722="","",'Data Entry'!B1722)</f>
        <v/>
      </c>
      <c r="C1722" s="12">
        <f>IF('Data Entry'!A1722="","",'Data Entry'!C1722)</f>
        <v/>
      </c>
      <c r="D1722" s="12">
        <f>IF('Data Entry'!A1722="","",'Data Entry'!D1722)</f>
        <v/>
      </c>
      <c r="E1722" s="12">
        <f>IF('Data Entry'!A1722="","",'Data Entry'!E1722)</f>
        <v/>
      </c>
      <c r="F1722" s="12">
        <f>IF('Data Entry'!A1722="","",'Data Entry'!F1722)</f>
        <v/>
      </c>
      <c r="G1722" s="13">
        <f>IF('Data Entry'!A1722="","",'Data Entry'!G1722)</f>
        <v/>
      </c>
      <c r="H1722" s="10">
        <f>IF('Data Entry'!A1722="","",'Data Entry'!H1722)</f>
        <v/>
      </c>
      <c r="I1722" s="10">
        <f>IF('Data Entry'!A1722="","",'Data Entry'!I1722)</f>
        <v/>
      </c>
      <c r="J1722" s="12">
        <f>IF('Data Entry'!A1722="","",IF('Data Entry'!D1722&lt;&gt;"",'Data Entry'!D1722,'Data Entry'!E1722))</f>
        <v/>
      </c>
      <c r="K1722" s="10">
        <f>IF('Data Entry'!A1722="","",IFERROR(SUMIFS($H$5:$H$2001,$J$5:$J$2001,$J1722,$B$5:$B$2001,$B1722,$A$5:$A$2001,(MAXIFS($A$5:$A$2001,$J$5:$J$2001,$J1722,$B$5:$B$2001,$B1722,$A$5:$A$2001,"&lt;"&amp;$A1722))),""))</f>
        <v/>
      </c>
      <c r="L1722" s="14">
        <f>IF(OR('Data Entry'!A1722="",$K1722=""),"",$H1722-$K1722)</f>
        <v/>
      </c>
      <c r="M1722" s="15">
        <f>IF(OR('Data Entry'!A1722="",$K1722="",$K1722=0),"",$L1722/$K1722)</f>
        <v/>
      </c>
      <c r="N1722" s="12">
        <f>IF('Data Entry'!A1722="","",IF($L1722="","New item",IF($L1722&gt;0,"UP",IF($L1722&lt;0,"down","same"))))</f>
        <v/>
      </c>
    </row>
    <row r="1723">
      <c r="A1723" s="11">
        <f>IF('Data Entry'!A1723="","",'Data Entry'!A1723)</f>
        <v/>
      </c>
      <c r="B1723" s="12">
        <f>IF('Data Entry'!A1723="","",'Data Entry'!B1723)</f>
        <v/>
      </c>
      <c r="C1723" s="12">
        <f>IF('Data Entry'!A1723="","",'Data Entry'!C1723)</f>
        <v/>
      </c>
      <c r="D1723" s="12">
        <f>IF('Data Entry'!A1723="","",'Data Entry'!D1723)</f>
        <v/>
      </c>
      <c r="E1723" s="12">
        <f>IF('Data Entry'!A1723="","",'Data Entry'!E1723)</f>
        <v/>
      </c>
      <c r="F1723" s="12">
        <f>IF('Data Entry'!A1723="","",'Data Entry'!F1723)</f>
        <v/>
      </c>
      <c r="G1723" s="13">
        <f>IF('Data Entry'!A1723="","",'Data Entry'!G1723)</f>
        <v/>
      </c>
      <c r="H1723" s="10">
        <f>IF('Data Entry'!A1723="","",'Data Entry'!H1723)</f>
        <v/>
      </c>
      <c r="I1723" s="10">
        <f>IF('Data Entry'!A1723="","",'Data Entry'!I1723)</f>
        <v/>
      </c>
      <c r="J1723" s="12">
        <f>IF('Data Entry'!A1723="","",IF('Data Entry'!D1723&lt;&gt;"",'Data Entry'!D1723,'Data Entry'!E1723))</f>
        <v/>
      </c>
      <c r="K1723" s="10">
        <f>IF('Data Entry'!A1723="","",IFERROR(SUMIFS($H$5:$H$2001,$J$5:$J$2001,$J1723,$B$5:$B$2001,$B1723,$A$5:$A$2001,(MAXIFS($A$5:$A$2001,$J$5:$J$2001,$J1723,$B$5:$B$2001,$B1723,$A$5:$A$2001,"&lt;"&amp;$A1723))),""))</f>
        <v/>
      </c>
      <c r="L1723" s="14">
        <f>IF(OR('Data Entry'!A1723="",$K1723=""),"",$H1723-$K1723)</f>
        <v/>
      </c>
      <c r="M1723" s="15">
        <f>IF(OR('Data Entry'!A1723="",$K1723="",$K1723=0),"",$L1723/$K1723)</f>
        <v/>
      </c>
      <c r="N1723" s="12">
        <f>IF('Data Entry'!A1723="","",IF($L1723="","New item",IF($L1723&gt;0,"UP",IF($L1723&lt;0,"down","same"))))</f>
        <v/>
      </c>
    </row>
    <row r="1724">
      <c r="A1724" s="11">
        <f>IF('Data Entry'!A1724="","",'Data Entry'!A1724)</f>
        <v/>
      </c>
      <c r="B1724" s="12">
        <f>IF('Data Entry'!A1724="","",'Data Entry'!B1724)</f>
        <v/>
      </c>
      <c r="C1724" s="12">
        <f>IF('Data Entry'!A1724="","",'Data Entry'!C1724)</f>
        <v/>
      </c>
      <c r="D1724" s="12">
        <f>IF('Data Entry'!A1724="","",'Data Entry'!D1724)</f>
        <v/>
      </c>
      <c r="E1724" s="12">
        <f>IF('Data Entry'!A1724="","",'Data Entry'!E1724)</f>
        <v/>
      </c>
      <c r="F1724" s="12">
        <f>IF('Data Entry'!A1724="","",'Data Entry'!F1724)</f>
        <v/>
      </c>
      <c r="G1724" s="13">
        <f>IF('Data Entry'!A1724="","",'Data Entry'!G1724)</f>
        <v/>
      </c>
      <c r="H1724" s="10">
        <f>IF('Data Entry'!A1724="","",'Data Entry'!H1724)</f>
        <v/>
      </c>
      <c r="I1724" s="10">
        <f>IF('Data Entry'!A1724="","",'Data Entry'!I1724)</f>
        <v/>
      </c>
      <c r="J1724" s="12">
        <f>IF('Data Entry'!A1724="","",IF('Data Entry'!D1724&lt;&gt;"",'Data Entry'!D1724,'Data Entry'!E1724))</f>
        <v/>
      </c>
      <c r="K1724" s="10">
        <f>IF('Data Entry'!A1724="","",IFERROR(SUMIFS($H$5:$H$2001,$J$5:$J$2001,$J1724,$B$5:$B$2001,$B1724,$A$5:$A$2001,(MAXIFS($A$5:$A$2001,$J$5:$J$2001,$J1724,$B$5:$B$2001,$B1724,$A$5:$A$2001,"&lt;"&amp;$A1724))),""))</f>
        <v/>
      </c>
      <c r="L1724" s="14">
        <f>IF(OR('Data Entry'!A1724="",$K1724=""),"",$H1724-$K1724)</f>
        <v/>
      </c>
      <c r="M1724" s="15">
        <f>IF(OR('Data Entry'!A1724="",$K1724="",$K1724=0),"",$L1724/$K1724)</f>
        <v/>
      </c>
      <c r="N1724" s="12">
        <f>IF('Data Entry'!A1724="","",IF($L1724="","New item",IF($L1724&gt;0,"UP",IF($L1724&lt;0,"down","same"))))</f>
        <v/>
      </c>
    </row>
    <row r="1725">
      <c r="A1725" s="11">
        <f>IF('Data Entry'!A1725="","",'Data Entry'!A1725)</f>
        <v/>
      </c>
      <c r="B1725" s="12">
        <f>IF('Data Entry'!A1725="","",'Data Entry'!B1725)</f>
        <v/>
      </c>
      <c r="C1725" s="12">
        <f>IF('Data Entry'!A1725="","",'Data Entry'!C1725)</f>
        <v/>
      </c>
      <c r="D1725" s="12">
        <f>IF('Data Entry'!A1725="","",'Data Entry'!D1725)</f>
        <v/>
      </c>
      <c r="E1725" s="12">
        <f>IF('Data Entry'!A1725="","",'Data Entry'!E1725)</f>
        <v/>
      </c>
      <c r="F1725" s="12">
        <f>IF('Data Entry'!A1725="","",'Data Entry'!F1725)</f>
        <v/>
      </c>
      <c r="G1725" s="13">
        <f>IF('Data Entry'!A1725="","",'Data Entry'!G1725)</f>
        <v/>
      </c>
      <c r="H1725" s="10">
        <f>IF('Data Entry'!A1725="","",'Data Entry'!H1725)</f>
        <v/>
      </c>
      <c r="I1725" s="10">
        <f>IF('Data Entry'!A1725="","",'Data Entry'!I1725)</f>
        <v/>
      </c>
      <c r="J1725" s="12">
        <f>IF('Data Entry'!A1725="","",IF('Data Entry'!D1725&lt;&gt;"",'Data Entry'!D1725,'Data Entry'!E1725))</f>
        <v/>
      </c>
      <c r="K1725" s="10">
        <f>IF('Data Entry'!A1725="","",IFERROR(SUMIFS($H$5:$H$2001,$J$5:$J$2001,$J1725,$B$5:$B$2001,$B1725,$A$5:$A$2001,(MAXIFS($A$5:$A$2001,$J$5:$J$2001,$J1725,$B$5:$B$2001,$B1725,$A$5:$A$2001,"&lt;"&amp;$A1725))),""))</f>
        <v/>
      </c>
      <c r="L1725" s="14">
        <f>IF(OR('Data Entry'!A1725="",$K1725=""),"",$H1725-$K1725)</f>
        <v/>
      </c>
      <c r="M1725" s="15">
        <f>IF(OR('Data Entry'!A1725="",$K1725="",$K1725=0),"",$L1725/$K1725)</f>
        <v/>
      </c>
      <c r="N1725" s="12">
        <f>IF('Data Entry'!A1725="","",IF($L1725="","New item",IF($L1725&gt;0,"UP",IF($L1725&lt;0,"down","same"))))</f>
        <v/>
      </c>
    </row>
    <row r="1726">
      <c r="A1726" s="11">
        <f>IF('Data Entry'!A1726="","",'Data Entry'!A1726)</f>
        <v/>
      </c>
      <c r="B1726" s="12">
        <f>IF('Data Entry'!A1726="","",'Data Entry'!B1726)</f>
        <v/>
      </c>
      <c r="C1726" s="12">
        <f>IF('Data Entry'!A1726="","",'Data Entry'!C1726)</f>
        <v/>
      </c>
      <c r="D1726" s="12">
        <f>IF('Data Entry'!A1726="","",'Data Entry'!D1726)</f>
        <v/>
      </c>
      <c r="E1726" s="12">
        <f>IF('Data Entry'!A1726="","",'Data Entry'!E1726)</f>
        <v/>
      </c>
      <c r="F1726" s="12">
        <f>IF('Data Entry'!A1726="","",'Data Entry'!F1726)</f>
        <v/>
      </c>
      <c r="G1726" s="13">
        <f>IF('Data Entry'!A1726="","",'Data Entry'!G1726)</f>
        <v/>
      </c>
      <c r="H1726" s="10">
        <f>IF('Data Entry'!A1726="","",'Data Entry'!H1726)</f>
        <v/>
      </c>
      <c r="I1726" s="10">
        <f>IF('Data Entry'!A1726="","",'Data Entry'!I1726)</f>
        <v/>
      </c>
      <c r="J1726" s="12">
        <f>IF('Data Entry'!A1726="","",IF('Data Entry'!D1726&lt;&gt;"",'Data Entry'!D1726,'Data Entry'!E1726))</f>
        <v/>
      </c>
      <c r="K1726" s="10">
        <f>IF('Data Entry'!A1726="","",IFERROR(SUMIFS($H$5:$H$2001,$J$5:$J$2001,$J1726,$B$5:$B$2001,$B1726,$A$5:$A$2001,(MAXIFS($A$5:$A$2001,$J$5:$J$2001,$J1726,$B$5:$B$2001,$B1726,$A$5:$A$2001,"&lt;"&amp;$A1726))),""))</f>
        <v/>
      </c>
      <c r="L1726" s="14">
        <f>IF(OR('Data Entry'!A1726="",$K1726=""),"",$H1726-$K1726)</f>
        <v/>
      </c>
      <c r="M1726" s="15">
        <f>IF(OR('Data Entry'!A1726="",$K1726="",$K1726=0),"",$L1726/$K1726)</f>
        <v/>
      </c>
      <c r="N1726" s="12">
        <f>IF('Data Entry'!A1726="","",IF($L1726="","New item",IF($L1726&gt;0,"UP",IF($L1726&lt;0,"down","same"))))</f>
        <v/>
      </c>
    </row>
    <row r="1727">
      <c r="A1727" s="11">
        <f>IF('Data Entry'!A1727="","",'Data Entry'!A1727)</f>
        <v/>
      </c>
      <c r="B1727" s="12">
        <f>IF('Data Entry'!A1727="","",'Data Entry'!B1727)</f>
        <v/>
      </c>
      <c r="C1727" s="12">
        <f>IF('Data Entry'!A1727="","",'Data Entry'!C1727)</f>
        <v/>
      </c>
      <c r="D1727" s="12">
        <f>IF('Data Entry'!A1727="","",'Data Entry'!D1727)</f>
        <v/>
      </c>
      <c r="E1727" s="12">
        <f>IF('Data Entry'!A1727="","",'Data Entry'!E1727)</f>
        <v/>
      </c>
      <c r="F1727" s="12">
        <f>IF('Data Entry'!A1727="","",'Data Entry'!F1727)</f>
        <v/>
      </c>
      <c r="G1727" s="13">
        <f>IF('Data Entry'!A1727="","",'Data Entry'!G1727)</f>
        <v/>
      </c>
      <c r="H1727" s="10">
        <f>IF('Data Entry'!A1727="","",'Data Entry'!H1727)</f>
        <v/>
      </c>
      <c r="I1727" s="10">
        <f>IF('Data Entry'!A1727="","",'Data Entry'!I1727)</f>
        <v/>
      </c>
      <c r="J1727" s="12">
        <f>IF('Data Entry'!A1727="","",IF('Data Entry'!D1727&lt;&gt;"",'Data Entry'!D1727,'Data Entry'!E1727))</f>
        <v/>
      </c>
      <c r="K1727" s="10">
        <f>IF('Data Entry'!A1727="","",IFERROR(SUMIFS($H$5:$H$2001,$J$5:$J$2001,$J1727,$B$5:$B$2001,$B1727,$A$5:$A$2001,(MAXIFS($A$5:$A$2001,$J$5:$J$2001,$J1727,$B$5:$B$2001,$B1727,$A$5:$A$2001,"&lt;"&amp;$A1727))),""))</f>
        <v/>
      </c>
      <c r="L1727" s="14">
        <f>IF(OR('Data Entry'!A1727="",$K1727=""),"",$H1727-$K1727)</f>
        <v/>
      </c>
      <c r="M1727" s="15">
        <f>IF(OR('Data Entry'!A1727="",$K1727="",$K1727=0),"",$L1727/$K1727)</f>
        <v/>
      </c>
      <c r="N1727" s="12">
        <f>IF('Data Entry'!A1727="","",IF($L1727="","New item",IF($L1727&gt;0,"UP",IF($L1727&lt;0,"down","same"))))</f>
        <v/>
      </c>
    </row>
    <row r="1728">
      <c r="A1728" s="11">
        <f>IF('Data Entry'!A1728="","",'Data Entry'!A1728)</f>
        <v/>
      </c>
      <c r="B1728" s="12">
        <f>IF('Data Entry'!A1728="","",'Data Entry'!B1728)</f>
        <v/>
      </c>
      <c r="C1728" s="12">
        <f>IF('Data Entry'!A1728="","",'Data Entry'!C1728)</f>
        <v/>
      </c>
      <c r="D1728" s="12">
        <f>IF('Data Entry'!A1728="","",'Data Entry'!D1728)</f>
        <v/>
      </c>
      <c r="E1728" s="12">
        <f>IF('Data Entry'!A1728="","",'Data Entry'!E1728)</f>
        <v/>
      </c>
      <c r="F1728" s="12">
        <f>IF('Data Entry'!A1728="","",'Data Entry'!F1728)</f>
        <v/>
      </c>
      <c r="G1728" s="13">
        <f>IF('Data Entry'!A1728="","",'Data Entry'!G1728)</f>
        <v/>
      </c>
      <c r="H1728" s="10">
        <f>IF('Data Entry'!A1728="","",'Data Entry'!H1728)</f>
        <v/>
      </c>
      <c r="I1728" s="10">
        <f>IF('Data Entry'!A1728="","",'Data Entry'!I1728)</f>
        <v/>
      </c>
      <c r="J1728" s="12">
        <f>IF('Data Entry'!A1728="","",IF('Data Entry'!D1728&lt;&gt;"",'Data Entry'!D1728,'Data Entry'!E1728))</f>
        <v/>
      </c>
      <c r="K1728" s="10">
        <f>IF('Data Entry'!A1728="","",IFERROR(SUMIFS($H$5:$H$2001,$J$5:$J$2001,$J1728,$B$5:$B$2001,$B1728,$A$5:$A$2001,(MAXIFS($A$5:$A$2001,$J$5:$J$2001,$J1728,$B$5:$B$2001,$B1728,$A$5:$A$2001,"&lt;"&amp;$A1728))),""))</f>
        <v/>
      </c>
      <c r="L1728" s="14">
        <f>IF(OR('Data Entry'!A1728="",$K1728=""),"",$H1728-$K1728)</f>
        <v/>
      </c>
      <c r="M1728" s="15">
        <f>IF(OR('Data Entry'!A1728="",$K1728="",$K1728=0),"",$L1728/$K1728)</f>
        <v/>
      </c>
      <c r="N1728" s="12">
        <f>IF('Data Entry'!A1728="","",IF($L1728="","New item",IF($L1728&gt;0,"UP",IF($L1728&lt;0,"down","same"))))</f>
        <v/>
      </c>
    </row>
    <row r="1729">
      <c r="A1729" s="11">
        <f>IF('Data Entry'!A1729="","",'Data Entry'!A1729)</f>
        <v/>
      </c>
      <c r="B1729" s="12">
        <f>IF('Data Entry'!A1729="","",'Data Entry'!B1729)</f>
        <v/>
      </c>
      <c r="C1729" s="12">
        <f>IF('Data Entry'!A1729="","",'Data Entry'!C1729)</f>
        <v/>
      </c>
      <c r="D1729" s="12">
        <f>IF('Data Entry'!A1729="","",'Data Entry'!D1729)</f>
        <v/>
      </c>
      <c r="E1729" s="12">
        <f>IF('Data Entry'!A1729="","",'Data Entry'!E1729)</f>
        <v/>
      </c>
      <c r="F1729" s="12">
        <f>IF('Data Entry'!A1729="","",'Data Entry'!F1729)</f>
        <v/>
      </c>
      <c r="G1729" s="13">
        <f>IF('Data Entry'!A1729="","",'Data Entry'!G1729)</f>
        <v/>
      </c>
      <c r="H1729" s="10">
        <f>IF('Data Entry'!A1729="","",'Data Entry'!H1729)</f>
        <v/>
      </c>
      <c r="I1729" s="10">
        <f>IF('Data Entry'!A1729="","",'Data Entry'!I1729)</f>
        <v/>
      </c>
      <c r="J1729" s="12">
        <f>IF('Data Entry'!A1729="","",IF('Data Entry'!D1729&lt;&gt;"",'Data Entry'!D1729,'Data Entry'!E1729))</f>
        <v/>
      </c>
      <c r="K1729" s="10">
        <f>IF('Data Entry'!A1729="","",IFERROR(SUMIFS($H$5:$H$2001,$J$5:$J$2001,$J1729,$B$5:$B$2001,$B1729,$A$5:$A$2001,(MAXIFS($A$5:$A$2001,$J$5:$J$2001,$J1729,$B$5:$B$2001,$B1729,$A$5:$A$2001,"&lt;"&amp;$A1729))),""))</f>
        <v/>
      </c>
      <c r="L1729" s="14">
        <f>IF(OR('Data Entry'!A1729="",$K1729=""),"",$H1729-$K1729)</f>
        <v/>
      </c>
      <c r="M1729" s="15">
        <f>IF(OR('Data Entry'!A1729="",$K1729="",$K1729=0),"",$L1729/$K1729)</f>
        <v/>
      </c>
      <c r="N1729" s="12">
        <f>IF('Data Entry'!A1729="","",IF($L1729="","New item",IF($L1729&gt;0,"UP",IF($L1729&lt;0,"down","same"))))</f>
        <v/>
      </c>
    </row>
    <row r="1730">
      <c r="A1730" s="11">
        <f>IF('Data Entry'!A1730="","",'Data Entry'!A1730)</f>
        <v/>
      </c>
      <c r="B1730" s="12">
        <f>IF('Data Entry'!A1730="","",'Data Entry'!B1730)</f>
        <v/>
      </c>
      <c r="C1730" s="12">
        <f>IF('Data Entry'!A1730="","",'Data Entry'!C1730)</f>
        <v/>
      </c>
      <c r="D1730" s="12">
        <f>IF('Data Entry'!A1730="","",'Data Entry'!D1730)</f>
        <v/>
      </c>
      <c r="E1730" s="12">
        <f>IF('Data Entry'!A1730="","",'Data Entry'!E1730)</f>
        <v/>
      </c>
      <c r="F1730" s="12">
        <f>IF('Data Entry'!A1730="","",'Data Entry'!F1730)</f>
        <v/>
      </c>
      <c r="G1730" s="13">
        <f>IF('Data Entry'!A1730="","",'Data Entry'!G1730)</f>
        <v/>
      </c>
      <c r="H1730" s="10">
        <f>IF('Data Entry'!A1730="","",'Data Entry'!H1730)</f>
        <v/>
      </c>
      <c r="I1730" s="10">
        <f>IF('Data Entry'!A1730="","",'Data Entry'!I1730)</f>
        <v/>
      </c>
      <c r="J1730" s="12">
        <f>IF('Data Entry'!A1730="","",IF('Data Entry'!D1730&lt;&gt;"",'Data Entry'!D1730,'Data Entry'!E1730))</f>
        <v/>
      </c>
      <c r="K1730" s="10">
        <f>IF('Data Entry'!A1730="","",IFERROR(SUMIFS($H$5:$H$2001,$J$5:$J$2001,$J1730,$B$5:$B$2001,$B1730,$A$5:$A$2001,(MAXIFS($A$5:$A$2001,$J$5:$J$2001,$J1730,$B$5:$B$2001,$B1730,$A$5:$A$2001,"&lt;"&amp;$A1730))),""))</f>
        <v/>
      </c>
      <c r="L1730" s="14">
        <f>IF(OR('Data Entry'!A1730="",$K1730=""),"",$H1730-$K1730)</f>
        <v/>
      </c>
      <c r="M1730" s="15">
        <f>IF(OR('Data Entry'!A1730="",$K1730="",$K1730=0),"",$L1730/$K1730)</f>
        <v/>
      </c>
      <c r="N1730" s="12">
        <f>IF('Data Entry'!A1730="","",IF($L1730="","New item",IF($L1730&gt;0,"UP",IF($L1730&lt;0,"down","same"))))</f>
        <v/>
      </c>
    </row>
    <row r="1731">
      <c r="A1731" s="11">
        <f>IF('Data Entry'!A1731="","",'Data Entry'!A1731)</f>
        <v/>
      </c>
      <c r="B1731" s="12">
        <f>IF('Data Entry'!A1731="","",'Data Entry'!B1731)</f>
        <v/>
      </c>
      <c r="C1731" s="12">
        <f>IF('Data Entry'!A1731="","",'Data Entry'!C1731)</f>
        <v/>
      </c>
      <c r="D1731" s="12">
        <f>IF('Data Entry'!A1731="","",'Data Entry'!D1731)</f>
        <v/>
      </c>
      <c r="E1731" s="12">
        <f>IF('Data Entry'!A1731="","",'Data Entry'!E1731)</f>
        <v/>
      </c>
      <c r="F1731" s="12">
        <f>IF('Data Entry'!A1731="","",'Data Entry'!F1731)</f>
        <v/>
      </c>
      <c r="G1731" s="13">
        <f>IF('Data Entry'!A1731="","",'Data Entry'!G1731)</f>
        <v/>
      </c>
      <c r="H1731" s="10">
        <f>IF('Data Entry'!A1731="","",'Data Entry'!H1731)</f>
        <v/>
      </c>
      <c r="I1731" s="10">
        <f>IF('Data Entry'!A1731="","",'Data Entry'!I1731)</f>
        <v/>
      </c>
      <c r="J1731" s="12">
        <f>IF('Data Entry'!A1731="","",IF('Data Entry'!D1731&lt;&gt;"",'Data Entry'!D1731,'Data Entry'!E1731))</f>
        <v/>
      </c>
      <c r="K1731" s="10">
        <f>IF('Data Entry'!A1731="","",IFERROR(SUMIFS($H$5:$H$2001,$J$5:$J$2001,$J1731,$B$5:$B$2001,$B1731,$A$5:$A$2001,(MAXIFS($A$5:$A$2001,$J$5:$J$2001,$J1731,$B$5:$B$2001,$B1731,$A$5:$A$2001,"&lt;"&amp;$A1731))),""))</f>
        <v/>
      </c>
      <c r="L1731" s="14">
        <f>IF(OR('Data Entry'!A1731="",$K1731=""),"",$H1731-$K1731)</f>
        <v/>
      </c>
      <c r="M1731" s="15">
        <f>IF(OR('Data Entry'!A1731="",$K1731="",$K1731=0),"",$L1731/$K1731)</f>
        <v/>
      </c>
      <c r="N1731" s="12">
        <f>IF('Data Entry'!A1731="","",IF($L1731="","New item",IF($L1731&gt;0,"UP",IF($L1731&lt;0,"down","same"))))</f>
        <v/>
      </c>
    </row>
    <row r="1732">
      <c r="A1732" s="11">
        <f>IF('Data Entry'!A1732="","",'Data Entry'!A1732)</f>
        <v/>
      </c>
      <c r="B1732" s="12">
        <f>IF('Data Entry'!A1732="","",'Data Entry'!B1732)</f>
        <v/>
      </c>
      <c r="C1732" s="12">
        <f>IF('Data Entry'!A1732="","",'Data Entry'!C1732)</f>
        <v/>
      </c>
      <c r="D1732" s="12">
        <f>IF('Data Entry'!A1732="","",'Data Entry'!D1732)</f>
        <v/>
      </c>
      <c r="E1732" s="12">
        <f>IF('Data Entry'!A1732="","",'Data Entry'!E1732)</f>
        <v/>
      </c>
      <c r="F1732" s="12">
        <f>IF('Data Entry'!A1732="","",'Data Entry'!F1732)</f>
        <v/>
      </c>
      <c r="G1732" s="13">
        <f>IF('Data Entry'!A1732="","",'Data Entry'!G1732)</f>
        <v/>
      </c>
      <c r="H1732" s="10">
        <f>IF('Data Entry'!A1732="","",'Data Entry'!H1732)</f>
        <v/>
      </c>
      <c r="I1732" s="10">
        <f>IF('Data Entry'!A1732="","",'Data Entry'!I1732)</f>
        <v/>
      </c>
      <c r="J1732" s="12">
        <f>IF('Data Entry'!A1732="","",IF('Data Entry'!D1732&lt;&gt;"",'Data Entry'!D1732,'Data Entry'!E1732))</f>
        <v/>
      </c>
      <c r="K1732" s="10">
        <f>IF('Data Entry'!A1732="","",IFERROR(SUMIFS($H$5:$H$2001,$J$5:$J$2001,$J1732,$B$5:$B$2001,$B1732,$A$5:$A$2001,(MAXIFS($A$5:$A$2001,$J$5:$J$2001,$J1732,$B$5:$B$2001,$B1732,$A$5:$A$2001,"&lt;"&amp;$A1732))),""))</f>
        <v/>
      </c>
      <c r="L1732" s="14">
        <f>IF(OR('Data Entry'!A1732="",$K1732=""),"",$H1732-$K1732)</f>
        <v/>
      </c>
      <c r="M1732" s="15">
        <f>IF(OR('Data Entry'!A1732="",$K1732="",$K1732=0),"",$L1732/$K1732)</f>
        <v/>
      </c>
      <c r="N1732" s="12">
        <f>IF('Data Entry'!A1732="","",IF($L1732="","New item",IF($L1732&gt;0,"UP",IF($L1732&lt;0,"down","same"))))</f>
        <v/>
      </c>
    </row>
    <row r="1733">
      <c r="A1733" s="11">
        <f>IF('Data Entry'!A1733="","",'Data Entry'!A1733)</f>
        <v/>
      </c>
      <c r="B1733" s="12">
        <f>IF('Data Entry'!A1733="","",'Data Entry'!B1733)</f>
        <v/>
      </c>
      <c r="C1733" s="12">
        <f>IF('Data Entry'!A1733="","",'Data Entry'!C1733)</f>
        <v/>
      </c>
      <c r="D1733" s="12">
        <f>IF('Data Entry'!A1733="","",'Data Entry'!D1733)</f>
        <v/>
      </c>
      <c r="E1733" s="12">
        <f>IF('Data Entry'!A1733="","",'Data Entry'!E1733)</f>
        <v/>
      </c>
      <c r="F1733" s="12">
        <f>IF('Data Entry'!A1733="","",'Data Entry'!F1733)</f>
        <v/>
      </c>
      <c r="G1733" s="13">
        <f>IF('Data Entry'!A1733="","",'Data Entry'!G1733)</f>
        <v/>
      </c>
      <c r="H1733" s="10">
        <f>IF('Data Entry'!A1733="","",'Data Entry'!H1733)</f>
        <v/>
      </c>
      <c r="I1733" s="10">
        <f>IF('Data Entry'!A1733="","",'Data Entry'!I1733)</f>
        <v/>
      </c>
      <c r="J1733" s="12">
        <f>IF('Data Entry'!A1733="","",IF('Data Entry'!D1733&lt;&gt;"",'Data Entry'!D1733,'Data Entry'!E1733))</f>
        <v/>
      </c>
      <c r="K1733" s="10">
        <f>IF('Data Entry'!A1733="","",IFERROR(SUMIFS($H$5:$H$2001,$J$5:$J$2001,$J1733,$B$5:$B$2001,$B1733,$A$5:$A$2001,(MAXIFS($A$5:$A$2001,$J$5:$J$2001,$J1733,$B$5:$B$2001,$B1733,$A$5:$A$2001,"&lt;"&amp;$A1733))),""))</f>
        <v/>
      </c>
      <c r="L1733" s="14">
        <f>IF(OR('Data Entry'!A1733="",$K1733=""),"",$H1733-$K1733)</f>
        <v/>
      </c>
      <c r="M1733" s="15">
        <f>IF(OR('Data Entry'!A1733="",$K1733="",$K1733=0),"",$L1733/$K1733)</f>
        <v/>
      </c>
      <c r="N1733" s="12">
        <f>IF('Data Entry'!A1733="","",IF($L1733="","New item",IF($L1733&gt;0,"UP",IF($L1733&lt;0,"down","same"))))</f>
        <v/>
      </c>
    </row>
    <row r="1734">
      <c r="A1734" s="11">
        <f>IF('Data Entry'!A1734="","",'Data Entry'!A1734)</f>
        <v/>
      </c>
      <c r="B1734" s="12">
        <f>IF('Data Entry'!A1734="","",'Data Entry'!B1734)</f>
        <v/>
      </c>
      <c r="C1734" s="12">
        <f>IF('Data Entry'!A1734="","",'Data Entry'!C1734)</f>
        <v/>
      </c>
      <c r="D1734" s="12">
        <f>IF('Data Entry'!A1734="","",'Data Entry'!D1734)</f>
        <v/>
      </c>
      <c r="E1734" s="12">
        <f>IF('Data Entry'!A1734="","",'Data Entry'!E1734)</f>
        <v/>
      </c>
      <c r="F1734" s="12">
        <f>IF('Data Entry'!A1734="","",'Data Entry'!F1734)</f>
        <v/>
      </c>
      <c r="G1734" s="13">
        <f>IF('Data Entry'!A1734="","",'Data Entry'!G1734)</f>
        <v/>
      </c>
      <c r="H1734" s="10">
        <f>IF('Data Entry'!A1734="","",'Data Entry'!H1734)</f>
        <v/>
      </c>
      <c r="I1734" s="10">
        <f>IF('Data Entry'!A1734="","",'Data Entry'!I1734)</f>
        <v/>
      </c>
      <c r="J1734" s="12">
        <f>IF('Data Entry'!A1734="","",IF('Data Entry'!D1734&lt;&gt;"",'Data Entry'!D1734,'Data Entry'!E1734))</f>
        <v/>
      </c>
      <c r="K1734" s="10">
        <f>IF('Data Entry'!A1734="","",IFERROR(SUMIFS($H$5:$H$2001,$J$5:$J$2001,$J1734,$B$5:$B$2001,$B1734,$A$5:$A$2001,(MAXIFS($A$5:$A$2001,$J$5:$J$2001,$J1734,$B$5:$B$2001,$B1734,$A$5:$A$2001,"&lt;"&amp;$A1734))),""))</f>
        <v/>
      </c>
      <c r="L1734" s="14">
        <f>IF(OR('Data Entry'!A1734="",$K1734=""),"",$H1734-$K1734)</f>
        <v/>
      </c>
      <c r="M1734" s="15">
        <f>IF(OR('Data Entry'!A1734="",$K1734="",$K1734=0),"",$L1734/$K1734)</f>
        <v/>
      </c>
      <c r="N1734" s="12">
        <f>IF('Data Entry'!A1734="","",IF($L1734="","New item",IF($L1734&gt;0,"UP",IF($L1734&lt;0,"down","same"))))</f>
        <v/>
      </c>
    </row>
    <row r="1735">
      <c r="A1735" s="11">
        <f>IF('Data Entry'!A1735="","",'Data Entry'!A1735)</f>
        <v/>
      </c>
      <c r="B1735" s="12">
        <f>IF('Data Entry'!A1735="","",'Data Entry'!B1735)</f>
        <v/>
      </c>
      <c r="C1735" s="12">
        <f>IF('Data Entry'!A1735="","",'Data Entry'!C1735)</f>
        <v/>
      </c>
      <c r="D1735" s="12">
        <f>IF('Data Entry'!A1735="","",'Data Entry'!D1735)</f>
        <v/>
      </c>
      <c r="E1735" s="12">
        <f>IF('Data Entry'!A1735="","",'Data Entry'!E1735)</f>
        <v/>
      </c>
      <c r="F1735" s="12">
        <f>IF('Data Entry'!A1735="","",'Data Entry'!F1735)</f>
        <v/>
      </c>
      <c r="G1735" s="13">
        <f>IF('Data Entry'!A1735="","",'Data Entry'!G1735)</f>
        <v/>
      </c>
      <c r="H1735" s="10">
        <f>IF('Data Entry'!A1735="","",'Data Entry'!H1735)</f>
        <v/>
      </c>
      <c r="I1735" s="10">
        <f>IF('Data Entry'!A1735="","",'Data Entry'!I1735)</f>
        <v/>
      </c>
      <c r="J1735" s="12">
        <f>IF('Data Entry'!A1735="","",IF('Data Entry'!D1735&lt;&gt;"",'Data Entry'!D1735,'Data Entry'!E1735))</f>
        <v/>
      </c>
      <c r="K1735" s="10">
        <f>IF('Data Entry'!A1735="","",IFERROR(SUMIFS($H$5:$H$2001,$J$5:$J$2001,$J1735,$B$5:$B$2001,$B1735,$A$5:$A$2001,(MAXIFS($A$5:$A$2001,$J$5:$J$2001,$J1735,$B$5:$B$2001,$B1735,$A$5:$A$2001,"&lt;"&amp;$A1735))),""))</f>
        <v/>
      </c>
      <c r="L1735" s="14">
        <f>IF(OR('Data Entry'!A1735="",$K1735=""),"",$H1735-$K1735)</f>
        <v/>
      </c>
      <c r="M1735" s="15">
        <f>IF(OR('Data Entry'!A1735="",$K1735="",$K1735=0),"",$L1735/$K1735)</f>
        <v/>
      </c>
      <c r="N1735" s="12">
        <f>IF('Data Entry'!A1735="","",IF($L1735="","New item",IF($L1735&gt;0,"UP",IF($L1735&lt;0,"down","same"))))</f>
        <v/>
      </c>
    </row>
    <row r="1736">
      <c r="A1736" s="11">
        <f>IF('Data Entry'!A1736="","",'Data Entry'!A1736)</f>
        <v/>
      </c>
      <c r="B1736" s="12">
        <f>IF('Data Entry'!A1736="","",'Data Entry'!B1736)</f>
        <v/>
      </c>
      <c r="C1736" s="12">
        <f>IF('Data Entry'!A1736="","",'Data Entry'!C1736)</f>
        <v/>
      </c>
      <c r="D1736" s="12">
        <f>IF('Data Entry'!A1736="","",'Data Entry'!D1736)</f>
        <v/>
      </c>
      <c r="E1736" s="12">
        <f>IF('Data Entry'!A1736="","",'Data Entry'!E1736)</f>
        <v/>
      </c>
      <c r="F1736" s="12">
        <f>IF('Data Entry'!A1736="","",'Data Entry'!F1736)</f>
        <v/>
      </c>
      <c r="G1736" s="13">
        <f>IF('Data Entry'!A1736="","",'Data Entry'!G1736)</f>
        <v/>
      </c>
      <c r="H1736" s="10">
        <f>IF('Data Entry'!A1736="","",'Data Entry'!H1736)</f>
        <v/>
      </c>
      <c r="I1736" s="10">
        <f>IF('Data Entry'!A1736="","",'Data Entry'!I1736)</f>
        <v/>
      </c>
      <c r="J1736" s="12">
        <f>IF('Data Entry'!A1736="","",IF('Data Entry'!D1736&lt;&gt;"",'Data Entry'!D1736,'Data Entry'!E1736))</f>
        <v/>
      </c>
      <c r="K1736" s="10">
        <f>IF('Data Entry'!A1736="","",IFERROR(SUMIFS($H$5:$H$2001,$J$5:$J$2001,$J1736,$B$5:$B$2001,$B1736,$A$5:$A$2001,(MAXIFS($A$5:$A$2001,$J$5:$J$2001,$J1736,$B$5:$B$2001,$B1736,$A$5:$A$2001,"&lt;"&amp;$A1736))),""))</f>
        <v/>
      </c>
      <c r="L1736" s="14">
        <f>IF(OR('Data Entry'!A1736="",$K1736=""),"",$H1736-$K1736)</f>
        <v/>
      </c>
      <c r="M1736" s="15">
        <f>IF(OR('Data Entry'!A1736="",$K1736="",$K1736=0),"",$L1736/$K1736)</f>
        <v/>
      </c>
      <c r="N1736" s="12">
        <f>IF('Data Entry'!A1736="","",IF($L1736="","New item",IF($L1736&gt;0,"UP",IF($L1736&lt;0,"down","same"))))</f>
        <v/>
      </c>
    </row>
    <row r="1737">
      <c r="A1737" s="11">
        <f>IF('Data Entry'!A1737="","",'Data Entry'!A1737)</f>
        <v/>
      </c>
      <c r="B1737" s="12">
        <f>IF('Data Entry'!A1737="","",'Data Entry'!B1737)</f>
        <v/>
      </c>
      <c r="C1737" s="12">
        <f>IF('Data Entry'!A1737="","",'Data Entry'!C1737)</f>
        <v/>
      </c>
      <c r="D1737" s="12">
        <f>IF('Data Entry'!A1737="","",'Data Entry'!D1737)</f>
        <v/>
      </c>
      <c r="E1737" s="12">
        <f>IF('Data Entry'!A1737="","",'Data Entry'!E1737)</f>
        <v/>
      </c>
      <c r="F1737" s="12">
        <f>IF('Data Entry'!A1737="","",'Data Entry'!F1737)</f>
        <v/>
      </c>
      <c r="G1737" s="13">
        <f>IF('Data Entry'!A1737="","",'Data Entry'!G1737)</f>
        <v/>
      </c>
      <c r="H1737" s="10">
        <f>IF('Data Entry'!A1737="","",'Data Entry'!H1737)</f>
        <v/>
      </c>
      <c r="I1737" s="10">
        <f>IF('Data Entry'!A1737="","",'Data Entry'!I1737)</f>
        <v/>
      </c>
      <c r="J1737" s="12">
        <f>IF('Data Entry'!A1737="","",IF('Data Entry'!D1737&lt;&gt;"",'Data Entry'!D1737,'Data Entry'!E1737))</f>
        <v/>
      </c>
      <c r="K1737" s="10">
        <f>IF('Data Entry'!A1737="","",IFERROR(SUMIFS($H$5:$H$2001,$J$5:$J$2001,$J1737,$B$5:$B$2001,$B1737,$A$5:$A$2001,(MAXIFS($A$5:$A$2001,$J$5:$J$2001,$J1737,$B$5:$B$2001,$B1737,$A$5:$A$2001,"&lt;"&amp;$A1737))),""))</f>
        <v/>
      </c>
      <c r="L1737" s="14">
        <f>IF(OR('Data Entry'!A1737="",$K1737=""),"",$H1737-$K1737)</f>
        <v/>
      </c>
      <c r="M1737" s="15">
        <f>IF(OR('Data Entry'!A1737="",$K1737="",$K1737=0),"",$L1737/$K1737)</f>
        <v/>
      </c>
      <c r="N1737" s="12">
        <f>IF('Data Entry'!A1737="","",IF($L1737="","New item",IF($L1737&gt;0,"UP",IF($L1737&lt;0,"down","same"))))</f>
        <v/>
      </c>
    </row>
    <row r="1738">
      <c r="A1738" s="11">
        <f>IF('Data Entry'!A1738="","",'Data Entry'!A1738)</f>
        <v/>
      </c>
      <c r="B1738" s="12">
        <f>IF('Data Entry'!A1738="","",'Data Entry'!B1738)</f>
        <v/>
      </c>
      <c r="C1738" s="12">
        <f>IF('Data Entry'!A1738="","",'Data Entry'!C1738)</f>
        <v/>
      </c>
      <c r="D1738" s="12">
        <f>IF('Data Entry'!A1738="","",'Data Entry'!D1738)</f>
        <v/>
      </c>
      <c r="E1738" s="12">
        <f>IF('Data Entry'!A1738="","",'Data Entry'!E1738)</f>
        <v/>
      </c>
      <c r="F1738" s="12">
        <f>IF('Data Entry'!A1738="","",'Data Entry'!F1738)</f>
        <v/>
      </c>
      <c r="G1738" s="13">
        <f>IF('Data Entry'!A1738="","",'Data Entry'!G1738)</f>
        <v/>
      </c>
      <c r="H1738" s="10">
        <f>IF('Data Entry'!A1738="","",'Data Entry'!H1738)</f>
        <v/>
      </c>
      <c r="I1738" s="10">
        <f>IF('Data Entry'!A1738="","",'Data Entry'!I1738)</f>
        <v/>
      </c>
      <c r="J1738" s="12">
        <f>IF('Data Entry'!A1738="","",IF('Data Entry'!D1738&lt;&gt;"",'Data Entry'!D1738,'Data Entry'!E1738))</f>
        <v/>
      </c>
      <c r="K1738" s="10">
        <f>IF('Data Entry'!A1738="","",IFERROR(SUMIFS($H$5:$H$2001,$J$5:$J$2001,$J1738,$B$5:$B$2001,$B1738,$A$5:$A$2001,(MAXIFS($A$5:$A$2001,$J$5:$J$2001,$J1738,$B$5:$B$2001,$B1738,$A$5:$A$2001,"&lt;"&amp;$A1738))),""))</f>
        <v/>
      </c>
      <c r="L1738" s="14">
        <f>IF(OR('Data Entry'!A1738="",$K1738=""),"",$H1738-$K1738)</f>
        <v/>
      </c>
      <c r="M1738" s="15">
        <f>IF(OR('Data Entry'!A1738="",$K1738="",$K1738=0),"",$L1738/$K1738)</f>
        <v/>
      </c>
      <c r="N1738" s="12">
        <f>IF('Data Entry'!A1738="","",IF($L1738="","New item",IF($L1738&gt;0,"UP",IF($L1738&lt;0,"down","same"))))</f>
        <v/>
      </c>
    </row>
    <row r="1739">
      <c r="A1739" s="11">
        <f>IF('Data Entry'!A1739="","",'Data Entry'!A1739)</f>
        <v/>
      </c>
      <c r="B1739" s="12">
        <f>IF('Data Entry'!A1739="","",'Data Entry'!B1739)</f>
        <v/>
      </c>
      <c r="C1739" s="12">
        <f>IF('Data Entry'!A1739="","",'Data Entry'!C1739)</f>
        <v/>
      </c>
      <c r="D1739" s="12">
        <f>IF('Data Entry'!A1739="","",'Data Entry'!D1739)</f>
        <v/>
      </c>
      <c r="E1739" s="12">
        <f>IF('Data Entry'!A1739="","",'Data Entry'!E1739)</f>
        <v/>
      </c>
      <c r="F1739" s="12">
        <f>IF('Data Entry'!A1739="","",'Data Entry'!F1739)</f>
        <v/>
      </c>
      <c r="G1739" s="13">
        <f>IF('Data Entry'!A1739="","",'Data Entry'!G1739)</f>
        <v/>
      </c>
      <c r="H1739" s="10">
        <f>IF('Data Entry'!A1739="","",'Data Entry'!H1739)</f>
        <v/>
      </c>
      <c r="I1739" s="10">
        <f>IF('Data Entry'!A1739="","",'Data Entry'!I1739)</f>
        <v/>
      </c>
      <c r="J1739" s="12">
        <f>IF('Data Entry'!A1739="","",IF('Data Entry'!D1739&lt;&gt;"",'Data Entry'!D1739,'Data Entry'!E1739))</f>
        <v/>
      </c>
      <c r="K1739" s="10">
        <f>IF('Data Entry'!A1739="","",IFERROR(SUMIFS($H$5:$H$2001,$J$5:$J$2001,$J1739,$B$5:$B$2001,$B1739,$A$5:$A$2001,(MAXIFS($A$5:$A$2001,$J$5:$J$2001,$J1739,$B$5:$B$2001,$B1739,$A$5:$A$2001,"&lt;"&amp;$A1739))),""))</f>
        <v/>
      </c>
      <c r="L1739" s="14">
        <f>IF(OR('Data Entry'!A1739="",$K1739=""),"",$H1739-$K1739)</f>
        <v/>
      </c>
      <c r="M1739" s="15">
        <f>IF(OR('Data Entry'!A1739="",$K1739="",$K1739=0),"",$L1739/$K1739)</f>
        <v/>
      </c>
      <c r="N1739" s="12">
        <f>IF('Data Entry'!A1739="","",IF($L1739="","New item",IF($L1739&gt;0,"UP",IF($L1739&lt;0,"down","same"))))</f>
        <v/>
      </c>
    </row>
    <row r="1740">
      <c r="A1740" s="11">
        <f>IF('Data Entry'!A1740="","",'Data Entry'!A1740)</f>
        <v/>
      </c>
      <c r="B1740" s="12">
        <f>IF('Data Entry'!A1740="","",'Data Entry'!B1740)</f>
        <v/>
      </c>
      <c r="C1740" s="12">
        <f>IF('Data Entry'!A1740="","",'Data Entry'!C1740)</f>
        <v/>
      </c>
      <c r="D1740" s="12">
        <f>IF('Data Entry'!A1740="","",'Data Entry'!D1740)</f>
        <v/>
      </c>
      <c r="E1740" s="12">
        <f>IF('Data Entry'!A1740="","",'Data Entry'!E1740)</f>
        <v/>
      </c>
      <c r="F1740" s="12">
        <f>IF('Data Entry'!A1740="","",'Data Entry'!F1740)</f>
        <v/>
      </c>
      <c r="G1740" s="13">
        <f>IF('Data Entry'!A1740="","",'Data Entry'!G1740)</f>
        <v/>
      </c>
      <c r="H1740" s="10">
        <f>IF('Data Entry'!A1740="","",'Data Entry'!H1740)</f>
        <v/>
      </c>
      <c r="I1740" s="10">
        <f>IF('Data Entry'!A1740="","",'Data Entry'!I1740)</f>
        <v/>
      </c>
      <c r="J1740" s="12">
        <f>IF('Data Entry'!A1740="","",IF('Data Entry'!D1740&lt;&gt;"",'Data Entry'!D1740,'Data Entry'!E1740))</f>
        <v/>
      </c>
      <c r="K1740" s="10">
        <f>IF('Data Entry'!A1740="","",IFERROR(SUMIFS($H$5:$H$2001,$J$5:$J$2001,$J1740,$B$5:$B$2001,$B1740,$A$5:$A$2001,(MAXIFS($A$5:$A$2001,$J$5:$J$2001,$J1740,$B$5:$B$2001,$B1740,$A$5:$A$2001,"&lt;"&amp;$A1740))),""))</f>
        <v/>
      </c>
      <c r="L1740" s="14">
        <f>IF(OR('Data Entry'!A1740="",$K1740=""),"",$H1740-$K1740)</f>
        <v/>
      </c>
      <c r="M1740" s="15">
        <f>IF(OR('Data Entry'!A1740="",$K1740="",$K1740=0),"",$L1740/$K1740)</f>
        <v/>
      </c>
      <c r="N1740" s="12">
        <f>IF('Data Entry'!A1740="","",IF($L1740="","New item",IF($L1740&gt;0,"UP",IF($L1740&lt;0,"down","same"))))</f>
        <v/>
      </c>
    </row>
    <row r="1741">
      <c r="A1741" s="11">
        <f>IF('Data Entry'!A1741="","",'Data Entry'!A1741)</f>
        <v/>
      </c>
      <c r="B1741" s="12">
        <f>IF('Data Entry'!A1741="","",'Data Entry'!B1741)</f>
        <v/>
      </c>
      <c r="C1741" s="12">
        <f>IF('Data Entry'!A1741="","",'Data Entry'!C1741)</f>
        <v/>
      </c>
      <c r="D1741" s="12">
        <f>IF('Data Entry'!A1741="","",'Data Entry'!D1741)</f>
        <v/>
      </c>
      <c r="E1741" s="12">
        <f>IF('Data Entry'!A1741="","",'Data Entry'!E1741)</f>
        <v/>
      </c>
      <c r="F1741" s="12">
        <f>IF('Data Entry'!A1741="","",'Data Entry'!F1741)</f>
        <v/>
      </c>
      <c r="G1741" s="13">
        <f>IF('Data Entry'!A1741="","",'Data Entry'!G1741)</f>
        <v/>
      </c>
      <c r="H1741" s="10">
        <f>IF('Data Entry'!A1741="","",'Data Entry'!H1741)</f>
        <v/>
      </c>
      <c r="I1741" s="10">
        <f>IF('Data Entry'!A1741="","",'Data Entry'!I1741)</f>
        <v/>
      </c>
      <c r="J1741" s="12">
        <f>IF('Data Entry'!A1741="","",IF('Data Entry'!D1741&lt;&gt;"",'Data Entry'!D1741,'Data Entry'!E1741))</f>
        <v/>
      </c>
      <c r="K1741" s="10">
        <f>IF('Data Entry'!A1741="","",IFERROR(SUMIFS($H$5:$H$2001,$J$5:$J$2001,$J1741,$B$5:$B$2001,$B1741,$A$5:$A$2001,(MAXIFS($A$5:$A$2001,$J$5:$J$2001,$J1741,$B$5:$B$2001,$B1741,$A$5:$A$2001,"&lt;"&amp;$A1741))),""))</f>
        <v/>
      </c>
      <c r="L1741" s="14">
        <f>IF(OR('Data Entry'!A1741="",$K1741=""),"",$H1741-$K1741)</f>
        <v/>
      </c>
      <c r="M1741" s="15">
        <f>IF(OR('Data Entry'!A1741="",$K1741="",$K1741=0),"",$L1741/$K1741)</f>
        <v/>
      </c>
      <c r="N1741" s="12">
        <f>IF('Data Entry'!A1741="","",IF($L1741="","New item",IF($L1741&gt;0,"UP",IF($L1741&lt;0,"down","same"))))</f>
        <v/>
      </c>
    </row>
    <row r="1742">
      <c r="A1742" s="11">
        <f>IF('Data Entry'!A1742="","",'Data Entry'!A1742)</f>
        <v/>
      </c>
      <c r="B1742" s="12">
        <f>IF('Data Entry'!A1742="","",'Data Entry'!B1742)</f>
        <v/>
      </c>
      <c r="C1742" s="12">
        <f>IF('Data Entry'!A1742="","",'Data Entry'!C1742)</f>
        <v/>
      </c>
      <c r="D1742" s="12">
        <f>IF('Data Entry'!A1742="","",'Data Entry'!D1742)</f>
        <v/>
      </c>
      <c r="E1742" s="12">
        <f>IF('Data Entry'!A1742="","",'Data Entry'!E1742)</f>
        <v/>
      </c>
      <c r="F1742" s="12">
        <f>IF('Data Entry'!A1742="","",'Data Entry'!F1742)</f>
        <v/>
      </c>
      <c r="G1742" s="13">
        <f>IF('Data Entry'!A1742="","",'Data Entry'!G1742)</f>
        <v/>
      </c>
      <c r="H1742" s="10">
        <f>IF('Data Entry'!A1742="","",'Data Entry'!H1742)</f>
        <v/>
      </c>
      <c r="I1742" s="10">
        <f>IF('Data Entry'!A1742="","",'Data Entry'!I1742)</f>
        <v/>
      </c>
      <c r="J1742" s="12">
        <f>IF('Data Entry'!A1742="","",IF('Data Entry'!D1742&lt;&gt;"",'Data Entry'!D1742,'Data Entry'!E1742))</f>
        <v/>
      </c>
      <c r="K1742" s="10">
        <f>IF('Data Entry'!A1742="","",IFERROR(SUMIFS($H$5:$H$2001,$J$5:$J$2001,$J1742,$B$5:$B$2001,$B1742,$A$5:$A$2001,(MAXIFS($A$5:$A$2001,$J$5:$J$2001,$J1742,$B$5:$B$2001,$B1742,$A$5:$A$2001,"&lt;"&amp;$A1742))),""))</f>
        <v/>
      </c>
      <c r="L1742" s="14">
        <f>IF(OR('Data Entry'!A1742="",$K1742=""),"",$H1742-$K1742)</f>
        <v/>
      </c>
      <c r="M1742" s="15">
        <f>IF(OR('Data Entry'!A1742="",$K1742="",$K1742=0),"",$L1742/$K1742)</f>
        <v/>
      </c>
      <c r="N1742" s="12">
        <f>IF('Data Entry'!A1742="","",IF($L1742="","New item",IF($L1742&gt;0,"UP",IF($L1742&lt;0,"down","same"))))</f>
        <v/>
      </c>
    </row>
    <row r="1743">
      <c r="A1743" s="11">
        <f>IF('Data Entry'!A1743="","",'Data Entry'!A1743)</f>
        <v/>
      </c>
      <c r="B1743" s="12">
        <f>IF('Data Entry'!A1743="","",'Data Entry'!B1743)</f>
        <v/>
      </c>
      <c r="C1743" s="12">
        <f>IF('Data Entry'!A1743="","",'Data Entry'!C1743)</f>
        <v/>
      </c>
      <c r="D1743" s="12">
        <f>IF('Data Entry'!A1743="","",'Data Entry'!D1743)</f>
        <v/>
      </c>
      <c r="E1743" s="12">
        <f>IF('Data Entry'!A1743="","",'Data Entry'!E1743)</f>
        <v/>
      </c>
      <c r="F1743" s="12">
        <f>IF('Data Entry'!A1743="","",'Data Entry'!F1743)</f>
        <v/>
      </c>
      <c r="G1743" s="13">
        <f>IF('Data Entry'!A1743="","",'Data Entry'!G1743)</f>
        <v/>
      </c>
      <c r="H1743" s="10">
        <f>IF('Data Entry'!A1743="","",'Data Entry'!H1743)</f>
        <v/>
      </c>
      <c r="I1743" s="10">
        <f>IF('Data Entry'!A1743="","",'Data Entry'!I1743)</f>
        <v/>
      </c>
      <c r="J1743" s="12">
        <f>IF('Data Entry'!A1743="","",IF('Data Entry'!D1743&lt;&gt;"",'Data Entry'!D1743,'Data Entry'!E1743))</f>
        <v/>
      </c>
      <c r="K1743" s="10">
        <f>IF('Data Entry'!A1743="","",IFERROR(SUMIFS($H$5:$H$2001,$J$5:$J$2001,$J1743,$B$5:$B$2001,$B1743,$A$5:$A$2001,(MAXIFS($A$5:$A$2001,$J$5:$J$2001,$J1743,$B$5:$B$2001,$B1743,$A$5:$A$2001,"&lt;"&amp;$A1743))),""))</f>
        <v/>
      </c>
      <c r="L1743" s="14">
        <f>IF(OR('Data Entry'!A1743="",$K1743=""),"",$H1743-$K1743)</f>
        <v/>
      </c>
      <c r="M1743" s="15">
        <f>IF(OR('Data Entry'!A1743="",$K1743="",$K1743=0),"",$L1743/$K1743)</f>
        <v/>
      </c>
      <c r="N1743" s="12">
        <f>IF('Data Entry'!A1743="","",IF($L1743="","New item",IF($L1743&gt;0,"UP",IF($L1743&lt;0,"down","same"))))</f>
        <v/>
      </c>
    </row>
    <row r="1744">
      <c r="A1744" s="11">
        <f>IF('Data Entry'!A1744="","",'Data Entry'!A1744)</f>
        <v/>
      </c>
      <c r="B1744" s="12">
        <f>IF('Data Entry'!A1744="","",'Data Entry'!B1744)</f>
        <v/>
      </c>
      <c r="C1744" s="12">
        <f>IF('Data Entry'!A1744="","",'Data Entry'!C1744)</f>
        <v/>
      </c>
      <c r="D1744" s="12">
        <f>IF('Data Entry'!A1744="","",'Data Entry'!D1744)</f>
        <v/>
      </c>
      <c r="E1744" s="12">
        <f>IF('Data Entry'!A1744="","",'Data Entry'!E1744)</f>
        <v/>
      </c>
      <c r="F1744" s="12">
        <f>IF('Data Entry'!A1744="","",'Data Entry'!F1744)</f>
        <v/>
      </c>
      <c r="G1744" s="13">
        <f>IF('Data Entry'!A1744="","",'Data Entry'!G1744)</f>
        <v/>
      </c>
      <c r="H1744" s="10">
        <f>IF('Data Entry'!A1744="","",'Data Entry'!H1744)</f>
        <v/>
      </c>
      <c r="I1744" s="10">
        <f>IF('Data Entry'!A1744="","",'Data Entry'!I1744)</f>
        <v/>
      </c>
      <c r="J1744" s="12">
        <f>IF('Data Entry'!A1744="","",IF('Data Entry'!D1744&lt;&gt;"",'Data Entry'!D1744,'Data Entry'!E1744))</f>
        <v/>
      </c>
      <c r="K1744" s="10">
        <f>IF('Data Entry'!A1744="","",IFERROR(SUMIFS($H$5:$H$2001,$J$5:$J$2001,$J1744,$B$5:$B$2001,$B1744,$A$5:$A$2001,(MAXIFS($A$5:$A$2001,$J$5:$J$2001,$J1744,$B$5:$B$2001,$B1744,$A$5:$A$2001,"&lt;"&amp;$A1744))),""))</f>
        <v/>
      </c>
      <c r="L1744" s="14">
        <f>IF(OR('Data Entry'!A1744="",$K1744=""),"",$H1744-$K1744)</f>
        <v/>
      </c>
      <c r="M1744" s="15">
        <f>IF(OR('Data Entry'!A1744="",$K1744="",$K1744=0),"",$L1744/$K1744)</f>
        <v/>
      </c>
      <c r="N1744" s="12">
        <f>IF('Data Entry'!A1744="","",IF($L1744="","New item",IF($L1744&gt;0,"UP",IF($L1744&lt;0,"down","same"))))</f>
        <v/>
      </c>
    </row>
    <row r="1745">
      <c r="A1745" s="11">
        <f>IF('Data Entry'!A1745="","",'Data Entry'!A1745)</f>
        <v/>
      </c>
      <c r="B1745" s="12">
        <f>IF('Data Entry'!A1745="","",'Data Entry'!B1745)</f>
        <v/>
      </c>
      <c r="C1745" s="12">
        <f>IF('Data Entry'!A1745="","",'Data Entry'!C1745)</f>
        <v/>
      </c>
      <c r="D1745" s="12">
        <f>IF('Data Entry'!A1745="","",'Data Entry'!D1745)</f>
        <v/>
      </c>
      <c r="E1745" s="12">
        <f>IF('Data Entry'!A1745="","",'Data Entry'!E1745)</f>
        <v/>
      </c>
      <c r="F1745" s="12">
        <f>IF('Data Entry'!A1745="","",'Data Entry'!F1745)</f>
        <v/>
      </c>
      <c r="G1745" s="13">
        <f>IF('Data Entry'!A1745="","",'Data Entry'!G1745)</f>
        <v/>
      </c>
      <c r="H1745" s="10">
        <f>IF('Data Entry'!A1745="","",'Data Entry'!H1745)</f>
        <v/>
      </c>
      <c r="I1745" s="10">
        <f>IF('Data Entry'!A1745="","",'Data Entry'!I1745)</f>
        <v/>
      </c>
      <c r="J1745" s="12">
        <f>IF('Data Entry'!A1745="","",IF('Data Entry'!D1745&lt;&gt;"",'Data Entry'!D1745,'Data Entry'!E1745))</f>
        <v/>
      </c>
      <c r="K1745" s="10">
        <f>IF('Data Entry'!A1745="","",IFERROR(SUMIFS($H$5:$H$2001,$J$5:$J$2001,$J1745,$B$5:$B$2001,$B1745,$A$5:$A$2001,(MAXIFS($A$5:$A$2001,$J$5:$J$2001,$J1745,$B$5:$B$2001,$B1745,$A$5:$A$2001,"&lt;"&amp;$A1745))),""))</f>
        <v/>
      </c>
      <c r="L1745" s="14">
        <f>IF(OR('Data Entry'!A1745="",$K1745=""),"",$H1745-$K1745)</f>
        <v/>
      </c>
      <c r="M1745" s="15">
        <f>IF(OR('Data Entry'!A1745="",$K1745="",$K1745=0),"",$L1745/$K1745)</f>
        <v/>
      </c>
      <c r="N1745" s="12">
        <f>IF('Data Entry'!A1745="","",IF($L1745="","New item",IF($L1745&gt;0,"UP",IF($L1745&lt;0,"down","same"))))</f>
        <v/>
      </c>
    </row>
    <row r="1746">
      <c r="A1746" s="11">
        <f>IF('Data Entry'!A1746="","",'Data Entry'!A1746)</f>
        <v/>
      </c>
      <c r="B1746" s="12">
        <f>IF('Data Entry'!A1746="","",'Data Entry'!B1746)</f>
        <v/>
      </c>
      <c r="C1746" s="12">
        <f>IF('Data Entry'!A1746="","",'Data Entry'!C1746)</f>
        <v/>
      </c>
      <c r="D1746" s="12">
        <f>IF('Data Entry'!A1746="","",'Data Entry'!D1746)</f>
        <v/>
      </c>
      <c r="E1746" s="12">
        <f>IF('Data Entry'!A1746="","",'Data Entry'!E1746)</f>
        <v/>
      </c>
      <c r="F1746" s="12">
        <f>IF('Data Entry'!A1746="","",'Data Entry'!F1746)</f>
        <v/>
      </c>
      <c r="G1746" s="13">
        <f>IF('Data Entry'!A1746="","",'Data Entry'!G1746)</f>
        <v/>
      </c>
      <c r="H1746" s="10">
        <f>IF('Data Entry'!A1746="","",'Data Entry'!H1746)</f>
        <v/>
      </c>
      <c r="I1746" s="10">
        <f>IF('Data Entry'!A1746="","",'Data Entry'!I1746)</f>
        <v/>
      </c>
      <c r="J1746" s="12">
        <f>IF('Data Entry'!A1746="","",IF('Data Entry'!D1746&lt;&gt;"",'Data Entry'!D1746,'Data Entry'!E1746))</f>
        <v/>
      </c>
      <c r="K1746" s="10">
        <f>IF('Data Entry'!A1746="","",IFERROR(SUMIFS($H$5:$H$2001,$J$5:$J$2001,$J1746,$B$5:$B$2001,$B1746,$A$5:$A$2001,(MAXIFS($A$5:$A$2001,$J$5:$J$2001,$J1746,$B$5:$B$2001,$B1746,$A$5:$A$2001,"&lt;"&amp;$A1746))),""))</f>
        <v/>
      </c>
      <c r="L1746" s="14">
        <f>IF(OR('Data Entry'!A1746="",$K1746=""),"",$H1746-$K1746)</f>
        <v/>
      </c>
      <c r="M1746" s="15">
        <f>IF(OR('Data Entry'!A1746="",$K1746="",$K1746=0),"",$L1746/$K1746)</f>
        <v/>
      </c>
      <c r="N1746" s="12">
        <f>IF('Data Entry'!A1746="","",IF($L1746="","New item",IF($L1746&gt;0,"UP",IF($L1746&lt;0,"down","same"))))</f>
        <v/>
      </c>
    </row>
    <row r="1747">
      <c r="A1747" s="11">
        <f>IF('Data Entry'!A1747="","",'Data Entry'!A1747)</f>
        <v/>
      </c>
      <c r="B1747" s="12">
        <f>IF('Data Entry'!A1747="","",'Data Entry'!B1747)</f>
        <v/>
      </c>
      <c r="C1747" s="12">
        <f>IF('Data Entry'!A1747="","",'Data Entry'!C1747)</f>
        <v/>
      </c>
      <c r="D1747" s="12">
        <f>IF('Data Entry'!A1747="","",'Data Entry'!D1747)</f>
        <v/>
      </c>
      <c r="E1747" s="12">
        <f>IF('Data Entry'!A1747="","",'Data Entry'!E1747)</f>
        <v/>
      </c>
      <c r="F1747" s="12">
        <f>IF('Data Entry'!A1747="","",'Data Entry'!F1747)</f>
        <v/>
      </c>
      <c r="G1747" s="13">
        <f>IF('Data Entry'!A1747="","",'Data Entry'!G1747)</f>
        <v/>
      </c>
      <c r="H1747" s="10">
        <f>IF('Data Entry'!A1747="","",'Data Entry'!H1747)</f>
        <v/>
      </c>
      <c r="I1747" s="10">
        <f>IF('Data Entry'!A1747="","",'Data Entry'!I1747)</f>
        <v/>
      </c>
      <c r="J1747" s="12">
        <f>IF('Data Entry'!A1747="","",IF('Data Entry'!D1747&lt;&gt;"",'Data Entry'!D1747,'Data Entry'!E1747))</f>
        <v/>
      </c>
      <c r="K1747" s="10">
        <f>IF('Data Entry'!A1747="","",IFERROR(SUMIFS($H$5:$H$2001,$J$5:$J$2001,$J1747,$B$5:$B$2001,$B1747,$A$5:$A$2001,(MAXIFS($A$5:$A$2001,$J$5:$J$2001,$J1747,$B$5:$B$2001,$B1747,$A$5:$A$2001,"&lt;"&amp;$A1747))),""))</f>
        <v/>
      </c>
      <c r="L1747" s="14">
        <f>IF(OR('Data Entry'!A1747="",$K1747=""),"",$H1747-$K1747)</f>
        <v/>
      </c>
      <c r="M1747" s="15">
        <f>IF(OR('Data Entry'!A1747="",$K1747="",$K1747=0),"",$L1747/$K1747)</f>
        <v/>
      </c>
      <c r="N1747" s="12">
        <f>IF('Data Entry'!A1747="","",IF($L1747="","New item",IF($L1747&gt;0,"UP",IF($L1747&lt;0,"down","same"))))</f>
        <v/>
      </c>
    </row>
    <row r="1748">
      <c r="A1748" s="11">
        <f>IF('Data Entry'!A1748="","",'Data Entry'!A1748)</f>
        <v/>
      </c>
      <c r="B1748" s="12">
        <f>IF('Data Entry'!A1748="","",'Data Entry'!B1748)</f>
        <v/>
      </c>
      <c r="C1748" s="12">
        <f>IF('Data Entry'!A1748="","",'Data Entry'!C1748)</f>
        <v/>
      </c>
      <c r="D1748" s="12">
        <f>IF('Data Entry'!A1748="","",'Data Entry'!D1748)</f>
        <v/>
      </c>
      <c r="E1748" s="12">
        <f>IF('Data Entry'!A1748="","",'Data Entry'!E1748)</f>
        <v/>
      </c>
      <c r="F1748" s="12">
        <f>IF('Data Entry'!A1748="","",'Data Entry'!F1748)</f>
        <v/>
      </c>
      <c r="G1748" s="13">
        <f>IF('Data Entry'!A1748="","",'Data Entry'!G1748)</f>
        <v/>
      </c>
      <c r="H1748" s="10">
        <f>IF('Data Entry'!A1748="","",'Data Entry'!H1748)</f>
        <v/>
      </c>
      <c r="I1748" s="10">
        <f>IF('Data Entry'!A1748="","",'Data Entry'!I1748)</f>
        <v/>
      </c>
      <c r="J1748" s="12">
        <f>IF('Data Entry'!A1748="","",IF('Data Entry'!D1748&lt;&gt;"",'Data Entry'!D1748,'Data Entry'!E1748))</f>
        <v/>
      </c>
      <c r="K1748" s="10">
        <f>IF('Data Entry'!A1748="","",IFERROR(SUMIFS($H$5:$H$2001,$J$5:$J$2001,$J1748,$B$5:$B$2001,$B1748,$A$5:$A$2001,(MAXIFS($A$5:$A$2001,$J$5:$J$2001,$J1748,$B$5:$B$2001,$B1748,$A$5:$A$2001,"&lt;"&amp;$A1748))),""))</f>
        <v/>
      </c>
      <c r="L1748" s="14">
        <f>IF(OR('Data Entry'!A1748="",$K1748=""),"",$H1748-$K1748)</f>
        <v/>
      </c>
      <c r="M1748" s="15">
        <f>IF(OR('Data Entry'!A1748="",$K1748="",$K1748=0),"",$L1748/$K1748)</f>
        <v/>
      </c>
      <c r="N1748" s="12">
        <f>IF('Data Entry'!A1748="","",IF($L1748="","New item",IF($L1748&gt;0,"UP",IF($L1748&lt;0,"down","same"))))</f>
        <v/>
      </c>
    </row>
    <row r="1749">
      <c r="A1749" s="11">
        <f>IF('Data Entry'!A1749="","",'Data Entry'!A1749)</f>
        <v/>
      </c>
      <c r="B1749" s="12">
        <f>IF('Data Entry'!A1749="","",'Data Entry'!B1749)</f>
        <v/>
      </c>
      <c r="C1749" s="12">
        <f>IF('Data Entry'!A1749="","",'Data Entry'!C1749)</f>
        <v/>
      </c>
      <c r="D1749" s="12">
        <f>IF('Data Entry'!A1749="","",'Data Entry'!D1749)</f>
        <v/>
      </c>
      <c r="E1749" s="12">
        <f>IF('Data Entry'!A1749="","",'Data Entry'!E1749)</f>
        <v/>
      </c>
      <c r="F1749" s="12">
        <f>IF('Data Entry'!A1749="","",'Data Entry'!F1749)</f>
        <v/>
      </c>
      <c r="G1749" s="13">
        <f>IF('Data Entry'!A1749="","",'Data Entry'!G1749)</f>
        <v/>
      </c>
      <c r="H1749" s="10">
        <f>IF('Data Entry'!A1749="","",'Data Entry'!H1749)</f>
        <v/>
      </c>
      <c r="I1749" s="10">
        <f>IF('Data Entry'!A1749="","",'Data Entry'!I1749)</f>
        <v/>
      </c>
      <c r="J1749" s="12">
        <f>IF('Data Entry'!A1749="","",IF('Data Entry'!D1749&lt;&gt;"",'Data Entry'!D1749,'Data Entry'!E1749))</f>
        <v/>
      </c>
      <c r="K1749" s="10">
        <f>IF('Data Entry'!A1749="","",IFERROR(SUMIFS($H$5:$H$2001,$J$5:$J$2001,$J1749,$B$5:$B$2001,$B1749,$A$5:$A$2001,(MAXIFS($A$5:$A$2001,$J$5:$J$2001,$J1749,$B$5:$B$2001,$B1749,$A$5:$A$2001,"&lt;"&amp;$A1749))),""))</f>
        <v/>
      </c>
      <c r="L1749" s="14">
        <f>IF(OR('Data Entry'!A1749="",$K1749=""),"",$H1749-$K1749)</f>
        <v/>
      </c>
      <c r="M1749" s="15">
        <f>IF(OR('Data Entry'!A1749="",$K1749="",$K1749=0),"",$L1749/$K1749)</f>
        <v/>
      </c>
      <c r="N1749" s="12">
        <f>IF('Data Entry'!A1749="","",IF($L1749="","New item",IF($L1749&gt;0,"UP",IF($L1749&lt;0,"down","same"))))</f>
        <v/>
      </c>
    </row>
    <row r="1750">
      <c r="A1750" s="11">
        <f>IF('Data Entry'!A1750="","",'Data Entry'!A1750)</f>
        <v/>
      </c>
      <c r="B1750" s="12">
        <f>IF('Data Entry'!A1750="","",'Data Entry'!B1750)</f>
        <v/>
      </c>
      <c r="C1750" s="12">
        <f>IF('Data Entry'!A1750="","",'Data Entry'!C1750)</f>
        <v/>
      </c>
      <c r="D1750" s="12">
        <f>IF('Data Entry'!A1750="","",'Data Entry'!D1750)</f>
        <v/>
      </c>
      <c r="E1750" s="12">
        <f>IF('Data Entry'!A1750="","",'Data Entry'!E1750)</f>
        <v/>
      </c>
      <c r="F1750" s="12">
        <f>IF('Data Entry'!A1750="","",'Data Entry'!F1750)</f>
        <v/>
      </c>
      <c r="G1750" s="13">
        <f>IF('Data Entry'!A1750="","",'Data Entry'!G1750)</f>
        <v/>
      </c>
      <c r="H1750" s="10">
        <f>IF('Data Entry'!A1750="","",'Data Entry'!H1750)</f>
        <v/>
      </c>
      <c r="I1750" s="10">
        <f>IF('Data Entry'!A1750="","",'Data Entry'!I1750)</f>
        <v/>
      </c>
      <c r="J1750" s="12">
        <f>IF('Data Entry'!A1750="","",IF('Data Entry'!D1750&lt;&gt;"",'Data Entry'!D1750,'Data Entry'!E1750))</f>
        <v/>
      </c>
      <c r="K1750" s="10">
        <f>IF('Data Entry'!A1750="","",IFERROR(SUMIFS($H$5:$H$2001,$J$5:$J$2001,$J1750,$B$5:$B$2001,$B1750,$A$5:$A$2001,(MAXIFS($A$5:$A$2001,$J$5:$J$2001,$J1750,$B$5:$B$2001,$B1750,$A$5:$A$2001,"&lt;"&amp;$A1750))),""))</f>
        <v/>
      </c>
      <c r="L1750" s="14">
        <f>IF(OR('Data Entry'!A1750="",$K1750=""),"",$H1750-$K1750)</f>
        <v/>
      </c>
      <c r="M1750" s="15">
        <f>IF(OR('Data Entry'!A1750="",$K1750="",$K1750=0),"",$L1750/$K1750)</f>
        <v/>
      </c>
      <c r="N1750" s="12">
        <f>IF('Data Entry'!A1750="","",IF($L1750="","New item",IF($L1750&gt;0,"UP",IF($L1750&lt;0,"down","same"))))</f>
        <v/>
      </c>
    </row>
    <row r="1751">
      <c r="A1751" s="11">
        <f>IF('Data Entry'!A1751="","",'Data Entry'!A1751)</f>
        <v/>
      </c>
      <c r="B1751" s="12">
        <f>IF('Data Entry'!A1751="","",'Data Entry'!B1751)</f>
        <v/>
      </c>
      <c r="C1751" s="12">
        <f>IF('Data Entry'!A1751="","",'Data Entry'!C1751)</f>
        <v/>
      </c>
      <c r="D1751" s="12">
        <f>IF('Data Entry'!A1751="","",'Data Entry'!D1751)</f>
        <v/>
      </c>
      <c r="E1751" s="12">
        <f>IF('Data Entry'!A1751="","",'Data Entry'!E1751)</f>
        <v/>
      </c>
      <c r="F1751" s="12">
        <f>IF('Data Entry'!A1751="","",'Data Entry'!F1751)</f>
        <v/>
      </c>
      <c r="G1751" s="13">
        <f>IF('Data Entry'!A1751="","",'Data Entry'!G1751)</f>
        <v/>
      </c>
      <c r="H1751" s="10">
        <f>IF('Data Entry'!A1751="","",'Data Entry'!H1751)</f>
        <v/>
      </c>
      <c r="I1751" s="10">
        <f>IF('Data Entry'!A1751="","",'Data Entry'!I1751)</f>
        <v/>
      </c>
      <c r="J1751" s="12">
        <f>IF('Data Entry'!A1751="","",IF('Data Entry'!D1751&lt;&gt;"",'Data Entry'!D1751,'Data Entry'!E1751))</f>
        <v/>
      </c>
      <c r="K1751" s="10">
        <f>IF('Data Entry'!A1751="","",IFERROR(SUMIFS($H$5:$H$2001,$J$5:$J$2001,$J1751,$B$5:$B$2001,$B1751,$A$5:$A$2001,(MAXIFS($A$5:$A$2001,$J$5:$J$2001,$J1751,$B$5:$B$2001,$B1751,$A$5:$A$2001,"&lt;"&amp;$A1751))),""))</f>
        <v/>
      </c>
      <c r="L1751" s="14">
        <f>IF(OR('Data Entry'!A1751="",$K1751=""),"",$H1751-$K1751)</f>
        <v/>
      </c>
      <c r="M1751" s="15">
        <f>IF(OR('Data Entry'!A1751="",$K1751="",$K1751=0),"",$L1751/$K1751)</f>
        <v/>
      </c>
      <c r="N1751" s="12">
        <f>IF('Data Entry'!A1751="","",IF($L1751="","New item",IF($L1751&gt;0,"UP",IF($L1751&lt;0,"down","same"))))</f>
        <v/>
      </c>
    </row>
    <row r="1752">
      <c r="A1752" s="11">
        <f>IF('Data Entry'!A1752="","",'Data Entry'!A1752)</f>
        <v/>
      </c>
      <c r="B1752" s="12">
        <f>IF('Data Entry'!A1752="","",'Data Entry'!B1752)</f>
        <v/>
      </c>
      <c r="C1752" s="12">
        <f>IF('Data Entry'!A1752="","",'Data Entry'!C1752)</f>
        <v/>
      </c>
      <c r="D1752" s="12">
        <f>IF('Data Entry'!A1752="","",'Data Entry'!D1752)</f>
        <v/>
      </c>
      <c r="E1752" s="12">
        <f>IF('Data Entry'!A1752="","",'Data Entry'!E1752)</f>
        <v/>
      </c>
      <c r="F1752" s="12">
        <f>IF('Data Entry'!A1752="","",'Data Entry'!F1752)</f>
        <v/>
      </c>
      <c r="G1752" s="13">
        <f>IF('Data Entry'!A1752="","",'Data Entry'!G1752)</f>
        <v/>
      </c>
      <c r="H1752" s="10">
        <f>IF('Data Entry'!A1752="","",'Data Entry'!H1752)</f>
        <v/>
      </c>
      <c r="I1752" s="10">
        <f>IF('Data Entry'!A1752="","",'Data Entry'!I1752)</f>
        <v/>
      </c>
      <c r="J1752" s="12">
        <f>IF('Data Entry'!A1752="","",IF('Data Entry'!D1752&lt;&gt;"",'Data Entry'!D1752,'Data Entry'!E1752))</f>
        <v/>
      </c>
      <c r="K1752" s="10">
        <f>IF('Data Entry'!A1752="","",IFERROR(SUMIFS($H$5:$H$2001,$J$5:$J$2001,$J1752,$B$5:$B$2001,$B1752,$A$5:$A$2001,(MAXIFS($A$5:$A$2001,$J$5:$J$2001,$J1752,$B$5:$B$2001,$B1752,$A$5:$A$2001,"&lt;"&amp;$A1752))),""))</f>
        <v/>
      </c>
      <c r="L1752" s="14">
        <f>IF(OR('Data Entry'!A1752="",$K1752=""),"",$H1752-$K1752)</f>
        <v/>
      </c>
      <c r="M1752" s="15">
        <f>IF(OR('Data Entry'!A1752="",$K1752="",$K1752=0),"",$L1752/$K1752)</f>
        <v/>
      </c>
      <c r="N1752" s="12">
        <f>IF('Data Entry'!A1752="","",IF($L1752="","New item",IF($L1752&gt;0,"UP",IF($L1752&lt;0,"down","same"))))</f>
        <v/>
      </c>
    </row>
    <row r="1753">
      <c r="A1753" s="11">
        <f>IF('Data Entry'!A1753="","",'Data Entry'!A1753)</f>
        <v/>
      </c>
      <c r="B1753" s="12">
        <f>IF('Data Entry'!A1753="","",'Data Entry'!B1753)</f>
        <v/>
      </c>
      <c r="C1753" s="12">
        <f>IF('Data Entry'!A1753="","",'Data Entry'!C1753)</f>
        <v/>
      </c>
      <c r="D1753" s="12">
        <f>IF('Data Entry'!A1753="","",'Data Entry'!D1753)</f>
        <v/>
      </c>
      <c r="E1753" s="12">
        <f>IF('Data Entry'!A1753="","",'Data Entry'!E1753)</f>
        <v/>
      </c>
      <c r="F1753" s="12">
        <f>IF('Data Entry'!A1753="","",'Data Entry'!F1753)</f>
        <v/>
      </c>
      <c r="G1753" s="13">
        <f>IF('Data Entry'!A1753="","",'Data Entry'!G1753)</f>
        <v/>
      </c>
      <c r="H1753" s="10">
        <f>IF('Data Entry'!A1753="","",'Data Entry'!H1753)</f>
        <v/>
      </c>
      <c r="I1753" s="10">
        <f>IF('Data Entry'!A1753="","",'Data Entry'!I1753)</f>
        <v/>
      </c>
      <c r="J1753" s="12">
        <f>IF('Data Entry'!A1753="","",IF('Data Entry'!D1753&lt;&gt;"",'Data Entry'!D1753,'Data Entry'!E1753))</f>
        <v/>
      </c>
      <c r="K1753" s="10">
        <f>IF('Data Entry'!A1753="","",IFERROR(SUMIFS($H$5:$H$2001,$J$5:$J$2001,$J1753,$B$5:$B$2001,$B1753,$A$5:$A$2001,(MAXIFS($A$5:$A$2001,$J$5:$J$2001,$J1753,$B$5:$B$2001,$B1753,$A$5:$A$2001,"&lt;"&amp;$A1753))),""))</f>
        <v/>
      </c>
      <c r="L1753" s="14">
        <f>IF(OR('Data Entry'!A1753="",$K1753=""),"",$H1753-$K1753)</f>
        <v/>
      </c>
      <c r="M1753" s="15">
        <f>IF(OR('Data Entry'!A1753="",$K1753="",$K1753=0),"",$L1753/$K1753)</f>
        <v/>
      </c>
      <c r="N1753" s="12">
        <f>IF('Data Entry'!A1753="","",IF($L1753="","New item",IF($L1753&gt;0,"UP",IF($L1753&lt;0,"down","same"))))</f>
        <v/>
      </c>
    </row>
    <row r="1754">
      <c r="A1754" s="11">
        <f>IF('Data Entry'!A1754="","",'Data Entry'!A1754)</f>
        <v/>
      </c>
      <c r="B1754" s="12">
        <f>IF('Data Entry'!A1754="","",'Data Entry'!B1754)</f>
        <v/>
      </c>
      <c r="C1754" s="12">
        <f>IF('Data Entry'!A1754="","",'Data Entry'!C1754)</f>
        <v/>
      </c>
      <c r="D1754" s="12">
        <f>IF('Data Entry'!A1754="","",'Data Entry'!D1754)</f>
        <v/>
      </c>
      <c r="E1754" s="12">
        <f>IF('Data Entry'!A1754="","",'Data Entry'!E1754)</f>
        <v/>
      </c>
      <c r="F1754" s="12">
        <f>IF('Data Entry'!A1754="","",'Data Entry'!F1754)</f>
        <v/>
      </c>
      <c r="G1754" s="13">
        <f>IF('Data Entry'!A1754="","",'Data Entry'!G1754)</f>
        <v/>
      </c>
      <c r="H1754" s="10">
        <f>IF('Data Entry'!A1754="","",'Data Entry'!H1754)</f>
        <v/>
      </c>
      <c r="I1754" s="10">
        <f>IF('Data Entry'!A1754="","",'Data Entry'!I1754)</f>
        <v/>
      </c>
      <c r="J1754" s="12">
        <f>IF('Data Entry'!A1754="","",IF('Data Entry'!D1754&lt;&gt;"",'Data Entry'!D1754,'Data Entry'!E1754))</f>
        <v/>
      </c>
      <c r="K1754" s="10">
        <f>IF('Data Entry'!A1754="","",IFERROR(SUMIFS($H$5:$H$2001,$J$5:$J$2001,$J1754,$B$5:$B$2001,$B1754,$A$5:$A$2001,(MAXIFS($A$5:$A$2001,$J$5:$J$2001,$J1754,$B$5:$B$2001,$B1754,$A$5:$A$2001,"&lt;"&amp;$A1754))),""))</f>
        <v/>
      </c>
      <c r="L1754" s="14">
        <f>IF(OR('Data Entry'!A1754="",$K1754=""),"",$H1754-$K1754)</f>
        <v/>
      </c>
      <c r="M1754" s="15">
        <f>IF(OR('Data Entry'!A1754="",$K1754="",$K1754=0),"",$L1754/$K1754)</f>
        <v/>
      </c>
      <c r="N1754" s="12">
        <f>IF('Data Entry'!A1754="","",IF($L1754="","New item",IF($L1754&gt;0,"UP",IF($L1754&lt;0,"down","same"))))</f>
        <v/>
      </c>
    </row>
    <row r="1755">
      <c r="A1755" s="11">
        <f>IF('Data Entry'!A1755="","",'Data Entry'!A1755)</f>
        <v/>
      </c>
      <c r="B1755" s="12">
        <f>IF('Data Entry'!A1755="","",'Data Entry'!B1755)</f>
        <v/>
      </c>
      <c r="C1755" s="12">
        <f>IF('Data Entry'!A1755="","",'Data Entry'!C1755)</f>
        <v/>
      </c>
      <c r="D1755" s="12">
        <f>IF('Data Entry'!A1755="","",'Data Entry'!D1755)</f>
        <v/>
      </c>
      <c r="E1755" s="12">
        <f>IF('Data Entry'!A1755="","",'Data Entry'!E1755)</f>
        <v/>
      </c>
      <c r="F1755" s="12">
        <f>IF('Data Entry'!A1755="","",'Data Entry'!F1755)</f>
        <v/>
      </c>
      <c r="G1755" s="13">
        <f>IF('Data Entry'!A1755="","",'Data Entry'!G1755)</f>
        <v/>
      </c>
      <c r="H1755" s="10">
        <f>IF('Data Entry'!A1755="","",'Data Entry'!H1755)</f>
        <v/>
      </c>
      <c r="I1755" s="10">
        <f>IF('Data Entry'!A1755="","",'Data Entry'!I1755)</f>
        <v/>
      </c>
      <c r="J1755" s="12">
        <f>IF('Data Entry'!A1755="","",IF('Data Entry'!D1755&lt;&gt;"",'Data Entry'!D1755,'Data Entry'!E1755))</f>
        <v/>
      </c>
      <c r="K1755" s="10">
        <f>IF('Data Entry'!A1755="","",IFERROR(SUMIFS($H$5:$H$2001,$J$5:$J$2001,$J1755,$B$5:$B$2001,$B1755,$A$5:$A$2001,(MAXIFS($A$5:$A$2001,$J$5:$J$2001,$J1755,$B$5:$B$2001,$B1755,$A$5:$A$2001,"&lt;"&amp;$A1755))),""))</f>
        <v/>
      </c>
      <c r="L1755" s="14">
        <f>IF(OR('Data Entry'!A1755="",$K1755=""),"",$H1755-$K1755)</f>
        <v/>
      </c>
      <c r="M1755" s="15">
        <f>IF(OR('Data Entry'!A1755="",$K1755="",$K1755=0),"",$L1755/$K1755)</f>
        <v/>
      </c>
      <c r="N1755" s="12">
        <f>IF('Data Entry'!A1755="","",IF($L1755="","New item",IF($L1755&gt;0,"UP",IF($L1755&lt;0,"down","same"))))</f>
        <v/>
      </c>
    </row>
    <row r="1756">
      <c r="A1756" s="11">
        <f>IF('Data Entry'!A1756="","",'Data Entry'!A1756)</f>
        <v/>
      </c>
      <c r="B1756" s="12">
        <f>IF('Data Entry'!A1756="","",'Data Entry'!B1756)</f>
        <v/>
      </c>
      <c r="C1756" s="12">
        <f>IF('Data Entry'!A1756="","",'Data Entry'!C1756)</f>
        <v/>
      </c>
      <c r="D1756" s="12">
        <f>IF('Data Entry'!A1756="","",'Data Entry'!D1756)</f>
        <v/>
      </c>
      <c r="E1756" s="12">
        <f>IF('Data Entry'!A1756="","",'Data Entry'!E1756)</f>
        <v/>
      </c>
      <c r="F1756" s="12">
        <f>IF('Data Entry'!A1756="","",'Data Entry'!F1756)</f>
        <v/>
      </c>
      <c r="G1756" s="13">
        <f>IF('Data Entry'!A1756="","",'Data Entry'!G1756)</f>
        <v/>
      </c>
      <c r="H1756" s="10">
        <f>IF('Data Entry'!A1756="","",'Data Entry'!H1756)</f>
        <v/>
      </c>
      <c r="I1756" s="10">
        <f>IF('Data Entry'!A1756="","",'Data Entry'!I1756)</f>
        <v/>
      </c>
      <c r="J1756" s="12">
        <f>IF('Data Entry'!A1756="","",IF('Data Entry'!D1756&lt;&gt;"",'Data Entry'!D1756,'Data Entry'!E1756))</f>
        <v/>
      </c>
      <c r="K1756" s="10">
        <f>IF('Data Entry'!A1756="","",IFERROR(SUMIFS($H$5:$H$2001,$J$5:$J$2001,$J1756,$B$5:$B$2001,$B1756,$A$5:$A$2001,(MAXIFS($A$5:$A$2001,$J$5:$J$2001,$J1756,$B$5:$B$2001,$B1756,$A$5:$A$2001,"&lt;"&amp;$A1756))),""))</f>
        <v/>
      </c>
      <c r="L1756" s="14">
        <f>IF(OR('Data Entry'!A1756="",$K1756=""),"",$H1756-$K1756)</f>
        <v/>
      </c>
      <c r="M1756" s="15">
        <f>IF(OR('Data Entry'!A1756="",$K1756="",$K1756=0),"",$L1756/$K1756)</f>
        <v/>
      </c>
      <c r="N1756" s="12">
        <f>IF('Data Entry'!A1756="","",IF($L1756="","New item",IF($L1756&gt;0,"UP",IF($L1756&lt;0,"down","same"))))</f>
        <v/>
      </c>
    </row>
    <row r="1757">
      <c r="A1757" s="11">
        <f>IF('Data Entry'!A1757="","",'Data Entry'!A1757)</f>
        <v/>
      </c>
      <c r="B1757" s="12">
        <f>IF('Data Entry'!A1757="","",'Data Entry'!B1757)</f>
        <v/>
      </c>
      <c r="C1757" s="12">
        <f>IF('Data Entry'!A1757="","",'Data Entry'!C1757)</f>
        <v/>
      </c>
      <c r="D1757" s="12">
        <f>IF('Data Entry'!A1757="","",'Data Entry'!D1757)</f>
        <v/>
      </c>
      <c r="E1757" s="12">
        <f>IF('Data Entry'!A1757="","",'Data Entry'!E1757)</f>
        <v/>
      </c>
      <c r="F1757" s="12">
        <f>IF('Data Entry'!A1757="","",'Data Entry'!F1757)</f>
        <v/>
      </c>
      <c r="G1757" s="13">
        <f>IF('Data Entry'!A1757="","",'Data Entry'!G1757)</f>
        <v/>
      </c>
      <c r="H1757" s="10">
        <f>IF('Data Entry'!A1757="","",'Data Entry'!H1757)</f>
        <v/>
      </c>
      <c r="I1757" s="10">
        <f>IF('Data Entry'!A1757="","",'Data Entry'!I1757)</f>
        <v/>
      </c>
      <c r="J1757" s="12">
        <f>IF('Data Entry'!A1757="","",IF('Data Entry'!D1757&lt;&gt;"",'Data Entry'!D1757,'Data Entry'!E1757))</f>
        <v/>
      </c>
      <c r="K1757" s="10">
        <f>IF('Data Entry'!A1757="","",IFERROR(SUMIFS($H$5:$H$2001,$J$5:$J$2001,$J1757,$B$5:$B$2001,$B1757,$A$5:$A$2001,(MAXIFS($A$5:$A$2001,$J$5:$J$2001,$J1757,$B$5:$B$2001,$B1757,$A$5:$A$2001,"&lt;"&amp;$A1757))),""))</f>
        <v/>
      </c>
      <c r="L1757" s="14">
        <f>IF(OR('Data Entry'!A1757="",$K1757=""),"",$H1757-$K1757)</f>
        <v/>
      </c>
      <c r="M1757" s="15">
        <f>IF(OR('Data Entry'!A1757="",$K1757="",$K1757=0),"",$L1757/$K1757)</f>
        <v/>
      </c>
      <c r="N1757" s="12">
        <f>IF('Data Entry'!A1757="","",IF($L1757="","New item",IF($L1757&gt;0,"UP",IF($L1757&lt;0,"down","same"))))</f>
        <v/>
      </c>
    </row>
    <row r="1758">
      <c r="A1758" s="11">
        <f>IF('Data Entry'!A1758="","",'Data Entry'!A1758)</f>
        <v/>
      </c>
      <c r="B1758" s="12">
        <f>IF('Data Entry'!A1758="","",'Data Entry'!B1758)</f>
        <v/>
      </c>
      <c r="C1758" s="12">
        <f>IF('Data Entry'!A1758="","",'Data Entry'!C1758)</f>
        <v/>
      </c>
      <c r="D1758" s="12">
        <f>IF('Data Entry'!A1758="","",'Data Entry'!D1758)</f>
        <v/>
      </c>
      <c r="E1758" s="12">
        <f>IF('Data Entry'!A1758="","",'Data Entry'!E1758)</f>
        <v/>
      </c>
      <c r="F1758" s="12">
        <f>IF('Data Entry'!A1758="","",'Data Entry'!F1758)</f>
        <v/>
      </c>
      <c r="G1758" s="13">
        <f>IF('Data Entry'!A1758="","",'Data Entry'!G1758)</f>
        <v/>
      </c>
      <c r="H1758" s="10">
        <f>IF('Data Entry'!A1758="","",'Data Entry'!H1758)</f>
        <v/>
      </c>
      <c r="I1758" s="10">
        <f>IF('Data Entry'!A1758="","",'Data Entry'!I1758)</f>
        <v/>
      </c>
      <c r="J1758" s="12">
        <f>IF('Data Entry'!A1758="","",IF('Data Entry'!D1758&lt;&gt;"",'Data Entry'!D1758,'Data Entry'!E1758))</f>
        <v/>
      </c>
      <c r="K1758" s="10">
        <f>IF('Data Entry'!A1758="","",IFERROR(SUMIFS($H$5:$H$2001,$J$5:$J$2001,$J1758,$B$5:$B$2001,$B1758,$A$5:$A$2001,(MAXIFS($A$5:$A$2001,$J$5:$J$2001,$J1758,$B$5:$B$2001,$B1758,$A$5:$A$2001,"&lt;"&amp;$A1758))),""))</f>
        <v/>
      </c>
      <c r="L1758" s="14">
        <f>IF(OR('Data Entry'!A1758="",$K1758=""),"",$H1758-$K1758)</f>
        <v/>
      </c>
      <c r="M1758" s="15">
        <f>IF(OR('Data Entry'!A1758="",$K1758="",$K1758=0),"",$L1758/$K1758)</f>
        <v/>
      </c>
      <c r="N1758" s="12">
        <f>IF('Data Entry'!A1758="","",IF($L1758="","New item",IF($L1758&gt;0,"UP",IF($L1758&lt;0,"down","same"))))</f>
        <v/>
      </c>
    </row>
    <row r="1759">
      <c r="A1759" s="11">
        <f>IF('Data Entry'!A1759="","",'Data Entry'!A1759)</f>
        <v/>
      </c>
      <c r="B1759" s="12">
        <f>IF('Data Entry'!A1759="","",'Data Entry'!B1759)</f>
        <v/>
      </c>
      <c r="C1759" s="12">
        <f>IF('Data Entry'!A1759="","",'Data Entry'!C1759)</f>
        <v/>
      </c>
      <c r="D1759" s="12">
        <f>IF('Data Entry'!A1759="","",'Data Entry'!D1759)</f>
        <v/>
      </c>
      <c r="E1759" s="12">
        <f>IF('Data Entry'!A1759="","",'Data Entry'!E1759)</f>
        <v/>
      </c>
      <c r="F1759" s="12">
        <f>IF('Data Entry'!A1759="","",'Data Entry'!F1759)</f>
        <v/>
      </c>
      <c r="G1759" s="13">
        <f>IF('Data Entry'!A1759="","",'Data Entry'!G1759)</f>
        <v/>
      </c>
      <c r="H1759" s="10">
        <f>IF('Data Entry'!A1759="","",'Data Entry'!H1759)</f>
        <v/>
      </c>
      <c r="I1759" s="10">
        <f>IF('Data Entry'!A1759="","",'Data Entry'!I1759)</f>
        <v/>
      </c>
      <c r="J1759" s="12">
        <f>IF('Data Entry'!A1759="","",IF('Data Entry'!D1759&lt;&gt;"",'Data Entry'!D1759,'Data Entry'!E1759))</f>
        <v/>
      </c>
      <c r="K1759" s="10">
        <f>IF('Data Entry'!A1759="","",IFERROR(SUMIFS($H$5:$H$2001,$J$5:$J$2001,$J1759,$B$5:$B$2001,$B1759,$A$5:$A$2001,(MAXIFS($A$5:$A$2001,$J$5:$J$2001,$J1759,$B$5:$B$2001,$B1759,$A$5:$A$2001,"&lt;"&amp;$A1759))),""))</f>
        <v/>
      </c>
      <c r="L1759" s="14">
        <f>IF(OR('Data Entry'!A1759="",$K1759=""),"",$H1759-$K1759)</f>
        <v/>
      </c>
      <c r="M1759" s="15">
        <f>IF(OR('Data Entry'!A1759="",$K1759="",$K1759=0),"",$L1759/$K1759)</f>
        <v/>
      </c>
      <c r="N1759" s="12">
        <f>IF('Data Entry'!A1759="","",IF($L1759="","New item",IF($L1759&gt;0,"UP",IF($L1759&lt;0,"down","same"))))</f>
        <v/>
      </c>
    </row>
    <row r="1760">
      <c r="A1760" s="11">
        <f>IF('Data Entry'!A1760="","",'Data Entry'!A1760)</f>
        <v/>
      </c>
      <c r="B1760" s="12">
        <f>IF('Data Entry'!A1760="","",'Data Entry'!B1760)</f>
        <v/>
      </c>
      <c r="C1760" s="12">
        <f>IF('Data Entry'!A1760="","",'Data Entry'!C1760)</f>
        <v/>
      </c>
      <c r="D1760" s="12">
        <f>IF('Data Entry'!A1760="","",'Data Entry'!D1760)</f>
        <v/>
      </c>
      <c r="E1760" s="12">
        <f>IF('Data Entry'!A1760="","",'Data Entry'!E1760)</f>
        <v/>
      </c>
      <c r="F1760" s="12">
        <f>IF('Data Entry'!A1760="","",'Data Entry'!F1760)</f>
        <v/>
      </c>
      <c r="G1760" s="13">
        <f>IF('Data Entry'!A1760="","",'Data Entry'!G1760)</f>
        <v/>
      </c>
      <c r="H1760" s="10">
        <f>IF('Data Entry'!A1760="","",'Data Entry'!H1760)</f>
        <v/>
      </c>
      <c r="I1760" s="10">
        <f>IF('Data Entry'!A1760="","",'Data Entry'!I1760)</f>
        <v/>
      </c>
      <c r="J1760" s="12">
        <f>IF('Data Entry'!A1760="","",IF('Data Entry'!D1760&lt;&gt;"",'Data Entry'!D1760,'Data Entry'!E1760))</f>
        <v/>
      </c>
      <c r="K1760" s="10">
        <f>IF('Data Entry'!A1760="","",IFERROR(SUMIFS($H$5:$H$2001,$J$5:$J$2001,$J1760,$B$5:$B$2001,$B1760,$A$5:$A$2001,(MAXIFS($A$5:$A$2001,$J$5:$J$2001,$J1760,$B$5:$B$2001,$B1760,$A$5:$A$2001,"&lt;"&amp;$A1760))),""))</f>
        <v/>
      </c>
      <c r="L1760" s="14">
        <f>IF(OR('Data Entry'!A1760="",$K1760=""),"",$H1760-$K1760)</f>
        <v/>
      </c>
      <c r="M1760" s="15">
        <f>IF(OR('Data Entry'!A1760="",$K1760="",$K1760=0),"",$L1760/$K1760)</f>
        <v/>
      </c>
      <c r="N1760" s="12">
        <f>IF('Data Entry'!A1760="","",IF($L1760="","New item",IF($L1760&gt;0,"UP",IF($L1760&lt;0,"down","same"))))</f>
        <v/>
      </c>
    </row>
    <row r="1761">
      <c r="A1761" s="11">
        <f>IF('Data Entry'!A1761="","",'Data Entry'!A1761)</f>
        <v/>
      </c>
      <c r="B1761" s="12">
        <f>IF('Data Entry'!A1761="","",'Data Entry'!B1761)</f>
        <v/>
      </c>
      <c r="C1761" s="12">
        <f>IF('Data Entry'!A1761="","",'Data Entry'!C1761)</f>
        <v/>
      </c>
      <c r="D1761" s="12">
        <f>IF('Data Entry'!A1761="","",'Data Entry'!D1761)</f>
        <v/>
      </c>
      <c r="E1761" s="12">
        <f>IF('Data Entry'!A1761="","",'Data Entry'!E1761)</f>
        <v/>
      </c>
      <c r="F1761" s="12">
        <f>IF('Data Entry'!A1761="","",'Data Entry'!F1761)</f>
        <v/>
      </c>
      <c r="G1761" s="13">
        <f>IF('Data Entry'!A1761="","",'Data Entry'!G1761)</f>
        <v/>
      </c>
      <c r="H1761" s="10">
        <f>IF('Data Entry'!A1761="","",'Data Entry'!H1761)</f>
        <v/>
      </c>
      <c r="I1761" s="10">
        <f>IF('Data Entry'!A1761="","",'Data Entry'!I1761)</f>
        <v/>
      </c>
      <c r="J1761" s="12">
        <f>IF('Data Entry'!A1761="","",IF('Data Entry'!D1761&lt;&gt;"",'Data Entry'!D1761,'Data Entry'!E1761))</f>
        <v/>
      </c>
      <c r="K1761" s="10">
        <f>IF('Data Entry'!A1761="","",IFERROR(SUMIFS($H$5:$H$2001,$J$5:$J$2001,$J1761,$B$5:$B$2001,$B1761,$A$5:$A$2001,(MAXIFS($A$5:$A$2001,$J$5:$J$2001,$J1761,$B$5:$B$2001,$B1761,$A$5:$A$2001,"&lt;"&amp;$A1761))),""))</f>
        <v/>
      </c>
      <c r="L1761" s="14">
        <f>IF(OR('Data Entry'!A1761="",$K1761=""),"",$H1761-$K1761)</f>
        <v/>
      </c>
      <c r="M1761" s="15">
        <f>IF(OR('Data Entry'!A1761="",$K1761="",$K1761=0),"",$L1761/$K1761)</f>
        <v/>
      </c>
      <c r="N1761" s="12">
        <f>IF('Data Entry'!A1761="","",IF($L1761="","New item",IF($L1761&gt;0,"UP",IF($L1761&lt;0,"down","same"))))</f>
        <v/>
      </c>
    </row>
    <row r="1762">
      <c r="A1762" s="11">
        <f>IF('Data Entry'!A1762="","",'Data Entry'!A1762)</f>
        <v/>
      </c>
      <c r="B1762" s="12">
        <f>IF('Data Entry'!A1762="","",'Data Entry'!B1762)</f>
        <v/>
      </c>
      <c r="C1762" s="12">
        <f>IF('Data Entry'!A1762="","",'Data Entry'!C1762)</f>
        <v/>
      </c>
      <c r="D1762" s="12">
        <f>IF('Data Entry'!A1762="","",'Data Entry'!D1762)</f>
        <v/>
      </c>
      <c r="E1762" s="12">
        <f>IF('Data Entry'!A1762="","",'Data Entry'!E1762)</f>
        <v/>
      </c>
      <c r="F1762" s="12">
        <f>IF('Data Entry'!A1762="","",'Data Entry'!F1762)</f>
        <v/>
      </c>
      <c r="G1762" s="13">
        <f>IF('Data Entry'!A1762="","",'Data Entry'!G1762)</f>
        <v/>
      </c>
      <c r="H1762" s="10">
        <f>IF('Data Entry'!A1762="","",'Data Entry'!H1762)</f>
        <v/>
      </c>
      <c r="I1762" s="10">
        <f>IF('Data Entry'!A1762="","",'Data Entry'!I1762)</f>
        <v/>
      </c>
      <c r="J1762" s="12">
        <f>IF('Data Entry'!A1762="","",IF('Data Entry'!D1762&lt;&gt;"",'Data Entry'!D1762,'Data Entry'!E1762))</f>
        <v/>
      </c>
      <c r="K1762" s="10">
        <f>IF('Data Entry'!A1762="","",IFERROR(SUMIFS($H$5:$H$2001,$J$5:$J$2001,$J1762,$B$5:$B$2001,$B1762,$A$5:$A$2001,(MAXIFS($A$5:$A$2001,$J$5:$J$2001,$J1762,$B$5:$B$2001,$B1762,$A$5:$A$2001,"&lt;"&amp;$A1762))),""))</f>
        <v/>
      </c>
      <c r="L1762" s="14">
        <f>IF(OR('Data Entry'!A1762="",$K1762=""),"",$H1762-$K1762)</f>
        <v/>
      </c>
      <c r="M1762" s="15">
        <f>IF(OR('Data Entry'!A1762="",$K1762="",$K1762=0),"",$L1762/$K1762)</f>
        <v/>
      </c>
      <c r="N1762" s="12">
        <f>IF('Data Entry'!A1762="","",IF($L1762="","New item",IF($L1762&gt;0,"UP",IF($L1762&lt;0,"down","same"))))</f>
        <v/>
      </c>
    </row>
    <row r="1763">
      <c r="A1763" s="11">
        <f>IF('Data Entry'!A1763="","",'Data Entry'!A1763)</f>
        <v/>
      </c>
      <c r="B1763" s="12">
        <f>IF('Data Entry'!A1763="","",'Data Entry'!B1763)</f>
        <v/>
      </c>
      <c r="C1763" s="12">
        <f>IF('Data Entry'!A1763="","",'Data Entry'!C1763)</f>
        <v/>
      </c>
      <c r="D1763" s="12">
        <f>IF('Data Entry'!A1763="","",'Data Entry'!D1763)</f>
        <v/>
      </c>
      <c r="E1763" s="12">
        <f>IF('Data Entry'!A1763="","",'Data Entry'!E1763)</f>
        <v/>
      </c>
      <c r="F1763" s="12">
        <f>IF('Data Entry'!A1763="","",'Data Entry'!F1763)</f>
        <v/>
      </c>
      <c r="G1763" s="13">
        <f>IF('Data Entry'!A1763="","",'Data Entry'!G1763)</f>
        <v/>
      </c>
      <c r="H1763" s="10">
        <f>IF('Data Entry'!A1763="","",'Data Entry'!H1763)</f>
        <v/>
      </c>
      <c r="I1763" s="10">
        <f>IF('Data Entry'!A1763="","",'Data Entry'!I1763)</f>
        <v/>
      </c>
      <c r="J1763" s="12">
        <f>IF('Data Entry'!A1763="","",IF('Data Entry'!D1763&lt;&gt;"",'Data Entry'!D1763,'Data Entry'!E1763))</f>
        <v/>
      </c>
      <c r="K1763" s="10">
        <f>IF('Data Entry'!A1763="","",IFERROR(SUMIFS($H$5:$H$2001,$J$5:$J$2001,$J1763,$B$5:$B$2001,$B1763,$A$5:$A$2001,(MAXIFS($A$5:$A$2001,$J$5:$J$2001,$J1763,$B$5:$B$2001,$B1763,$A$5:$A$2001,"&lt;"&amp;$A1763))),""))</f>
        <v/>
      </c>
      <c r="L1763" s="14">
        <f>IF(OR('Data Entry'!A1763="",$K1763=""),"",$H1763-$K1763)</f>
        <v/>
      </c>
      <c r="M1763" s="15">
        <f>IF(OR('Data Entry'!A1763="",$K1763="",$K1763=0),"",$L1763/$K1763)</f>
        <v/>
      </c>
      <c r="N1763" s="12">
        <f>IF('Data Entry'!A1763="","",IF($L1763="","New item",IF($L1763&gt;0,"UP",IF($L1763&lt;0,"down","same"))))</f>
        <v/>
      </c>
    </row>
    <row r="1764">
      <c r="A1764" s="11">
        <f>IF('Data Entry'!A1764="","",'Data Entry'!A1764)</f>
        <v/>
      </c>
      <c r="B1764" s="12">
        <f>IF('Data Entry'!A1764="","",'Data Entry'!B1764)</f>
        <v/>
      </c>
      <c r="C1764" s="12">
        <f>IF('Data Entry'!A1764="","",'Data Entry'!C1764)</f>
        <v/>
      </c>
      <c r="D1764" s="12">
        <f>IF('Data Entry'!A1764="","",'Data Entry'!D1764)</f>
        <v/>
      </c>
      <c r="E1764" s="12">
        <f>IF('Data Entry'!A1764="","",'Data Entry'!E1764)</f>
        <v/>
      </c>
      <c r="F1764" s="12">
        <f>IF('Data Entry'!A1764="","",'Data Entry'!F1764)</f>
        <v/>
      </c>
      <c r="G1764" s="13">
        <f>IF('Data Entry'!A1764="","",'Data Entry'!G1764)</f>
        <v/>
      </c>
      <c r="H1764" s="10">
        <f>IF('Data Entry'!A1764="","",'Data Entry'!H1764)</f>
        <v/>
      </c>
      <c r="I1764" s="10">
        <f>IF('Data Entry'!A1764="","",'Data Entry'!I1764)</f>
        <v/>
      </c>
      <c r="J1764" s="12">
        <f>IF('Data Entry'!A1764="","",IF('Data Entry'!D1764&lt;&gt;"",'Data Entry'!D1764,'Data Entry'!E1764))</f>
        <v/>
      </c>
      <c r="K1764" s="10">
        <f>IF('Data Entry'!A1764="","",IFERROR(SUMIFS($H$5:$H$2001,$J$5:$J$2001,$J1764,$B$5:$B$2001,$B1764,$A$5:$A$2001,(MAXIFS($A$5:$A$2001,$J$5:$J$2001,$J1764,$B$5:$B$2001,$B1764,$A$5:$A$2001,"&lt;"&amp;$A1764))),""))</f>
        <v/>
      </c>
      <c r="L1764" s="14">
        <f>IF(OR('Data Entry'!A1764="",$K1764=""),"",$H1764-$K1764)</f>
        <v/>
      </c>
      <c r="M1764" s="15">
        <f>IF(OR('Data Entry'!A1764="",$K1764="",$K1764=0),"",$L1764/$K1764)</f>
        <v/>
      </c>
      <c r="N1764" s="12">
        <f>IF('Data Entry'!A1764="","",IF($L1764="","New item",IF($L1764&gt;0,"UP",IF($L1764&lt;0,"down","same"))))</f>
        <v/>
      </c>
    </row>
    <row r="1765">
      <c r="A1765" s="11">
        <f>IF('Data Entry'!A1765="","",'Data Entry'!A1765)</f>
        <v/>
      </c>
      <c r="B1765" s="12">
        <f>IF('Data Entry'!A1765="","",'Data Entry'!B1765)</f>
        <v/>
      </c>
      <c r="C1765" s="12">
        <f>IF('Data Entry'!A1765="","",'Data Entry'!C1765)</f>
        <v/>
      </c>
      <c r="D1765" s="12">
        <f>IF('Data Entry'!A1765="","",'Data Entry'!D1765)</f>
        <v/>
      </c>
      <c r="E1765" s="12">
        <f>IF('Data Entry'!A1765="","",'Data Entry'!E1765)</f>
        <v/>
      </c>
      <c r="F1765" s="12">
        <f>IF('Data Entry'!A1765="","",'Data Entry'!F1765)</f>
        <v/>
      </c>
      <c r="G1765" s="13">
        <f>IF('Data Entry'!A1765="","",'Data Entry'!G1765)</f>
        <v/>
      </c>
      <c r="H1765" s="10">
        <f>IF('Data Entry'!A1765="","",'Data Entry'!H1765)</f>
        <v/>
      </c>
      <c r="I1765" s="10">
        <f>IF('Data Entry'!A1765="","",'Data Entry'!I1765)</f>
        <v/>
      </c>
      <c r="J1765" s="12">
        <f>IF('Data Entry'!A1765="","",IF('Data Entry'!D1765&lt;&gt;"",'Data Entry'!D1765,'Data Entry'!E1765))</f>
        <v/>
      </c>
      <c r="K1765" s="10">
        <f>IF('Data Entry'!A1765="","",IFERROR(SUMIFS($H$5:$H$2001,$J$5:$J$2001,$J1765,$B$5:$B$2001,$B1765,$A$5:$A$2001,(MAXIFS($A$5:$A$2001,$J$5:$J$2001,$J1765,$B$5:$B$2001,$B1765,$A$5:$A$2001,"&lt;"&amp;$A1765))),""))</f>
        <v/>
      </c>
      <c r="L1765" s="14">
        <f>IF(OR('Data Entry'!A1765="",$K1765=""),"",$H1765-$K1765)</f>
        <v/>
      </c>
      <c r="M1765" s="15">
        <f>IF(OR('Data Entry'!A1765="",$K1765="",$K1765=0),"",$L1765/$K1765)</f>
        <v/>
      </c>
      <c r="N1765" s="12">
        <f>IF('Data Entry'!A1765="","",IF($L1765="","New item",IF($L1765&gt;0,"UP",IF($L1765&lt;0,"down","same"))))</f>
        <v/>
      </c>
    </row>
    <row r="1766">
      <c r="A1766" s="11">
        <f>IF('Data Entry'!A1766="","",'Data Entry'!A1766)</f>
        <v/>
      </c>
      <c r="B1766" s="12">
        <f>IF('Data Entry'!A1766="","",'Data Entry'!B1766)</f>
        <v/>
      </c>
      <c r="C1766" s="12">
        <f>IF('Data Entry'!A1766="","",'Data Entry'!C1766)</f>
        <v/>
      </c>
      <c r="D1766" s="12">
        <f>IF('Data Entry'!A1766="","",'Data Entry'!D1766)</f>
        <v/>
      </c>
      <c r="E1766" s="12">
        <f>IF('Data Entry'!A1766="","",'Data Entry'!E1766)</f>
        <v/>
      </c>
      <c r="F1766" s="12">
        <f>IF('Data Entry'!A1766="","",'Data Entry'!F1766)</f>
        <v/>
      </c>
      <c r="G1766" s="13">
        <f>IF('Data Entry'!A1766="","",'Data Entry'!G1766)</f>
        <v/>
      </c>
      <c r="H1766" s="10">
        <f>IF('Data Entry'!A1766="","",'Data Entry'!H1766)</f>
        <v/>
      </c>
      <c r="I1766" s="10">
        <f>IF('Data Entry'!A1766="","",'Data Entry'!I1766)</f>
        <v/>
      </c>
      <c r="J1766" s="12">
        <f>IF('Data Entry'!A1766="","",IF('Data Entry'!D1766&lt;&gt;"",'Data Entry'!D1766,'Data Entry'!E1766))</f>
        <v/>
      </c>
      <c r="K1766" s="10">
        <f>IF('Data Entry'!A1766="","",IFERROR(SUMIFS($H$5:$H$2001,$J$5:$J$2001,$J1766,$B$5:$B$2001,$B1766,$A$5:$A$2001,(MAXIFS($A$5:$A$2001,$J$5:$J$2001,$J1766,$B$5:$B$2001,$B1766,$A$5:$A$2001,"&lt;"&amp;$A1766))),""))</f>
        <v/>
      </c>
      <c r="L1766" s="14">
        <f>IF(OR('Data Entry'!A1766="",$K1766=""),"",$H1766-$K1766)</f>
        <v/>
      </c>
      <c r="M1766" s="15">
        <f>IF(OR('Data Entry'!A1766="",$K1766="",$K1766=0),"",$L1766/$K1766)</f>
        <v/>
      </c>
      <c r="N1766" s="12">
        <f>IF('Data Entry'!A1766="","",IF($L1766="","New item",IF($L1766&gt;0,"UP",IF($L1766&lt;0,"down","same"))))</f>
        <v/>
      </c>
    </row>
    <row r="1767">
      <c r="A1767" s="11">
        <f>IF('Data Entry'!A1767="","",'Data Entry'!A1767)</f>
        <v/>
      </c>
      <c r="B1767" s="12">
        <f>IF('Data Entry'!A1767="","",'Data Entry'!B1767)</f>
        <v/>
      </c>
      <c r="C1767" s="12">
        <f>IF('Data Entry'!A1767="","",'Data Entry'!C1767)</f>
        <v/>
      </c>
      <c r="D1767" s="12">
        <f>IF('Data Entry'!A1767="","",'Data Entry'!D1767)</f>
        <v/>
      </c>
      <c r="E1767" s="12">
        <f>IF('Data Entry'!A1767="","",'Data Entry'!E1767)</f>
        <v/>
      </c>
      <c r="F1767" s="12">
        <f>IF('Data Entry'!A1767="","",'Data Entry'!F1767)</f>
        <v/>
      </c>
      <c r="G1767" s="13">
        <f>IF('Data Entry'!A1767="","",'Data Entry'!G1767)</f>
        <v/>
      </c>
      <c r="H1767" s="10">
        <f>IF('Data Entry'!A1767="","",'Data Entry'!H1767)</f>
        <v/>
      </c>
      <c r="I1767" s="10">
        <f>IF('Data Entry'!A1767="","",'Data Entry'!I1767)</f>
        <v/>
      </c>
      <c r="J1767" s="12">
        <f>IF('Data Entry'!A1767="","",IF('Data Entry'!D1767&lt;&gt;"",'Data Entry'!D1767,'Data Entry'!E1767))</f>
        <v/>
      </c>
      <c r="K1767" s="10">
        <f>IF('Data Entry'!A1767="","",IFERROR(SUMIFS($H$5:$H$2001,$J$5:$J$2001,$J1767,$B$5:$B$2001,$B1767,$A$5:$A$2001,(MAXIFS($A$5:$A$2001,$J$5:$J$2001,$J1767,$B$5:$B$2001,$B1767,$A$5:$A$2001,"&lt;"&amp;$A1767))),""))</f>
        <v/>
      </c>
      <c r="L1767" s="14">
        <f>IF(OR('Data Entry'!A1767="",$K1767=""),"",$H1767-$K1767)</f>
        <v/>
      </c>
      <c r="M1767" s="15">
        <f>IF(OR('Data Entry'!A1767="",$K1767="",$K1767=0),"",$L1767/$K1767)</f>
        <v/>
      </c>
      <c r="N1767" s="12">
        <f>IF('Data Entry'!A1767="","",IF($L1767="","New item",IF($L1767&gt;0,"UP",IF($L1767&lt;0,"down","same"))))</f>
        <v/>
      </c>
    </row>
    <row r="1768">
      <c r="A1768" s="11">
        <f>IF('Data Entry'!A1768="","",'Data Entry'!A1768)</f>
        <v/>
      </c>
      <c r="B1768" s="12">
        <f>IF('Data Entry'!A1768="","",'Data Entry'!B1768)</f>
        <v/>
      </c>
      <c r="C1768" s="12">
        <f>IF('Data Entry'!A1768="","",'Data Entry'!C1768)</f>
        <v/>
      </c>
      <c r="D1768" s="12">
        <f>IF('Data Entry'!A1768="","",'Data Entry'!D1768)</f>
        <v/>
      </c>
      <c r="E1768" s="12">
        <f>IF('Data Entry'!A1768="","",'Data Entry'!E1768)</f>
        <v/>
      </c>
      <c r="F1768" s="12">
        <f>IF('Data Entry'!A1768="","",'Data Entry'!F1768)</f>
        <v/>
      </c>
      <c r="G1768" s="13">
        <f>IF('Data Entry'!A1768="","",'Data Entry'!G1768)</f>
        <v/>
      </c>
      <c r="H1768" s="10">
        <f>IF('Data Entry'!A1768="","",'Data Entry'!H1768)</f>
        <v/>
      </c>
      <c r="I1768" s="10">
        <f>IF('Data Entry'!A1768="","",'Data Entry'!I1768)</f>
        <v/>
      </c>
      <c r="J1768" s="12">
        <f>IF('Data Entry'!A1768="","",IF('Data Entry'!D1768&lt;&gt;"",'Data Entry'!D1768,'Data Entry'!E1768))</f>
        <v/>
      </c>
      <c r="K1768" s="10">
        <f>IF('Data Entry'!A1768="","",IFERROR(SUMIFS($H$5:$H$2001,$J$5:$J$2001,$J1768,$B$5:$B$2001,$B1768,$A$5:$A$2001,(MAXIFS($A$5:$A$2001,$J$5:$J$2001,$J1768,$B$5:$B$2001,$B1768,$A$5:$A$2001,"&lt;"&amp;$A1768))),""))</f>
        <v/>
      </c>
      <c r="L1768" s="14">
        <f>IF(OR('Data Entry'!A1768="",$K1768=""),"",$H1768-$K1768)</f>
        <v/>
      </c>
      <c r="M1768" s="15">
        <f>IF(OR('Data Entry'!A1768="",$K1768="",$K1768=0),"",$L1768/$K1768)</f>
        <v/>
      </c>
      <c r="N1768" s="12">
        <f>IF('Data Entry'!A1768="","",IF($L1768="","New item",IF($L1768&gt;0,"UP",IF($L1768&lt;0,"down","same"))))</f>
        <v/>
      </c>
    </row>
    <row r="1769">
      <c r="A1769" s="11">
        <f>IF('Data Entry'!A1769="","",'Data Entry'!A1769)</f>
        <v/>
      </c>
      <c r="B1769" s="12">
        <f>IF('Data Entry'!A1769="","",'Data Entry'!B1769)</f>
        <v/>
      </c>
      <c r="C1769" s="12">
        <f>IF('Data Entry'!A1769="","",'Data Entry'!C1769)</f>
        <v/>
      </c>
      <c r="D1769" s="12">
        <f>IF('Data Entry'!A1769="","",'Data Entry'!D1769)</f>
        <v/>
      </c>
      <c r="E1769" s="12">
        <f>IF('Data Entry'!A1769="","",'Data Entry'!E1769)</f>
        <v/>
      </c>
      <c r="F1769" s="12">
        <f>IF('Data Entry'!A1769="","",'Data Entry'!F1769)</f>
        <v/>
      </c>
      <c r="G1769" s="13">
        <f>IF('Data Entry'!A1769="","",'Data Entry'!G1769)</f>
        <v/>
      </c>
      <c r="H1769" s="10">
        <f>IF('Data Entry'!A1769="","",'Data Entry'!H1769)</f>
        <v/>
      </c>
      <c r="I1769" s="10">
        <f>IF('Data Entry'!A1769="","",'Data Entry'!I1769)</f>
        <v/>
      </c>
      <c r="J1769" s="12">
        <f>IF('Data Entry'!A1769="","",IF('Data Entry'!D1769&lt;&gt;"",'Data Entry'!D1769,'Data Entry'!E1769))</f>
        <v/>
      </c>
      <c r="K1769" s="10">
        <f>IF('Data Entry'!A1769="","",IFERROR(SUMIFS($H$5:$H$2001,$J$5:$J$2001,$J1769,$B$5:$B$2001,$B1769,$A$5:$A$2001,(MAXIFS($A$5:$A$2001,$J$5:$J$2001,$J1769,$B$5:$B$2001,$B1769,$A$5:$A$2001,"&lt;"&amp;$A1769))),""))</f>
        <v/>
      </c>
      <c r="L1769" s="14">
        <f>IF(OR('Data Entry'!A1769="",$K1769=""),"",$H1769-$K1769)</f>
        <v/>
      </c>
      <c r="M1769" s="15">
        <f>IF(OR('Data Entry'!A1769="",$K1769="",$K1769=0),"",$L1769/$K1769)</f>
        <v/>
      </c>
      <c r="N1769" s="12">
        <f>IF('Data Entry'!A1769="","",IF($L1769="","New item",IF($L1769&gt;0,"UP",IF($L1769&lt;0,"down","same"))))</f>
        <v/>
      </c>
    </row>
    <row r="1770">
      <c r="A1770" s="11">
        <f>IF('Data Entry'!A1770="","",'Data Entry'!A1770)</f>
        <v/>
      </c>
      <c r="B1770" s="12">
        <f>IF('Data Entry'!A1770="","",'Data Entry'!B1770)</f>
        <v/>
      </c>
      <c r="C1770" s="12">
        <f>IF('Data Entry'!A1770="","",'Data Entry'!C1770)</f>
        <v/>
      </c>
      <c r="D1770" s="12">
        <f>IF('Data Entry'!A1770="","",'Data Entry'!D1770)</f>
        <v/>
      </c>
      <c r="E1770" s="12">
        <f>IF('Data Entry'!A1770="","",'Data Entry'!E1770)</f>
        <v/>
      </c>
      <c r="F1770" s="12">
        <f>IF('Data Entry'!A1770="","",'Data Entry'!F1770)</f>
        <v/>
      </c>
      <c r="G1770" s="13">
        <f>IF('Data Entry'!A1770="","",'Data Entry'!G1770)</f>
        <v/>
      </c>
      <c r="H1770" s="10">
        <f>IF('Data Entry'!A1770="","",'Data Entry'!H1770)</f>
        <v/>
      </c>
      <c r="I1770" s="10">
        <f>IF('Data Entry'!A1770="","",'Data Entry'!I1770)</f>
        <v/>
      </c>
      <c r="J1770" s="12">
        <f>IF('Data Entry'!A1770="","",IF('Data Entry'!D1770&lt;&gt;"",'Data Entry'!D1770,'Data Entry'!E1770))</f>
        <v/>
      </c>
      <c r="K1770" s="10">
        <f>IF('Data Entry'!A1770="","",IFERROR(SUMIFS($H$5:$H$2001,$J$5:$J$2001,$J1770,$B$5:$B$2001,$B1770,$A$5:$A$2001,(MAXIFS($A$5:$A$2001,$J$5:$J$2001,$J1770,$B$5:$B$2001,$B1770,$A$5:$A$2001,"&lt;"&amp;$A1770))),""))</f>
        <v/>
      </c>
      <c r="L1770" s="14">
        <f>IF(OR('Data Entry'!A1770="",$K1770=""),"",$H1770-$K1770)</f>
        <v/>
      </c>
      <c r="M1770" s="15">
        <f>IF(OR('Data Entry'!A1770="",$K1770="",$K1770=0),"",$L1770/$K1770)</f>
        <v/>
      </c>
      <c r="N1770" s="12">
        <f>IF('Data Entry'!A1770="","",IF($L1770="","New item",IF($L1770&gt;0,"UP",IF($L1770&lt;0,"down","same"))))</f>
        <v/>
      </c>
    </row>
    <row r="1771">
      <c r="A1771" s="11">
        <f>IF('Data Entry'!A1771="","",'Data Entry'!A1771)</f>
        <v/>
      </c>
      <c r="B1771" s="12">
        <f>IF('Data Entry'!A1771="","",'Data Entry'!B1771)</f>
        <v/>
      </c>
      <c r="C1771" s="12">
        <f>IF('Data Entry'!A1771="","",'Data Entry'!C1771)</f>
        <v/>
      </c>
      <c r="D1771" s="12">
        <f>IF('Data Entry'!A1771="","",'Data Entry'!D1771)</f>
        <v/>
      </c>
      <c r="E1771" s="12">
        <f>IF('Data Entry'!A1771="","",'Data Entry'!E1771)</f>
        <v/>
      </c>
      <c r="F1771" s="12">
        <f>IF('Data Entry'!A1771="","",'Data Entry'!F1771)</f>
        <v/>
      </c>
      <c r="G1771" s="13">
        <f>IF('Data Entry'!A1771="","",'Data Entry'!G1771)</f>
        <v/>
      </c>
      <c r="H1771" s="10">
        <f>IF('Data Entry'!A1771="","",'Data Entry'!H1771)</f>
        <v/>
      </c>
      <c r="I1771" s="10">
        <f>IF('Data Entry'!A1771="","",'Data Entry'!I1771)</f>
        <v/>
      </c>
      <c r="J1771" s="12">
        <f>IF('Data Entry'!A1771="","",IF('Data Entry'!D1771&lt;&gt;"",'Data Entry'!D1771,'Data Entry'!E1771))</f>
        <v/>
      </c>
      <c r="K1771" s="10">
        <f>IF('Data Entry'!A1771="","",IFERROR(SUMIFS($H$5:$H$2001,$J$5:$J$2001,$J1771,$B$5:$B$2001,$B1771,$A$5:$A$2001,(MAXIFS($A$5:$A$2001,$J$5:$J$2001,$J1771,$B$5:$B$2001,$B1771,$A$5:$A$2001,"&lt;"&amp;$A1771))),""))</f>
        <v/>
      </c>
      <c r="L1771" s="14">
        <f>IF(OR('Data Entry'!A1771="",$K1771=""),"",$H1771-$K1771)</f>
        <v/>
      </c>
      <c r="M1771" s="15">
        <f>IF(OR('Data Entry'!A1771="",$K1771="",$K1771=0),"",$L1771/$K1771)</f>
        <v/>
      </c>
      <c r="N1771" s="12">
        <f>IF('Data Entry'!A1771="","",IF($L1771="","New item",IF($L1771&gt;0,"UP",IF($L1771&lt;0,"down","same"))))</f>
        <v/>
      </c>
    </row>
    <row r="1772">
      <c r="A1772" s="11">
        <f>IF('Data Entry'!A1772="","",'Data Entry'!A1772)</f>
        <v/>
      </c>
      <c r="B1772" s="12">
        <f>IF('Data Entry'!A1772="","",'Data Entry'!B1772)</f>
        <v/>
      </c>
      <c r="C1772" s="12">
        <f>IF('Data Entry'!A1772="","",'Data Entry'!C1772)</f>
        <v/>
      </c>
      <c r="D1772" s="12">
        <f>IF('Data Entry'!A1772="","",'Data Entry'!D1772)</f>
        <v/>
      </c>
      <c r="E1772" s="12">
        <f>IF('Data Entry'!A1772="","",'Data Entry'!E1772)</f>
        <v/>
      </c>
      <c r="F1772" s="12">
        <f>IF('Data Entry'!A1772="","",'Data Entry'!F1772)</f>
        <v/>
      </c>
      <c r="G1772" s="13">
        <f>IF('Data Entry'!A1772="","",'Data Entry'!G1772)</f>
        <v/>
      </c>
      <c r="H1772" s="10">
        <f>IF('Data Entry'!A1772="","",'Data Entry'!H1772)</f>
        <v/>
      </c>
      <c r="I1772" s="10">
        <f>IF('Data Entry'!A1772="","",'Data Entry'!I1772)</f>
        <v/>
      </c>
      <c r="J1772" s="12">
        <f>IF('Data Entry'!A1772="","",IF('Data Entry'!D1772&lt;&gt;"",'Data Entry'!D1772,'Data Entry'!E1772))</f>
        <v/>
      </c>
      <c r="K1772" s="10">
        <f>IF('Data Entry'!A1772="","",IFERROR(SUMIFS($H$5:$H$2001,$J$5:$J$2001,$J1772,$B$5:$B$2001,$B1772,$A$5:$A$2001,(MAXIFS($A$5:$A$2001,$J$5:$J$2001,$J1772,$B$5:$B$2001,$B1772,$A$5:$A$2001,"&lt;"&amp;$A1772))),""))</f>
        <v/>
      </c>
      <c r="L1772" s="14">
        <f>IF(OR('Data Entry'!A1772="",$K1772=""),"",$H1772-$K1772)</f>
        <v/>
      </c>
      <c r="M1772" s="15">
        <f>IF(OR('Data Entry'!A1772="",$K1772="",$K1772=0),"",$L1772/$K1772)</f>
        <v/>
      </c>
      <c r="N1772" s="12">
        <f>IF('Data Entry'!A1772="","",IF($L1772="","New item",IF($L1772&gt;0,"UP",IF($L1772&lt;0,"down","same"))))</f>
        <v/>
      </c>
    </row>
    <row r="1773">
      <c r="A1773" s="11">
        <f>IF('Data Entry'!A1773="","",'Data Entry'!A1773)</f>
        <v/>
      </c>
      <c r="B1773" s="12">
        <f>IF('Data Entry'!A1773="","",'Data Entry'!B1773)</f>
        <v/>
      </c>
      <c r="C1773" s="12">
        <f>IF('Data Entry'!A1773="","",'Data Entry'!C1773)</f>
        <v/>
      </c>
      <c r="D1773" s="12">
        <f>IF('Data Entry'!A1773="","",'Data Entry'!D1773)</f>
        <v/>
      </c>
      <c r="E1773" s="12">
        <f>IF('Data Entry'!A1773="","",'Data Entry'!E1773)</f>
        <v/>
      </c>
      <c r="F1773" s="12">
        <f>IF('Data Entry'!A1773="","",'Data Entry'!F1773)</f>
        <v/>
      </c>
      <c r="G1773" s="13">
        <f>IF('Data Entry'!A1773="","",'Data Entry'!G1773)</f>
        <v/>
      </c>
      <c r="H1773" s="10">
        <f>IF('Data Entry'!A1773="","",'Data Entry'!H1773)</f>
        <v/>
      </c>
      <c r="I1773" s="10">
        <f>IF('Data Entry'!A1773="","",'Data Entry'!I1773)</f>
        <v/>
      </c>
      <c r="J1773" s="12">
        <f>IF('Data Entry'!A1773="","",IF('Data Entry'!D1773&lt;&gt;"",'Data Entry'!D1773,'Data Entry'!E1773))</f>
        <v/>
      </c>
      <c r="K1773" s="10">
        <f>IF('Data Entry'!A1773="","",IFERROR(SUMIFS($H$5:$H$2001,$J$5:$J$2001,$J1773,$B$5:$B$2001,$B1773,$A$5:$A$2001,(MAXIFS($A$5:$A$2001,$J$5:$J$2001,$J1773,$B$5:$B$2001,$B1773,$A$5:$A$2001,"&lt;"&amp;$A1773))),""))</f>
        <v/>
      </c>
      <c r="L1773" s="14">
        <f>IF(OR('Data Entry'!A1773="",$K1773=""),"",$H1773-$K1773)</f>
        <v/>
      </c>
      <c r="M1773" s="15">
        <f>IF(OR('Data Entry'!A1773="",$K1773="",$K1773=0),"",$L1773/$K1773)</f>
        <v/>
      </c>
      <c r="N1773" s="12">
        <f>IF('Data Entry'!A1773="","",IF($L1773="","New item",IF($L1773&gt;0,"UP",IF($L1773&lt;0,"down","same"))))</f>
        <v/>
      </c>
    </row>
    <row r="1774">
      <c r="A1774" s="11">
        <f>IF('Data Entry'!A1774="","",'Data Entry'!A1774)</f>
        <v/>
      </c>
      <c r="B1774" s="12">
        <f>IF('Data Entry'!A1774="","",'Data Entry'!B1774)</f>
        <v/>
      </c>
      <c r="C1774" s="12">
        <f>IF('Data Entry'!A1774="","",'Data Entry'!C1774)</f>
        <v/>
      </c>
      <c r="D1774" s="12">
        <f>IF('Data Entry'!A1774="","",'Data Entry'!D1774)</f>
        <v/>
      </c>
      <c r="E1774" s="12">
        <f>IF('Data Entry'!A1774="","",'Data Entry'!E1774)</f>
        <v/>
      </c>
      <c r="F1774" s="12">
        <f>IF('Data Entry'!A1774="","",'Data Entry'!F1774)</f>
        <v/>
      </c>
      <c r="G1774" s="13">
        <f>IF('Data Entry'!A1774="","",'Data Entry'!G1774)</f>
        <v/>
      </c>
      <c r="H1774" s="10">
        <f>IF('Data Entry'!A1774="","",'Data Entry'!H1774)</f>
        <v/>
      </c>
      <c r="I1774" s="10">
        <f>IF('Data Entry'!A1774="","",'Data Entry'!I1774)</f>
        <v/>
      </c>
      <c r="J1774" s="12">
        <f>IF('Data Entry'!A1774="","",IF('Data Entry'!D1774&lt;&gt;"",'Data Entry'!D1774,'Data Entry'!E1774))</f>
        <v/>
      </c>
      <c r="K1774" s="10">
        <f>IF('Data Entry'!A1774="","",IFERROR(SUMIFS($H$5:$H$2001,$J$5:$J$2001,$J1774,$B$5:$B$2001,$B1774,$A$5:$A$2001,(MAXIFS($A$5:$A$2001,$J$5:$J$2001,$J1774,$B$5:$B$2001,$B1774,$A$5:$A$2001,"&lt;"&amp;$A1774))),""))</f>
        <v/>
      </c>
      <c r="L1774" s="14">
        <f>IF(OR('Data Entry'!A1774="",$K1774=""),"",$H1774-$K1774)</f>
        <v/>
      </c>
      <c r="M1774" s="15">
        <f>IF(OR('Data Entry'!A1774="",$K1774="",$K1774=0),"",$L1774/$K1774)</f>
        <v/>
      </c>
      <c r="N1774" s="12">
        <f>IF('Data Entry'!A1774="","",IF($L1774="","New item",IF($L1774&gt;0,"UP",IF($L1774&lt;0,"down","same"))))</f>
        <v/>
      </c>
    </row>
    <row r="1775">
      <c r="A1775" s="11">
        <f>IF('Data Entry'!A1775="","",'Data Entry'!A1775)</f>
        <v/>
      </c>
      <c r="B1775" s="12">
        <f>IF('Data Entry'!A1775="","",'Data Entry'!B1775)</f>
        <v/>
      </c>
      <c r="C1775" s="12">
        <f>IF('Data Entry'!A1775="","",'Data Entry'!C1775)</f>
        <v/>
      </c>
      <c r="D1775" s="12">
        <f>IF('Data Entry'!A1775="","",'Data Entry'!D1775)</f>
        <v/>
      </c>
      <c r="E1775" s="12">
        <f>IF('Data Entry'!A1775="","",'Data Entry'!E1775)</f>
        <v/>
      </c>
      <c r="F1775" s="12">
        <f>IF('Data Entry'!A1775="","",'Data Entry'!F1775)</f>
        <v/>
      </c>
      <c r="G1775" s="13">
        <f>IF('Data Entry'!A1775="","",'Data Entry'!G1775)</f>
        <v/>
      </c>
      <c r="H1775" s="10">
        <f>IF('Data Entry'!A1775="","",'Data Entry'!H1775)</f>
        <v/>
      </c>
      <c r="I1775" s="10">
        <f>IF('Data Entry'!A1775="","",'Data Entry'!I1775)</f>
        <v/>
      </c>
      <c r="J1775" s="12">
        <f>IF('Data Entry'!A1775="","",IF('Data Entry'!D1775&lt;&gt;"",'Data Entry'!D1775,'Data Entry'!E1775))</f>
        <v/>
      </c>
      <c r="K1775" s="10">
        <f>IF('Data Entry'!A1775="","",IFERROR(SUMIFS($H$5:$H$2001,$J$5:$J$2001,$J1775,$B$5:$B$2001,$B1775,$A$5:$A$2001,(MAXIFS($A$5:$A$2001,$J$5:$J$2001,$J1775,$B$5:$B$2001,$B1775,$A$5:$A$2001,"&lt;"&amp;$A1775))),""))</f>
        <v/>
      </c>
      <c r="L1775" s="14">
        <f>IF(OR('Data Entry'!A1775="",$K1775=""),"",$H1775-$K1775)</f>
        <v/>
      </c>
      <c r="M1775" s="15">
        <f>IF(OR('Data Entry'!A1775="",$K1775="",$K1775=0),"",$L1775/$K1775)</f>
        <v/>
      </c>
      <c r="N1775" s="12">
        <f>IF('Data Entry'!A1775="","",IF($L1775="","New item",IF($L1775&gt;0,"UP",IF($L1775&lt;0,"down","same"))))</f>
        <v/>
      </c>
    </row>
    <row r="1776">
      <c r="A1776" s="11">
        <f>IF('Data Entry'!A1776="","",'Data Entry'!A1776)</f>
        <v/>
      </c>
      <c r="B1776" s="12">
        <f>IF('Data Entry'!A1776="","",'Data Entry'!B1776)</f>
        <v/>
      </c>
      <c r="C1776" s="12">
        <f>IF('Data Entry'!A1776="","",'Data Entry'!C1776)</f>
        <v/>
      </c>
      <c r="D1776" s="12">
        <f>IF('Data Entry'!A1776="","",'Data Entry'!D1776)</f>
        <v/>
      </c>
      <c r="E1776" s="12">
        <f>IF('Data Entry'!A1776="","",'Data Entry'!E1776)</f>
        <v/>
      </c>
      <c r="F1776" s="12">
        <f>IF('Data Entry'!A1776="","",'Data Entry'!F1776)</f>
        <v/>
      </c>
      <c r="G1776" s="13">
        <f>IF('Data Entry'!A1776="","",'Data Entry'!G1776)</f>
        <v/>
      </c>
      <c r="H1776" s="10">
        <f>IF('Data Entry'!A1776="","",'Data Entry'!H1776)</f>
        <v/>
      </c>
      <c r="I1776" s="10">
        <f>IF('Data Entry'!A1776="","",'Data Entry'!I1776)</f>
        <v/>
      </c>
      <c r="J1776" s="12">
        <f>IF('Data Entry'!A1776="","",IF('Data Entry'!D1776&lt;&gt;"",'Data Entry'!D1776,'Data Entry'!E1776))</f>
        <v/>
      </c>
      <c r="K1776" s="10">
        <f>IF('Data Entry'!A1776="","",IFERROR(SUMIFS($H$5:$H$2001,$J$5:$J$2001,$J1776,$B$5:$B$2001,$B1776,$A$5:$A$2001,(MAXIFS($A$5:$A$2001,$J$5:$J$2001,$J1776,$B$5:$B$2001,$B1776,$A$5:$A$2001,"&lt;"&amp;$A1776))),""))</f>
        <v/>
      </c>
      <c r="L1776" s="14">
        <f>IF(OR('Data Entry'!A1776="",$K1776=""),"",$H1776-$K1776)</f>
        <v/>
      </c>
      <c r="M1776" s="15">
        <f>IF(OR('Data Entry'!A1776="",$K1776="",$K1776=0),"",$L1776/$K1776)</f>
        <v/>
      </c>
      <c r="N1776" s="12">
        <f>IF('Data Entry'!A1776="","",IF($L1776="","New item",IF($L1776&gt;0,"UP",IF($L1776&lt;0,"down","same"))))</f>
        <v/>
      </c>
    </row>
    <row r="1777">
      <c r="A1777" s="11">
        <f>IF('Data Entry'!A1777="","",'Data Entry'!A1777)</f>
        <v/>
      </c>
      <c r="B1777" s="12">
        <f>IF('Data Entry'!A1777="","",'Data Entry'!B1777)</f>
        <v/>
      </c>
      <c r="C1777" s="12">
        <f>IF('Data Entry'!A1777="","",'Data Entry'!C1777)</f>
        <v/>
      </c>
      <c r="D1777" s="12">
        <f>IF('Data Entry'!A1777="","",'Data Entry'!D1777)</f>
        <v/>
      </c>
      <c r="E1777" s="12">
        <f>IF('Data Entry'!A1777="","",'Data Entry'!E1777)</f>
        <v/>
      </c>
      <c r="F1777" s="12">
        <f>IF('Data Entry'!A1777="","",'Data Entry'!F1777)</f>
        <v/>
      </c>
      <c r="G1777" s="13">
        <f>IF('Data Entry'!A1777="","",'Data Entry'!G1777)</f>
        <v/>
      </c>
      <c r="H1777" s="10">
        <f>IF('Data Entry'!A1777="","",'Data Entry'!H1777)</f>
        <v/>
      </c>
      <c r="I1777" s="10">
        <f>IF('Data Entry'!A1777="","",'Data Entry'!I1777)</f>
        <v/>
      </c>
      <c r="J1777" s="12">
        <f>IF('Data Entry'!A1777="","",IF('Data Entry'!D1777&lt;&gt;"",'Data Entry'!D1777,'Data Entry'!E1777))</f>
        <v/>
      </c>
      <c r="K1777" s="10">
        <f>IF('Data Entry'!A1777="","",IFERROR(SUMIFS($H$5:$H$2001,$J$5:$J$2001,$J1777,$B$5:$B$2001,$B1777,$A$5:$A$2001,(MAXIFS($A$5:$A$2001,$J$5:$J$2001,$J1777,$B$5:$B$2001,$B1777,$A$5:$A$2001,"&lt;"&amp;$A1777))),""))</f>
        <v/>
      </c>
      <c r="L1777" s="14">
        <f>IF(OR('Data Entry'!A1777="",$K1777=""),"",$H1777-$K1777)</f>
        <v/>
      </c>
      <c r="M1777" s="15">
        <f>IF(OR('Data Entry'!A1777="",$K1777="",$K1777=0),"",$L1777/$K1777)</f>
        <v/>
      </c>
      <c r="N1777" s="12">
        <f>IF('Data Entry'!A1777="","",IF($L1777="","New item",IF($L1777&gt;0,"UP",IF($L1777&lt;0,"down","same"))))</f>
        <v/>
      </c>
    </row>
    <row r="1778">
      <c r="A1778" s="11">
        <f>IF('Data Entry'!A1778="","",'Data Entry'!A1778)</f>
        <v/>
      </c>
      <c r="B1778" s="12">
        <f>IF('Data Entry'!A1778="","",'Data Entry'!B1778)</f>
        <v/>
      </c>
      <c r="C1778" s="12">
        <f>IF('Data Entry'!A1778="","",'Data Entry'!C1778)</f>
        <v/>
      </c>
      <c r="D1778" s="12">
        <f>IF('Data Entry'!A1778="","",'Data Entry'!D1778)</f>
        <v/>
      </c>
      <c r="E1778" s="12">
        <f>IF('Data Entry'!A1778="","",'Data Entry'!E1778)</f>
        <v/>
      </c>
      <c r="F1778" s="12">
        <f>IF('Data Entry'!A1778="","",'Data Entry'!F1778)</f>
        <v/>
      </c>
      <c r="G1778" s="13">
        <f>IF('Data Entry'!A1778="","",'Data Entry'!G1778)</f>
        <v/>
      </c>
      <c r="H1778" s="10">
        <f>IF('Data Entry'!A1778="","",'Data Entry'!H1778)</f>
        <v/>
      </c>
      <c r="I1778" s="10">
        <f>IF('Data Entry'!A1778="","",'Data Entry'!I1778)</f>
        <v/>
      </c>
      <c r="J1778" s="12">
        <f>IF('Data Entry'!A1778="","",IF('Data Entry'!D1778&lt;&gt;"",'Data Entry'!D1778,'Data Entry'!E1778))</f>
        <v/>
      </c>
      <c r="K1778" s="10">
        <f>IF('Data Entry'!A1778="","",IFERROR(SUMIFS($H$5:$H$2001,$J$5:$J$2001,$J1778,$B$5:$B$2001,$B1778,$A$5:$A$2001,(MAXIFS($A$5:$A$2001,$J$5:$J$2001,$J1778,$B$5:$B$2001,$B1778,$A$5:$A$2001,"&lt;"&amp;$A1778))),""))</f>
        <v/>
      </c>
      <c r="L1778" s="14">
        <f>IF(OR('Data Entry'!A1778="",$K1778=""),"",$H1778-$K1778)</f>
        <v/>
      </c>
      <c r="M1778" s="15">
        <f>IF(OR('Data Entry'!A1778="",$K1778="",$K1778=0),"",$L1778/$K1778)</f>
        <v/>
      </c>
      <c r="N1778" s="12">
        <f>IF('Data Entry'!A1778="","",IF($L1778="","New item",IF($L1778&gt;0,"UP",IF($L1778&lt;0,"down","same"))))</f>
        <v/>
      </c>
    </row>
    <row r="1779">
      <c r="A1779" s="11">
        <f>IF('Data Entry'!A1779="","",'Data Entry'!A1779)</f>
        <v/>
      </c>
      <c r="B1779" s="12">
        <f>IF('Data Entry'!A1779="","",'Data Entry'!B1779)</f>
        <v/>
      </c>
      <c r="C1779" s="12">
        <f>IF('Data Entry'!A1779="","",'Data Entry'!C1779)</f>
        <v/>
      </c>
      <c r="D1779" s="12">
        <f>IF('Data Entry'!A1779="","",'Data Entry'!D1779)</f>
        <v/>
      </c>
      <c r="E1779" s="12">
        <f>IF('Data Entry'!A1779="","",'Data Entry'!E1779)</f>
        <v/>
      </c>
      <c r="F1779" s="12">
        <f>IF('Data Entry'!A1779="","",'Data Entry'!F1779)</f>
        <v/>
      </c>
      <c r="G1779" s="13">
        <f>IF('Data Entry'!A1779="","",'Data Entry'!G1779)</f>
        <v/>
      </c>
      <c r="H1779" s="10">
        <f>IF('Data Entry'!A1779="","",'Data Entry'!H1779)</f>
        <v/>
      </c>
      <c r="I1779" s="10">
        <f>IF('Data Entry'!A1779="","",'Data Entry'!I1779)</f>
        <v/>
      </c>
      <c r="J1779" s="12">
        <f>IF('Data Entry'!A1779="","",IF('Data Entry'!D1779&lt;&gt;"",'Data Entry'!D1779,'Data Entry'!E1779))</f>
        <v/>
      </c>
      <c r="K1779" s="10">
        <f>IF('Data Entry'!A1779="","",IFERROR(SUMIFS($H$5:$H$2001,$J$5:$J$2001,$J1779,$B$5:$B$2001,$B1779,$A$5:$A$2001,(MAXIFS($A$5:$A$2001,$J$5:$J$2001,$J1779,$B$5:$B$2001,$B1779,$A$5:$A$2001,"&lt;"&amp;$A1779))),""))</f>
        <v/>
      </c>
      <c r="L1779" s="14">
        <f>IF(OR('Data Entry'!A1779="",$K1779=""),"",$H1779-$K1779)</f>
        <v/>
      </c>
      <c r="M1779" s="15">
        <f>IF(OR('Data Entry'!A1779="",$K1779="",$K1779=0),"",$L1779/$K1779)</f>
        <v/>
      </c>
      <c r="N1779" s="12">
        <f>IF('Data Entry'!A1779="","",IF($L1779="","New item",IF($L1779&gt;0,"UP",IF($L1779&lt;0,"down","same"))))</f>
        <v/>
      </c>
    </row>
    <row r="1780">
      <c r="A1780" s="11">
        <f>IF('Data Entry'!A1780="","",'Data Entry'!A1780)</f>
        <v/>
      </c>
      <c r="B1780" s="12">
        <f>IF('Data Entry'!A1780="","",'Data Entry'!B1780)</f>
        <v/>
      </c>
      <c r="C1780" s="12">
        <f>IF('Data Entry'!A1780="","",'Data Entry'!C1780)</f>
        <v/>
      </c>
      <c r="D1780" s="12">
        <f>IF('Data Entry'!A1780="","",'Data Entry'!D1780)</f>
        <v/>
      </c>
      <c r="E1780" s="12">
        <f>IF('Data Entry'!A1780="","",'Data Entry'!E1780)</f>
        <v/>
      </c>
      <c r="F1780" s="12">
        <f>IF('Data Entry'!A1780="","",'Data Entry'!F1780)</f>
        <v/>
      </c>
      <c r="G1780" s="13">
        <f>IF('Data Entry'!A1780="","",'Data Entry'!G1780)</f>
        <v/>
      </c>
      <c r="H1780" s="10">
        <f>IF('Data Entry'!A1780="","",'Data Entry'!H1780)</f>
        <v/>
      </c>
      <c r="I1780" s="10">
        <f>IF('Data Entry'!A1780="","",'Data Entry'!I1780)</f>
        <v/>
      </c>
      <c r="J1780" s="12">
        <f>IF('Data Entry'!A1780="","",IF('Data Entry'!D1780&lt;&gt;"",'Data Entry'!D1780,'Data Entry'!E1780))</f>
        <v/>
      </c>
      <c r="K1780" s="10">
        <f>IF('Data Entry'!A1780="","",IFERROR(SUMIFS($H$5:$H$2001,$J$5:$J$2001,$J1780,$B$5:$B$2001,$B1780,$A$5:$A$2001,(MAXIFS($A$5:$A$2001,$J$5:$J$2001,$J1780,$B$5:$B$2001,$B1780,$A$5:$A$2001,"&lt;"&amp;$A1780))),""))</f>
        <v/>
      </c>
      <c r="L1780" s="14">
        <f>IF(OR('Data Entry'!A1780="",$K1780=""),"",$H1780-$K1780)</f>
        <v/>
      </c>
      <c r="M1780" s="15">
        <f>IF(OR('Data Entry'!A1780="",$K1780="",$K1780=0),"",$L1780/$K1780)</f>
        <v/>
      </c>
      <c r="N1780" s="12">
        <f>IF('Data Entry'!A1780="","",IF($L1780="","New item",IF($L1780&gt;0,"UP",IF($L1780&lt;0,"down","same"))))</f>
        <v/>
      </c>
    </row>
    <row r="1781">
      <c r="A1781" s="11">
        <f>IF('Data Entry'!A1781="","",'Data Entry'!A1781)</f>
        <v/>
      </c>
      <c r="B1781" s="12">
        <f>IF('Data Entry'!A1781="","",'Data Entry'!B1781)</f>
        <v/>
      </c>
      <c r="C1781" s="12">
        <f>IF('Data Entry'!A1781="","",'Data Entry'!C1781)</f>
        <v/>
      </c>
      <c r="D1781" s="12">
        <f>IF('Data Entry'!A1781="","",'Data Entry'!D1781)</f>
        <v/>
      </c>
      <c r="E1781" s="12">
        <f>IF('Data Entry'!A1781="","",'Data Entry'!E1781)</f>
        <v/>
      </c>
      <c r="F1781" s="12">
        <f>IF('Data Entry'!A1781="","",'Data Entry'!F1781)</f>
        <v/>
      </c>
      <c r="G1781" s="13">
        <f>IF('Data Entry'!A1781="","",'Data Entry'!G1781)</f>
        <v/>
      </c>
      <c r="H1781" s="10">
        <f>IF('Data Entry'!A1781="","",'Data Entry'!H1781)</f>
        <v/>
      </c>
      <c r="I1781" s="10">
        <f>IF('Data Entry'!A1781="","",'Data Entry'!I1781)</f>
        <v/>
      </c>
      <c r="J1781" s="12">
        <f>IF('Data Entry'!A1781="","",IF('Data Entry'!D1781&lt;&gt;"",'Data Entry'!D1781,'Data Entry'!E1781))</f>
        <v/>
      </c>
      <c r="K1781" s="10">
        <f>IF('Data Entry'!A1781="","",IFERROR(SUMIFS($H$5:$H$2001,$J$5:$J$2001,$J1781,$B$5:$B$2001,$B1781,$A$5:$A$2001,(MAXIFS($A$5:$A$2001,$J$5:$J$2001,$J1781,$B$5:$B$2001,$B1781,$A$5:$A$2001,"&lt;"&amp;$A1781))),""))</f>
        <v/>
      </c>
      <c r="L1781" s="14">
        <f>IF(OR('Data Entry'!A1781="",$K1781=""),"",$H1781-$K1781)</f>
        <v/>
      </c>
      <c r="M1781" s="15">
        <f>IF(OR('Data Entry'!A1781="",$K1781="",$K1781=0),"",$L1781/$K1781)</f>
        <v/>
      </c>
      <c r="N1781" s="12">
        <f>IF('Data Entry'!A1781="","",IF($L1781="","New item",IF($L1781&gt;0,"UP",IF($L1781&lt;0,"down","same"))))</f>
        <v/>
      </c>
    </row>
    <row r="1782">
      <c r="A1782" s="11">
        <f>IF('Data Entry'!A1782="","",'Data Entry'!A1782)</f>
        <v/>
      </c>
      <c r="B1782" s="12">
        <f>IF('Data Entry'!A1782="","",'Data Entry'!B1782)</f>
        <v/>
      </c>
      <c r="C1782" s="12">
        <f>IF('Data Entry'!A1782="","",'Data Entry'!C1782)</f>
        <v/>
      </c>
      <c r="D1782" s="12">
        <f>IF('Data Entry'!A1782="","",'Data Entry'!D1782)</f>
        <v/>
      </c>
      <c r="E1782" s="12">
        <f>IF('Data Entry'!A1782="","",'Data Entry'!E1782)</f>
        <v/>
      </c>
      <c r="F1782" s="12">
        <f>IF('Data Entry'!A1782="","",'Data Entry'!F1782)</f>
        <v/>
      </c>
      <c r="G1782" s="13">
        <f>IF('Data Entry'!A1782="","",'Data Entry'!G1782)</f>
        <v/>
      </c>
      <c r="H1782" s="10">
        <f>IF('Data Entry'!A1782="","",'Data Entry'!H1782)</f>
        <v/>
      </c>
      <c r="I1782" s="10">
        <f>IF('Data Entry'!A1782="","",'Data Entry'!I1782)</f>
        <v/>
      </c>
      <c r="J1782" s="12">
        <f>IF('Data Entry'!A1782="","",IF('Data Entry'!D1782&lt;&gt;"",'Data Entry'!D1782,'Data Entry'!E1782))</f>
        <v/>
      </c>
      <c r="K1782" s="10">
        <f>IF('Data Entry'!A1782="","",IFERROR(SUMIFS($H$5:$H$2001,$J$5:$J$2001,$J1782,$B$5:$B$2001,$B1782,$A$5:$A$2001,(MAXIFS($A$5:$A$2001,$J$5:$J$2001,$J1782,$B$5:$B$2001,$B1782,$A$5:$A$2001,"&lt;"&amp;$A1782))),""))</f>
        <v/>
      </c>
      <c r="L1782" s="14">
        <f>IF(OR('Data Entry'!A1782="",$K1782=""),"",$H1782-$K1782)</f>
        <v/>
      </c>
      <c r="M1782" s="15">
        <f>IF(OR('Data Entry'!A1782="",$K1782="",$K1782=0),"",$L1782/$K1782)</f>
        <v/>
      </c>
      <c r="N1782" s="12">
        <f>IF('Data Entry'!A1782="","",IF($L1782="","New item",IF($L1782&gt;0,"UP",IF($L1782&lt;0,"down","same"))))</f>
        <v/>
      </c>
    </row>
    <row r="1783">
      <c r="A1783" s="11">
        <f>IF('Data Entry'!A1783="","",'Data Entry'!A1783)</f>
        <v/>
      </c>
      <c r="B1783" s="12">
        <f>IF('Data Entry'!A1783="","",'Data Entry'!B1783)</f>
        <v/>
      </c>
      <c r="C1783" s="12">
        <f>IF('Data Entry'!A1783="","",'Data Entry'!C1783)</f>
        <v/>
      </c>
      <c r="D1783" s="12">
        <f>IF('Data Entry'!A1783="","",'Data Entry'!D1783)</f>
        <v/>
      </c>
      <c r="E1783" s="12">
        <f>IF('Data Entry'!A1783="","",'Data Entry'!E1783)</f>
        <v/>
      </c>
      <c r="F1783" s="12">
        <f>IF('Data Entry'!A1783="","",'Data Entry'!F1783)</f>
        <v/>
      </c>
      <c r="G1783" s="13">
        <f>IF('Data Entry'!A1783="","",'Data Entry'!G1783)</f>
        <v/>
      </c>
      <c r="H1783" s="10">
        <f>IF('Data Entry'!A1783="","",'Data Entry'!H1783)</f>
        <v/>
      </c>
      <c r="I1783" s="10">
        <f>IF('Data Entry'!A1783="","",'Data Entry'!I1783)</f>
        <v/>
      </c>
      <c r="J1783" s="12">
        <f>IF('Data Entry'!A1783="","",IF('Data Entry'!D1783&lt;&gt;"",'Data Entry'!D1783,'Data Entry'!E1783))</f>
        <v/>
      </c>
      <c r="K1783" s="10">
        <f>IF('Data Entry'!A1783="","",IFERROR(SUMIFS($H$5:$H$2001,$J$5:$J$2001,$J1783,$B$5:$B$2001,$B1783,$A$5:$A$2001,(MAXIFS($A$5:$A$2001,$J$5:$J$2001,$J1783,$B$5:$B$2001,$B1783,$A$5:$A$2001,"&lt;"&amp;$A1783))),""))</f>
        <v/>
      </c>
      <c r="L1783" s="14">
        <f>IF(OR('Data Entry'!A1783="",$K1783=""),"",$H1783-$K1783)</f>
        <v/>
      </c>
      <c r="M1783" s="15">
        <f>IF(OR('Data Entry'!A1783="",$K1783="",$K1783=0),"",$L1783/$K1783)</f>
        <v/>
      </c>
      <c r="N1783" s="12">
        <f>IF('Data Entry'!A1783="","",IF($L1783="","New item",IF($L1783&gt;0,"UP",IF($L1783&lt;0,"down","same"))))</f>
        <v/>
      </c>
    </row>
    <row r="1784">
      <c r="A1784" s="11">
        <f>IF('Data Entry'!A1784="","",'Data Entry'!A1784)</f>
        <v/>
      </c>
      <c r="B1784" s="12">
        <f>IF('Data Entry'!A1784="","",'Data Entry'!B1784)</f>
        <v/>
      </c>
      <c r="C1784" s="12">
        <f>IF('Data Entry'!A1784="","",'Data Entry'!C1784)</f>
        <v/>
      </c>
      <c r="D1784" s="12">
        <f>IF('Data Entry'!A1784="","",'Data Entry'!D1784)</f>
        <v/>
      </c>
      <c r="E1784" s="12">
        <f>IF('Data Entry'!A1784="","",'Data Entry'!E1784)</f>
        <v/>
      </c>
      <c r="F1784" s="12">
        <f>IF('Data Entry'!A1784="","",'Data Entry'!F1784)</f>
        <v/>
      </c>
      <c r="G1784" s="13">
        <f>IF('Data Entry'!A1784="","",'Data Entry'!G1784)</f>
        <v/>
      </c>
      <c r="H1784" s="10">
        <f>IF('Data Entry'!A1784="","",'Data Entry'!H1784)</f>
        <v/>
      </c>
      <c r="I1784" s="10">
        <f>IF('Data Entry'!A1784="","",'Data Entry'!I1784)</f>
        <v/>
      </c>
      <c r="J1784" s="12">
        <f>IF('Data Entry'!A1784="","",IF('Data Entry'!D1784&lt;&gt;"",'Data Entry'!D1784,'Data Entry'!E1784))</f>
        <v/>
      </c>
      <c r="K1784" s="10">
        <f>IF('Data Entry'!A1784="","",IFERROR(SUMIFS($H$5:$H$2001,$J$5:$J$2001,$J1784,$B$5:$B$2001,$B1784,$A$5:$A$2001,(MAXIFS($A$5:$A$2001,$J$5:$J$2001,$J1784,$B$5:$B$2001,$B1784,$A$5:$A$2001,"&lt;"&amp;$A1784))),""))</f>
        <v/>
      </c>
      <c r="L1784" s="14">
        <f>IF(OR('Data Entry'!A1784="",$K1784=""),"",$H1784-$K1784)</f>
        <v/>
      </c>
      <c r="M1784" s="15">
        <f>IF(OR('Data Entry'!A1784="",$K1784="",$K1784=0),"",$L1784/$K1784)</f>
        <v/>
      </c>
      <c r="N1784" s="12">
        <f>IF('Data Entry'!A1784="","",IF($L1784="","New item",IF($L1784&gt;0,"UP",IF($L1784&lt;0,"down","same"))))</f>
        <v/>
      </c>
    </row>
    <row r="1785">
      <c r="A1785" s="11">
        <f>IF('Data Entry'!A1785="","",'Data Entry'!A1785)</f>
        <v/>
      </c>
      <c r="B1785" s="12">
        <f>IF('Data Entry'!A1785="","",'Data Entry'!B1785)</f>
        <v/>
      </c>
      <c r="C1785" s="12">
        <f>IF('Data Entry'!A1785="","",'Data Entry'!C1785)</f>
        <v/>
      </c>
      <c r="D1785" s="12">
        <f>IF('Data Entry'!A1785="","",'Data Entry'!D1785)</f>
        <v/>
      </c>
      <c r="E1785" s="12">
        <f>IF('Data Entry'!A1785="","",'Data Entry'!E1785)</f>
        <v/>
      </c>
      <c r="F1785" s="12">
        <f>IF('Data Entry'!A1785="","",'Data Entry'!F1785)</f>
        <v/>
      </c>
      <c r="G1785" s="13">
        <f>IF('Data Entry'!A1785="","",'Data Entry'!G1785)</f>
        <v/>
      </c>
      <c r="H1785" s="10">
        <f>IF('Data Entry'!A1785="","",'Data Entry'!H1785)</f>
        <v/>
      </c>
      <c r="I1785" s="10">
        <f>IF('Data Entry'!A1785="","",'Data Entry'!I1785)</f>
        <v/>
      </c>
      <c r="J1785" s="12">
        <f>IF('Data Entry'!A1785="","",IF('Data Entry'!D1785&lt;&gt;"",'Data Entry'!D1785,'Data Entry'!E1785))</f>
        <v/>
      </c>
      <c r="K1785" s="10">
        <f>IF('Data Entry'!A1785="","",IFERROR(SUMIFS($H$5:$H$2001,$J$5:$J$2001,$J1785,$B$5:$B$2001,$B1785,$A$5:$A$2001,(MAXIFS($A$5:$A$2001,$J$5:$J$2001,$J1785,$B$5:$B$2001,$B1785,$A$5:$A$2001,"&lt;"&amp;$A1785))),""))</f>
        <v/>
      </c>
      <c r="L1785" s="14">
        <f>IF(OR('Data Entry'!A1785="",$K1785=""),"",$H1785-$K1785)</f>
        <v/>
      </c>
      <c r="M1785" s="15">
        <f>IF(OR('Data Entry'!A1785="",$K1785="",$K1785=0),"",$L1785/$K1785)</f>
        <v/>
      </c>
      <c r="N1785" s="12">
        <f>IF('Data Entry'!A1785="","",IF($L1785="","New item",IF($L1785&gt;0,"UP",IF($L1785&lt;0,"down","same"))))</f>
        <v/>
      </c>
    </row>
    <row r="1786">
      <c r="A1786" s="11">
        <f>IF('Data Entry'!A1786="","",'Data Entry'!A1786)</f>
        <v/>
      </c>
      <c r="B1786" s="12">
        <f>IF('Data Entry'!A1786="","",'Data Entry'!B1786)</f>
        <v/>
      </c>
      <c r="C1786" s="12">
        <f>IF('Data Entry'!A1786="","",'Data Entry'!C1786)</f>
        <v/>
      </c>
      <c r="D1786" s="12">
        <f>IF('Data Entry'!A1786="","",'Data Entry'!D1786)</f>
        <v/>
      </c>
      <c r="E1786" s="12">
        <f>IF('Data Entry'!A1786="","",'Data Entry'!E1786)</f>
        <v/>
      </c>
      <c r="F1786" s="12">
        <f>IF('Data Entry'!A1786="","",'Data Entry'!F1786)</f>
        <v/>
      </c>
      <c r="G1786" s="13">
        <f>IF('Data Entry'!A1786="","",'Data Entry'!G1786)</f>
        <v/>
      </c>
      <c r="H1786" s="10">
        <f>IF('Data Entry'!A1786="","",'Data Entry'!H1786)</f>
        <v/>
      </c>
      <c r="I1786" s="10">
        <f>IF('Data Entry'!A1786="","",'Data Entry'!I1786)</f>
        <v/>
      </c>
      <c r="J1786" s="12">
        <f>IF('Data Entry'!A1786="","",IF('Data Entry'!D1786&lt;&gt;"",'Data Entry'!D1786,'Data Entry'!E1786))</f>
        <v/>
      </c>
      <c r="K1786" s="10">
        <f>IF('Data Entry'!A1786="","",IFERROR(SUMIFS($H$5:$H$2001,$J$5:$J$2001,$J1786,$B$5:$B$2001,$B1786,$A$5:$A$2001,(MAXIFS($A$5:$A$2001,$J$5:$J$2001,$J1786,$B$5:$B$2001,$B1786,$A$5:$A$2001,"&lt;"&amp;$A1786))),""))</f>
        <v/>
      </c>
      <c r="L1786" s="14">
        <f>IF(OR('Data Entry'!A1786="",$K1786=""),"",$H1786-$K1786)</f>
        <v/>
      </c>
      <c r="M1786" s="15">
        <f>IF(OR('Data Entry'!A1786="",$K1786="",$K1786=0),"",$L1786/$K1786)</f>
        <v/>
      </c>
      <c r="N1786" s="12">
        <f>IF('Data Entry'!A1786="","",IF($L1786="","New item",IF($L1786&gt;0,"UP",IF($L1786&lt;0,"down","same"))))</f>
        <v/>
      </c>
    </row>
    <row r="1787">
      <c r="A1787" s="11">
        <f>IF('Data Entry'!A1787="","",'Data Entry'!A1787)</f>
        <v/>
      </c>
      <c r="B1787" s="12">
        <f>IF('Data Entry'!A1787="","",'Data Entry'!B1787)</f>
        <v/>
      </c>
      <c r="C1787" s="12">
        <f>IF('Data Entry'!A1787="","",'Data Entry'!C1787)</f>
        <v/>
      </c>
      <c r="D1787" s="12">
        <f>IF('Data Entry'!A1787="","",'Data Entry'!D1787)</f>
        <v/>
      </c>
      <c r="E1787" s="12">
        <f>IF('Data Entry'!A1787="","",'Data Entry'!E1787)</f>
        <v/>
      </c>
      <c r="F1787" s="12">
        <f>IF('Data Entry'!A1787="","",'Data Entry'!F1787)</f>
        <v/>
      </c>
      <c r="G1787" s="13">
        <f>IF('Data Entry'!A1787="","",'Data Entry'!G1787)</f>
        <v/>
      </c>
      <c r="H1787" s="10">
        <f>IF('Data Entry'!A1787="","",'Data Entry'!H1787)</f>
        <v/>
      </c>
      <c r="I1787" s="10">
        <f>IF('Data Entry'!A1787="","",'Data Entry'!I1787)</f>
        <v/>
      </c>
      <c r="J1787" s="12">
        <f>IF('Data Entry'!A1787="","",IF('Data Entry'!D1787&lt;&gt;"",'Data Entry'!D1787,'Data Entry'!E1787))</f>
        <v/>
      </c>
      <c r="K1787" s="10">
        <f>IF('Data Entry'!A1787="","",IFERROR(SUMIFS($H$5:$H$2001,$J$5:$J$2001,$J1787,$B$5:$B$2001,$B1787,$A$5:$A$2001,(MAXIFS($A$5:$A$2001,$J$5:$J$2001,$J1787,$B$5:$B$2001,$B1787,$A$5:$A$2001,"&lt;"&amp;$A1787))),""))</f>
        <v/>
      </c>
      <c r="L1787" s="14">
        <f>IF(OR('Data Entry'!A1787="",$K1787=""),"",$H1787-$K1787)</f>
        <v/>
      </c>
      <c r="M1787" s="15">
        <f>IF(OR('Data Entry'!A1787="",$K1787="",$K1787=0),"",$L1787/$K1787)</f>
        <v/>
      </c>
      <c r="N1787" s="12">
        <f>IF('Data Entry'!A1787="","",IF($L1787="","New item",IF($L1787&gt;0,"UP",IF($L1787&lt;0,"down","same"))))</f>
        <v/>
      </c>
    </row>
    <row r="1788">
      <c r="A1788" s="11">
        <f>IF('Data Entry'!A1788="","",'Data Entry'!A1788)</f>
        <v/>
      </c>
      <c r="B1788" s="12">
        <f>IF('Data Entry'!A1788="","",'Data Entry'!B1788)</f>
        <v/>
      </c>
      <c r="C1788" s="12">
        <f>IF('Data Entry'!A1788="","",'Data Entry'!C1788)</f>
        <v/>
      </c>
      <c r="D1788" s="12">
        <f>IF('Data Entry'!A1788="","",'Data Entry'!D1788)</f>
        <v/>
      </c>
      <c r="E1788" s="12">
        <f>IF('Data Entry'!A1788="","",'Data Entry'!E1788)</f>
        <v/>
      </c>
      <c r="F1788" s="12">
        <f>IF('Data Entry'!A1788="","",'Data Entry'!F1788)</f>
        <v/>
      </c>
      <c r="G1788" s="13">
        <f>IF('Data Entry'!A1788="","",'Data Entry'!G1788)</f>
        <v/>
      </c>
      <c r="H1788" s="10">
        <f>IF('Data Entry'!A1788="","",'Data Entry'!H1788)</f>
        <v/>
      </c>
      <c r="I1788" s="10">
        <f>IF('Data Entry'!A1788="","",'Data Entry'!I1788)</f>
        <v/>
      </c>
      <c r="J1788" s="12">
        <f>IF('Data Entry'!A1788="","",IF('Data Entry'!D1788&lt;&gt;"",'Data Entry'!D1788,'Data Entry'!E1788))</f>
        <v/>
      </c>
      <c r="K1788" s="10">
        <f>IF('Data Entry'!A1788="","",IFERROR(SUMIFS($H$5:$H$2001,$J$5:$J$2001,$J1788,$B$5:$B$2001,$B1788,$A$5:$A$2001,(MAXIFS($A$5:$A$2001,$J$5:$J$2001,$J1788,$B$5:$B$2001,$B1788,$A$5:$A$2001,"&lt;"&amp;$A1788))),""))</f>
        <v/>
      </c>
      <c r="L1788" s="14">
        <f>IF(OR('Data Entry'!A1788="",$K1788=""),"",$H1788-$K1788)</f>
        <v/>
      </c>
      <c r="M1788" s="15">
        <f>IF(OR('Data Entry'!A1788="",$K1788="",$K1788=0),"",$L1788/$K1788)</f>
        <v/>
      </c>
      <c r="N1788" s="12">
        <f>IF('Data Entry'!A1788="","",IF($L1788="","New item",IF($L1788&gt;0,"UP",IF($L1788&lt;0,"down","same"))))</f>
        <v/>
      </c>
    </row>
    <row r="1789">
      <c r="A1789" s="11">
        <f>IF('Data Entry'!A1789="","",'Data Entry'!A1789)</f>
        <v/>
      </c>
      <c r="B1789" s="12">
        <f>IF('Data Entry'!A1789="","",'Data Entry'!B1789)</f>
        <v/>
      </c>
      <c r="C1789" s="12">
        <f>IF('Data Entry'!A1789="","",'Data Entry'!C1789)</f>
        <v/>
      </c>
      <c r="D1789" s="12">
        <f>IF('Data Entry'!A1789="","",'Data Entry'!D1789)</f>
        <v/>
      </c>
      <c r="E1789" s="12">
        <f>IF('Data Entry'!A1789="","",'Data Entry'!E1789)</f>
        <v/>
      </c>
      <c r="F1789" s="12">
        <f>IF('Data Entry'!A1789="","",'Data Entry'!F1789)</f>
        <v/>
      </c>
      <c r="G1789" s="13">
        <f>IF('Data Entry'!A1789="","",'Data Entry'!G1789)</f>
        <v/>
      </c>
      <c r="H1789" s="10">
        <f>IF('Data Entry'!A1789="","",'Data Entry'!H1789)</f>
        <v/>
      </c>
      <c r="I1789" s="10">
        <f>IF('Data Entry'!A1789="","",'Data Entry'!I1789)</f>
        <v/>
      </c>
      <c r="J1789" s="12">
        <f>IF('Data Entry'!A1789="","",IF('Data Entry'!D1789&lt;&gt;"",'Data Entry'!D1789,'Data Entry'!E1789))</f>
        <v/>
      </c>
      <c r="K1789" s="10">
        <f>IF('Data Entry'!A1789="","",IFERROR(SUMIFS($H$5:$H$2001,$J$5:$J$2001,$J1789,$B$5:$B$2001,$B1789,$A$5:$A$2001,(MAXIFS($A$5:$A$2001,$J$5:$J$2001,$J1789,$B$5:$B$2001,$B1789,$A$5:$A$2001,"&lt;"&amp;$A1789))),""))</f>
        <v/>
      </c>
      <c r="L1789" s="14">
        <f>IF(OR('Data Entry'!A1789="",$K1789=""),"",$H1789-$K1789)</f>
        <v/>
      </c>
      <c r="M1789" s="15">
        <f>IF(OR('Data Entry'!A1789="",$K1789="",$K1789=0),"",$L1789/$K1789)</f>
        <v/>
      </c>
      <c r="N1789" s="12">
        <f>IF('Data Entry'!A1789="","",IF($L1789="","New item",IF($L1789&gt;0,"UP",IF($L1789&lt;0,"down","same"))))</f>
        <v/>
      </c>
    </row>
    <row r="1790">
      <c r="A1790" s="11">
        <f>IF('Data Entry'!A1790="","",'Data Entry'!A1790)</f>
        <v/>
      </c>
      <c r="B1790" s="12">
        <f>IF('Data Entry'!A1790="","",'Data Entry'!B1790)</f>
        <v/>
      </c>
      <c r="C1790" s="12">
        <f>IF('Data Entry'!A1790="","",'Data Entry'!C1790)</f>
        <v/>
      </c>
      <c r="D1790" s="12">
        <f>IF('Data Entry'!A1790="","",'Data Entry'!D1790)</f>
        <v/>
      </c>
      <c r="E1790" s="12">
        <f>IF('Data Entry'!A1790="","",'Data Entry'!E1790)</f>
        <v/>
      </c>
      <c r="F1790" s="12">
        <f>IF('Data Entry'!A1790="","",'Data Entry'!F1790)</f>
        <v/>
      </c>
      <c r="G1790" s="13">
        <f>IF('Data Entry'!A1790="","",'Data Entry'!G1790)</f>
        <v/>
      </c>
      <c r="H1790" s="10">
        <f>IF('Data Entry'!A1790="","",'Data Entry'!H1790)</f>
        <v/>
      </c>
      <c r="I1790" s="10">
        <f>IF('Data Entry'!A1790="","",'Data Entry'!I1790)</f>
        <v/>
      </c>
      <c r="J1790" s="12">
        <f>IF('Data Entry'!A1790="","",IF('Data Entry'!D1790&lt;&gt;"",'Data Entry'!D1790,'Data Entry'!E1790))</f>
        <v/>
      </c>
      <c r="K1790" s="10">
        <f>IF('Data Entry'!A1790="","",IFERROR(SUMIFS($H$5:$H$2001,$J$5:$J$2001,$J1790,$B$5:$B$2001,$B1790,$A$5:$A$2001,(MAXIFS($A$5:$A$2001,$J$5:$J$2001,$J1790,$B$5:$B$2001,$B1790,$A$5:$A$2001,"&lt;"&amp;$A1790))),""))</f>
        <v/>
      </c>
      <c r="L1790" s="14">
        <f>IF(OR('Data Entry'!A1790="",$K1790=""),"",$H1790-$K1790)</f>
        <v/>
      </c>
      <c r="M1790" s="15">
        <f>IF(OR('Data Entry'!A1790="",$K1790="",$K1790=0),"",$L1790/$K1790)</f>
        <v/>
      </c>
      <c r="N1790" s="12">
        <f>IF('Data Entry'!A1790="","",IF($L1790="","New item",IF($L1790&gt;0,"UP",IF($L1790&lt;0,"down","same"))))</f>
        <v/>
      </c>
    </row>
    <row r="1791">
      <c r="A1791" s="11">
        <f>IF('Data Entry'!A1791="","",'Data Entry'!A1791)</f>
        <v/>
      </c>
      <c r="B1791" s="12">
        <f>IF('Data Entry'!A1791="","",'Data Entry'!B1791)</f>
        <v/>
      </c>
      <c r="C1791" s="12">
        <f>IF('Data Entry'!A1791="","",'Data Entry'!C1791)</f>
        <v/>
      </c>
      <c r="D1791" s="12">
        <f>IF('Data Entry'!A1791="","",'Data Entry'!D1791)</f>
        <v/>
      </c>
      <c r="E1791" s="12">
        <f>IF('Data Entry'!A1791="","",'Data Entry'!E1791)</f>
        <v/>
      </c>
      <c r="F1791" s="12">
        <f>IF('Data Entry'!A1791="","",'Data Entry'!F1791)</f>
        <v/>
      </c>
      <c r="G1791" s="13">
        <f>IF('Data Entry'!A1791="","",'Data Entry'!G1791)</f>
        <v/>
      </c>
      <c r="H1791" s="10">
        <f>IF('Data Entry'!A1791="","",'Data Entry'!H1791)</f>
        <v/>
      </c>
      <c r="I1791" s="10">
        <f>IF('Data Entry'!A1791="","",'Data Entry'!I1791)</f>
        <v/>
      </c>
      <c r="J1791" s="12">
        <f>IF('Data Entry'!A1791="","",IF('Data Entry'!D1791&lt;&gt;"",'Data Entry'!D1791,'Data Entry'!E1791))</f>
        <v/>
      </c>
      <c r="K1791" s="10">
        <f>IF('Data Entry'!A1791="","",IFERROR(SUMIFS($H$5:$H$2001,$J$5:$J$2001,$J1791,$B$5:$B$2001,$B1791,$A$5:$A$2001,(MAXIFS($A$5:$A$2001,$J$5:$J$2001,$J1791,$B$5:$B$2001,$B1791,$A$5:$A$2001,"&lt;"&amp;$A1791))),""))</f>
        <v/>
      </c>
      <c r="L1791" s="14">
        <f>IF(OR('Data Entry'!A1791="",$K1791=""),"",$H1791-$K1791)</f>
        <v/>
      </c>
      <c r="M1791" s="15">
        <f>IF(OR('Data Entry'!A1791="",$K1791="",$K1791=0),"",$L1791/$K1791)</f>
        <v/>
      </c>
      <c r="N1791" s="12">
        <f>IF('Data Entry'!A1791="","",IF($L1791="","New item",IF($L1791&gt;0,"UP",IF($L1791&lt;0,"down","same"))))</f>
        <v/>
      </c>
    </row>
    <row r="1792">
      <c r="A1792" s="11">
        <f>IF('Data Entry'!A1792="","",'Data Entry'!A1792)</f>
        <v/>
      </c>
      <c r="B1792" s="12">
        <f>IF('Data Entry'!A1792="","",'Data Entry'!B1792)</f>
        <v/>
      </c>
      <c r="C1792" s="12">
        <f>IF('Data Entry'!A1792="","",'Data Entry'!C1792)</f>
        <v/>
      </c>
      <c r="D1792" s="12">
        <f>IF('Data Entry'!A1792="","",'Data Entry'!D1792)</f>
        <v/>
      </c>
      <c r="E1792" s="12">
        <f>IF('Data Entry'!A1792="","",'Data Entry'!E1792)</f>
        <v/>
      </c>
      <c r="F1792" s="12">
        <f>IF('Data Entry'!A1792="","",'Data Entry'!F1792)</f>
        <v/>
      </c>
      <c r="G1792" s="13">
        <f>IF('Data Entry'!A1792="","",'Data Entry'!G1792)</f>
        <v/>
      </c>
      <c r="H1792" s="10">
        <f>IF('Data Entry'!A1792="","",'Data Entry'!H1792)</f>
        <v/>
      </c>
      <c r="I1792" s="10">
        <f>IF('Data Entry'!A1792="","",'Data Entry'!I1792)</f>
        <v/>
      </c>
      <c r="J1792" s="12">
        <f>IF('Data Entry'!A1792="","",IF('Data Entry'!D1792&lt;&gt;"",'Data Entry'!D1792,'Data Entry'!E1792))</f>
        <v/>
      </c>
      <c r="K1792" s="10">
        <f>IF('Data Entry'!A1792="","",IFERROR(SUMIFS($H$5:$H$2001,$J$5:$J$2001,$J1792,$B$5:$B$2001,$B1792,$A$5:$A$2001,(MAXIFS($A$5:$A$2001,$J$5:$J$2001,$J1792,$B$5:$B$2001,$B1792,$A$5:$A$2001,"&lt;"&amp;$A1792))),""))</f>
        <v/>
      </c>
      <c r="L1792" s="14">
        <f>IF(OR('Data Entry'!A1792="",$K1792=""),"",$H1792-$K1792)</f>
        <v/>
      </c>
      <c r="M1792" s="15">
        <f>IF(OR('Data Entry'!A1792="",$K1792="",$K1792=0),"",$L1792/$K1792)</f>
        <v/>
      </c>
      <c r="N1792" s="12">
        <f>IF('Data Entry'!A1792="","",IF($L1792="","New item",IF($L1792&gt;0,"UP",IF($L1792&lt;0,"down","same"))))</f>
        <v/>
      </c>
    </row>
    <row r="1793">
      <c r="A1793" s="11">
        <f>IF('Data Entry'!A1793="","",'Data Entry'!A1793)</f>
        <v/>
      </c>
      <c r="B1793" s="12">
        <f>IF('Data Entry'!A1793="","",'Data Entry'!B1793)</f>
        <v/>
      </c>
      <c r="C1793" s="12">
        <f>IF('Data Entry'!A1793="","",'Data Entry'!C1793)</f>
        <v/>
      </c>
      <c r="D1793" s="12">
        <f>IF('Data Entry'!A1793="","",'Data Entry'!D1793)</f>
        <v/>
      </c>
      <c r="E1793" s="12">
        <f>IF('Data Entry'!A1793="","",'Data Entry'!E1793)</f>
        <v/>
      </c>
      <c r="F1793" s="12">
        <f>IF('Data Entry'!A1793="","",'Data Entry'!F1793)</f>
        <v/>
      </c>
      <c r="G1793" s="13">
        <f>IF('Data Entry'!A1793="","",'Data Entry'!G1793)</f>
        <v/>
      </c>
      <c r="H1793" s="10">
        <f>IF('Data Entry'!A1793="","",'Data Entry'!H1793)</f>
        <v/>
      </c>
      <c r="I1793" s="10">
        <f>IF('Data Entry'!A1793="","",'Data Entry'!I1793)</f>
        <v/>
      </c>
      <c r="J1793" s="12">
        <f>IF('Data Entry'!A1793="","",IF('Data Entry'!D1793&lt;&gt;"",'Data Entry'!D1793,'Data Entry'!E1793))</f>
        <v/>
      </c>
      <c r="K1793" s="10">
        <f>IF('Data Entry'!A1793="","",IFERROR(SUMIFS($H$5:$H$2001,$J$5:$J$2001,$J1793,$B$5:$B$2001,$B1793,$A$5:$A$2001,(MAXIFS($A$5:$A$2001,$J$5:$J$2001,$J1793,$B$5:$B$2001,$B1793,$A$5:$A$2001,"&lt;"&amp;$A1793))),""))</f>
        <v/>
      </c>
      <c r="L1793" s="14">
        <f>IF(OR('Data Entry'!A1793="",$K1793=""),"",$H1793-$K1793)</f>
        <v/>
      </c>
      <c r="M1793" s="15">
        <f>IF(OR('Data Entry'!A1793="",$K1793="",$K1793=0),"",$L1793/$K1793)</f>
        <v/>
      </c>
      <c r="N1793" s="12">
        <f>IF('Data Entry'!A1793="","",IF($L1793="","New item",IF($L1793&gt;0,"UP",IF($L1793&lt;0,"down","same"))))</f>
        <v/>
      </c>
    </row>
    <row r="1794">
      <c r="A1794" s="11">
        <f>IF('Data Entry'!A1794="","",'Data Entry'!A1794)</f>
        <v/>
      </c>
      <c r="B1794" s="12">
        <f>IF('Data Entry'!A1794="","",'Data Entry'!B1794)</f>
        <v/>
      </c>
      <c r="C1794" s="12">
        <f>IF('Data Entry'!A1794="","",'Data Entry'!C1794)</f>
        <v/>
      </c>
      <c r="D1794" s="12">
        <f>IF('Data Entry'!A1794="","",'Data Entry'!D1794)</f>
        <v/>
      </c>
      <c r="E1794" s="12">
        <f>IF('Data Entry'!A1794="","",'Data Entry'!E1794)</f>
        <v/>
      </c>
      <c r="F1794" s="12">
        <f>IF('Data Entry'!A1794="","",'Data Entry'!F1794)</f>
        <v/>
      </c>
      <c r="G1794" s="13">
        <f>IF('Data Entry'!A1794="","",'Data Entry'!G1794)</f>
        <v/>
      </c>
      <c r="H1794" s="10">
        <f>IF('Data Entry'!A1794="","",'Data Entry'!H1794)</f>
        <v/>
      </c>
      <c r="I1794" s="10">
        <f>IF('Data Entry'!A1794="","",'Data Entry'!I1794)</f>
        <v/>
      </c>
      <c r="J1794" s="12">
        <f>IF('Data Entry'!A1794="","",IF('Data Entry'!D1794&lt;&gt;"",'Data Entry'!D1794,'Data Entry'!E1794))</f>
        <v/>
      </c>
      <c r="K1794" s="10">
        <f>IF('Data Entry'!A1794="","",IFERROR(SUMIFS($H$5:$H$2001,$J$5:$J$2001,$J1794,$B$5:$B$2001,$B1794,$A$5:$A$2001,(MAXIFS($A$5:$A$2001,$J$5:$J$2001,$J1794,$B$5:$B$2001,$B1794,$A$5:$A$2001,"&lt;"&amp;$A1794))),""))</f>
        <v/>
      </c>
      <c r="L1794" s="14">
        <f>IF(OR('Data Entry'!A1794="",$K1794=""),"",$H1794-$K1794)</f>
        <v/>
      </c>
      <c r="M1794" s="15">
        <f>IF(OR('Data Entry'!A1794="",$K1794="",$K1794=0),"",$L1794/$K1794)</f>
        <v/>
      </c>
      <c r="N1794" s="12">
        <f>IF('Data Entry'!A1794="","",IF($L1794="","New item",IF($L1794&gt;0,"UP",IF($L1794&lt;0,"down","same"))))</f>
        <v/>
      </c>
    </row>
    <row r="1795">
      <c r="A1795" s="11">
        <f>IF('Data Entry'!A1795="","",'Data Entry'!A1795)</f>
        <v/>
      </c>
      <c r="B1795" s="12">
        <f>IF('Data Entry'!A1795="","",'Data Entry'!B1795)</f>
        <v/>
      </c>
      <c r="C1795" s="12">
        <f>IF('Data Entry'!A1795="","",'Data Entry'!C1795)</f>
        <v/>
      </c>
      <c r="D1795" s="12">
        <f>IF('Data Entry'!A1795="","",'Data Entry'!D1795)</f>
        <v/>
      </c>
      <c r="E1795" s="12">
        <f>IF('Data Entry'!A1795="","",'Data Entry'!E1795)</f>
        <v/>
      </c>
      <c r="F1795" s="12">
        <f>IF('Data Entry'!A1795="","",'Data Entry'!F1795)</f>
        <v/>
      </c>
      <c r="G1795" s="13">
        <f>IF('Data Entry'!A1795="","",'Data Entry'!G1795)</f>
        <v/>
      </c>
      <c r="H1795" s="10">
        <f>IF('Data Entry'!A1795="","",'Data Entry'!H1795)</f>
        <v/>
      </c>
      <c r="I1795" s="10">
        <f>IF('Data Entry'!A1795="","",'Data Entry'!I1795)</f>
        <v/>
      </c>
      <c r="J1795" s="12">
        <f>IF('Data Entry'!A1795="","",IF('Data Entry'!D1795&lt;&gt;"",'Data Entry'!D1795,'Data Entry'!E1795))</f>
        <v/>
      </c>
      <c r="K1795" s="10">
        <f>IF('Data Entry'!A1795="","",IFERROR(SUMIFS($H$5:$H$2001,$J$5:$J$2001,$J1795,$B$5:$B$2001,$B1795,$A$5:$A$2001,(MAXIFS($A$5:$A$2001,$J$5:$J$2001,$J1795,$B$5:$B$2001,$B1795,$A$5:$A$2001,"&lt;"&amp;$A1795))),""))</f>
        <v/>
      </c>
      <c r="L1795" s="14">
        <f>IF(OR('Data Entry'!A1795="",$K1795=""),"",$H1795-$K1795)</f>
        <v/>
      </c>
      <c r="M1795" s="15">
        <f>IF(OR('Data Entry'!A1795="",$K1795="",$K1795=0),"",$L1795/$K1795)</f>
        <v/>
      </c>
      <c r="N1795" s="12">
        <f>IF('Data Entry'!A1795="","",IF($L1795="","New item",IF($L1795&gt;0,"UP",IF($L1795&lt;0,"down","same"))))</f>
        <v/>
      </c>
    </row>
    <row r="1796">
      <c r="A1796" s="11">
        <f>IF('Data Entry'!A1796="","",'Data Entry'!A1796)</f>
        <v/>
      </c>
      <c r="B1796" s="12">
        <f>IF('Data Entry'!A1796="","",'Data Entry'!B1796)</f>
        <v/>
      </c>
      <c r="C1796" s="12">
        <f>IF('Data Entry'!A1796="","",'Data Entry'!C1796)</f>
        <v/>
      </c>
      <c r="D1796" s="12">
        <f>IF('Data Entry'!A1796="","",'Data Entry'!D1796)</f>
        <v/>
      </c>
      <c r="E1796" s="12">
        <f>IF('Data Entry'!A1796="","",'Data Entry'!E1796)</f>
        <v/>
      </c>
      <c r="F1796" s="12">
        <f>IF('Data Entry'!A1796="","",'Data Entry'!F1796)</f>
        <v/>
      </c>
      <c r="G1796" s="13">
        <f>IF('Data Entry'!A1796="","",'Data Entry'!G1796)</f>
        <v/>
      </c>
      <c r="H1796" s="10">
        <f>IF('Data Entry'!A1796="","",'Data Entry'!H1796)</f>
        <v/>
      </c>
      <c r="I1796" s="10">
        <f>IF('Data Entry'!A1796="","",'Data Entry'!I1796)</f>
        <v/>
      </c>
      <c r="J1796" s="12">
        <f>IF('Data Entry'!A1796="","",IF('Data Entry'!D1796&lt;&gt;"",'Data Entry'!D1796,'Data Entry'!E1796))</f>
        <v/>
      </c>
      <c r="K1796" s="10">
        <f>IF('Data Entry'!A1796="","",IFERROR(SUMIFS($H$5:$H$2001,$J$5:$J$2001,$J1796,$B$5:$B$2001,$B1796,$A$5:$A$2001,(MAXIFS($A$5:$A$2001,$J$5:$J$2001,$J1796,$B$5:$B$2001,$B1796,$A$5:$A$2001,"&lt;"&amp;$A1796))),""))</f>
        <v/>
      </c>
      <c r="L1796" s="14">
        <f>IF(OR('Data Entry'!A1796="",$K1796=""),"",$H1796-$K1796)</f>
        <v/>
      </c>
      <c r="M1796" s="15">
        <f>IF(OR('Data Entry'!A1796="",$K1796="",$K1796=0),"",$L1796/$K1796)</f>
        <v/>
      </c>
      <c r="N1796" s="12">
        <f>IF('Data Entry'!A1796="","",IF($L1796="","New item",IF($L1796&gt;0,"UP",IF($L1796&lt;0,"down","same"))))</f>
        <v/>
      </c>
    </row>
    <row r="1797">
      <c r="A1797" s="11">
        <f>IF('Data Entry'!A1797="","",'Data Entry'!A1797)</f>
        <v/>
      </c>
      <c r="B1797" s="12">
        <f>IF('Data Entry'!A1797="","",'Data Entry'!B1797)</f>
        <v/>
      </c>
      <c r="C1797" s="12">
        <f>IF('Data Entry'!A1797="","",'Data Entry'!C1797)</f>
        <v/>
      </c>
      <c r="D1797" s="12">
        <f>IF('Data Entry'!A1797="","",'Data Entry'!D1797)</f>
        <v/>
      </c>
      <c r="E1797" s="12">
        <f>IF('Data Entry'!A1797="","",'Data Entry'!E1797)</f>
        <v/>
      </c>
      <c r="F1797" s="12">
        <f>IF('Data Entry'!A1797="","",'Data Entry'!F1797)</f>
        <v/>
      </c>
      <c r="G1797" s="13">
        <f>IF('Data Entry'!A1797="","",'Data Entry'!G1797)</f>
        <v/>
      </c>
      <c r="H1797" s="10">
        <f>IF('Data Entry'!A1797="","",'Data Entry'!H1797)</f>
        <v/>
      </c>
      <c r="I1797" s="10">
        <f>IF('Data Entry'!A1797="","",'Data Entry'!I1797)</f>
        <v/>
      </c>
      <c r="J1797" s="12">
        <f>IF('Data Entry'!A1797="","",IF('Data Entry'!D1797&lt;&gt;"",'Data Entry'!D1797,'Data Entry'!E1797))</f>
        <v/>
      </c>
      <c r="K1797" s="10">
        <f>IF('Data Entry'!A1797="","",IFERROR(SUMIFS($H$5:$H$2001,$J$5:$J$2001,$J1797,$B$5:$B$2001,$B1797,$A$5:$A$2001,(MAXIFS($A$5:$A$2001,$J$5:$J$2001,$J1797,$B$5:$B$2001,$B1797,$A$5:$A$2001,"&lt;"&amp;$A1797))),""))</f>
        <v/>
      </c>
      <c r="L1797" s="14">
        <f>IF(OR('Data Entry'!A1797="",$K1797=""),"",$H1797-$K1797)</f>
        <v/>
      </c>
      <c r="M1797" s="15">
        <f>IF(OR('Data Entry'!A1797="",$K1797="",$K1797=0),"",$L1797/$K1797)</f>
        <v/>
      </c>
      <c r="N1797" s="12">
        <f>IF('Data Entry'!A1797="","",IF($L1797="","New item",IF($L1797&gt;0,"UP",IF($L1797&lt;0,"down","same"))))</f>
        <v/>
      </c>
    </row>
    <row r="1798">
      <c r="A1798" s="11">
        <f>IF('Data Entry'!A1798="","",'Data Entry'!A1798)</f>
        <v/>
      </c>
      <c r="B1798" s="12">
        <f>IF('Data Entry'!A1798="","",'Data Entry'!B1798)</f>
        <v/>
      </c>
      <c r="C1798" s="12">
        <f>IF('Data Entry'!A1798="","",'Data Entry'!C1798)</f>
        <v/>
      </c>
      <c r="D1798" s="12">
        <f>IF('Data Entry'!A1798="","",'Data Entry'!D1798)</f>
        <v/>
      </c>
      <c r="E1798" s="12">
        <f>IF('Data Entry'!A1798="","",'Data Entry'!E1798)</f>
        <v/>
      </c>
      <c r="F1798" s="12">
        <f>IF('Data Entry'!A1798="","",'Data Entry'!F1798)</f>
        <v/>
      </c>
      <c r="G1798" s="13">
        <f>IF('Data Entry'!A1798="","",'Data Entry'!G1798)</f>
        <v/>
      </c>
      <c r="H1798" s="10">
        <f>IF('Data Entry'!A1798="","",'Data Entry'!H1798)</f>
        <v/>
      </c>
      <c r="I1798" s="10">
        <f>IF('Data Entry'!A1798="","",'Data Entry'!I1798)</f>
        <v/>
      </c>
      <c r="J1798" s="12">
        <f>IF('Data Entry'!A1798="","",IF('Data Entry'!D1798&lt;&gt;"",'Data Entry'!D1798,'Data Entry'!E1798))</f>
        <v/>
      </c>
      <c r="K1798" s="10">
        <f>IF('Data Entry'!A1798="","",IFERROR(SUMIFS($H$5:$H$2001,$J$5:$J$2001,$J1798,$B$5:$B$2001,$B1798,$A$5:$A$2001,(MAXIFS($A$5:$A$2001,$J$5:$J$2001,$J1798,$B$5:$B$2001,$B1798,$A$5:$A$2001,"&lt;"&amp;$A1798))),""))</f>
        <v/>
      </c>
      <c r="L1798" s="14">
        <f>IF(OR('Data Entry'!A1798="",$K1798=""),"",$H1798-$K1798)</f>
        <v/>
      </c>
      <c r="M1798" s="15">
        <f>IF(OR('Data Entry'!A1798="",$K1798="",$K1798=0),"",$L1798/$K1798)</f>
        <v/>
      </c>
      <c r="N1798" s="12">
        <f>IF('Data Entry'!A1798="","",IF($L1798="","New item",IF($L1798&gt;0,"UP",IF($L1798&lt;0,"down","same"))))</f>
        <v/>
      </c>
    </row>
    <row r="1799">
      <c r="A1799" s="11">
        <f>IF('Data Entry'!A1799="","",'Data Entry'!A1799)</f>
        <v/>
      </c>
      <c r="B1799" s="12">
        <f>IF('Data Entry'!A1799="","",'Data Entry'!B1799)</f>
        <v/>
      </c>
      <c r="C1799" s="12">
        <f>IF('Data Entry'!A1799="","",'Data Entry'!C1799)</f>
        <v/>
      </c>
      <c r="D1799" s="12">
        <f>IF('Data Entry'!A1799="","",'Data Entry'!D1799)</f>
        <v/>
      </c>
      <c r="E1799" s="12">
        <f>IF('Data Entry'!A1799="","",'Data Entry'!E1799)</f>
        <v/>
      </c>
      <c r="F1799" s="12">
        <f>IF('Data Entry'!A1799="","",'Data Entry'!F1799)</f>
        <v/>
      </c>
      <c r="G1799" s="13">
        <f>IF('Data Entry'!A1799="","",'Data Entry'!G1799)</f>
        <v/>
      </c>
      <c r="H1799" s="10">
        <f>IF('Data Entry'!A1799="","",'Data Entry'!H1799)</f>
        <v/>
      </c>
      <c r="I1799" s="10">
        <f>IF('Data Entry'!A1799="","",'Data Entry'!I1799)</f>
        <v/>
      </c>
      <c r="J1799" s="12">
        <f>IF('Data Entry'!A1799="","",IF('Data Entry'!D1799&lt;&gt;"",'Data Entry'!D1799,'Data Entry'!E1799))</f>
        <v/>
      </c>
      <c r="K1799" s="10">
        <f>IF('Data Entry'!A1799="","",IFERROR(SUMIFS($H$5:$H$2001,$J$5:$J$2001,$J1799,$B$5:$B$2001,$B1799,$A$5:$A$2001,(MAXIFS($A$5:$A$2001,$J$5:$J$2001,$J1799,$B$5:$B$2001,$B1799,$A$5:$A$2001,"&lt;"&amp;$A1799))),""))</f>
        <v/>
      </c>
      <c r="L1799" s="14">
        <f>IF(OR('Data Entry'!A1799="",$K1799=""),"",$H1799-$K1799)</f>
        <v/>
      </c>
      <c r="M1799" s="15">
        <f>IF(OR('Data Entry'!A1799="",$K1799="",$K1799=0),"",$L1799/$K1799)</f>
        <v/>
      </c>
      <c r="N1799" s="12">
        <f>IF('Data Entry'!A1799="","",IF($L1799="","New item",IF($L1799&gt;0,"UP",IF($L1799&lt;0,"down","same"))))</f>
        <v/>
      </c>
    </row>
    <row r="1800">
      <c r="A1800" s="11">
        <f>IF('Data Entry'!A1800="","",'Data Entry'!A1800)</f>
        <v/>
      </c>
      <c r="B1800" s="12">
        <f>IF('Data Entry'!A1800="","",'Data Entry'!B1800)</f>
        <v/>
      </c>
      <c r="C1800" s="12">
        <f>IF('Data Entry'!A1800="","",'Data Entry'!C1800)</f>
        <v/>
      </c>
      <c r="D1800" s="12">
        <f>IF('Data Entry'!A1800="","",'Data Entry'!D1800)</f>
        <v/>
      </c>
      <c r="E1800" s="12">
        <f>IF('Data Entry'!A1800="","",'Data Entry'!E1800)</f>
        <v/>
      </c>
      <c r="F1800" s="12">
        <f>IF('Data Entry'!A1800="","",'Data Entry'!F1800)</f>
        <v/>
      </c>
      <c r="G1800" s="13">
        <f>IF('Data Entry'!A1800="","",'Data Entry'!G1800)</f>
        <v/>
      </c>
      <c r="H1800" s="10">
        <f>IF('Data Entry'!A1800="","",'Data Entry'!H1800)</f>
        <v/>
      </c>
      <c r="I1800" s="10">
        <f>IF('Data Entry'!A1800="","",'Data Entry'!I1800)</f>
        <v/>
      </c>
      <c r="J1800" s="12">
        <f>IF('Data Entry'!A1800="","",IF('Data Entry'!D1800&lt;&gt;"",'Data Entry'!D1800,'Data Entry'!E1800))</f>
        <v/>
      </c>
      <c r="K1800" s="10">
        <f>IF('Data Entry'!A1800="","",IFERROR(SUMIFS($H$5:$H$2001,$J$5:$J$2001,$J1800,$B$5:$B$2001,$B1800,$A$5:$A$2001,(MAXIFS($A$5:$A$2001,$J$5:$J$2001,$J1800,$B$5:$B$2001,$B1800,$A$5:$A$2001,"&lt;"&amp;$A1800))),""))</f>
        <v/>
      </c>
      <c r="L1800" s="14">
        <f>IF(OR('Data Entry'!A1800="",$K1800=""),"",$H1800-$K1800)</f>
        <v/>
      </c>
      <c r="M1800" s="15">
        <f>IF(OR('Data Entry'!A1800="",$K1800="",$K1800=0),"",$L1800/$K1800)</f>
        <v/>
      </c>
      <c r="N1800" s="12">
        <f>IF('Data Entry'!A1800="","",IF($L1800="","New item",IF($L1800&gt;0,"UP",IF($L1800&lt;0,"down","same"))))</f>
        <v/>
      </c>
    </row>
    <row r="1801">
      <c r="A1801" s="11">
        <f>IF('Data Entry'!A1801="","",'Data Entry'!A1801)</f>
        <v/>
      </c>
      <c r="B1801" s="12">
        <f>IF('Data Entry'!A1801="","",'Data Entry'!B1801)</f>
        <v/>
      </c>
      <c r="C1801" s="12">
        <f>IF('Data Entry'!A1801="","",'Data Entry'!C1801)</f>
        <v/>
      </c>
      <c r="D1801" s="12">
        <f>IF('Data Entry'!A1801="","",'Data Entry'!D1801)</f>
        <v/>
      </c>
      <c r="E1801" s="12">
        <f>IF('Data Entry'!A1801="","",'Data Entry'!E1801)</f>
        <v/>
      </c>
      <c r="F1801" s="12">
        <f>IF('Data Entry'!A1801="","",'Data Entry'!F1801)</f>
        <v/>
      </c>
      <c r="G1801" s="13">
        <f>IF('Data Entry'!A1801="","",'Data Entry'!G1801)</f>
        <v/>
      </c>
      <c r="H1801" s="10">
        <f>IF('Data Entry'!A1801="","",'Data Entry'!H1801)</f>
        <v/>
      </c>
      <c r="I1801" s="10">
        <f>IF('Data Entry'!A1801="","",'Data Entry'!I1801)</f>
        <v/>
      </c>
      <c r="J1801" s="12">
        <f>IF('Data Entry'!A1801="","",IF('Data Entry'!D1801&lt;&gt;"",'Data Entry'!D1801,'Data Entry'!E1801))</f>
        <v/>
      </c>
      <c r="K1801" s="10">
        <f>IF('Data Entry'!A1801="","",IFERROR(SUMIFS($H$5:$H$2001,$J$5:$J$2001,$J1801,$B$5:$B$2001,$B1801,$A$5:$A$2001,(MAXIFS($A$5:$A$2001,$J$5:$J$2001,$J1801,$B$5:$B$2001,$B1801,$A$5:$A$2001,"&lt;"&amp;$A1801))),""))</f>
        <v/>
      </c>
      <c r="L1801" s="14">
        <f>IF(OR('Data Entry'!A1801="",$K1801=""),"",$H1801-$K1801)</f>
        <v/>
      </c>
      <c r="M1801" s="15">
        <f>IF(OR('Data Entry'!A1801="",$K1801="",$K1801=0),"",$L1801/$K1801)</f>
        <v/>
      </c>
      <c r="N1801" s="12">
        <f>IF('Data Entry'!A1801="","",IF($L1801="","New item",IF($L1801&gt;0,"UP",IF($L1801&lt;0,"down","same"))))</f>
        <v/>
      </c>
    </row>
    <row r="1802">
      <c r="A1802" s="11">
        <f>IF('Data Entry'!A1802="","",'Data Entry'!A1802)</f>
        <v/>
      </c>
      <c r="B1802" s="12">
        <f>IF('Data Entry'!A1802="","",'Data Entry'!B1802)</f>
        <v/>
      </c>
      <c r="C1802" s="12">
        <f>IF('Data Entry'!A1802="","",'Data Entry'!C1802)</f>
        <v/>
      </c>
      <c r="D1802" s="12">
        <f>IF('Data Entry'!A1802="","",'Data Entry'!D1802)</f>
        <v/>
      </c>
      <c r="E1802" s="12">
        <f>IF('Data Entry'!A1802="","",'Data Entry'!E1802)</f>
        <v/>
      </c>
      <c r="F1802" s="12">
        <f>IF('Data Entry'!A1802="","",'Data Entry'!F1802)</f>
        <v/>
      </c>
      <c r="G1802" s="13">
        <f>IF('Data Entry'!A1802="","",'Data Entry'!G1802)</f>
        <v/>
      </c>
      <c r="H1802" s="10">
        <f>IF('Data Entry'!A1802="","",'Data Entry'!H1802)</f>
        <v/>
      </c>
      <c r="I1802" s="10">
        <f>IF('Data Entry'!A1802="","",'Data Entry'!I1802)</f>
        <v/>
      </c>
      <c r="J1802" s="12">
        <f>IF('Data Entry'!A1802="","",IF('Data Entry'!D1802&lt;&gt;"",'Data Entry'!D1802,'Data Entry'!E1802))</f>
        <v/>
      </c>
      <c r="K1802" s="10">
        <f>IF('Data Entry'!A1802="","",IFERROR(SUMIFS($H$5:$H$2001,$J$5:$J$2001,$J1802,$B$5:$B$2001,$B1802,$A$5:$A$2001,(MAXIFS($A$5:$A$2001,$J$5:$J$2001,$J1802,$B$5:$B$2001,$B1802,$A$5:$A$2001,"&lt;"&amp;$A1802))),""))</f>
        <v/>
      </c>
      <c r="L1802" s="14">
        <f>IF(OR('Data Entry'!A1802="",$K1802=""),"",$H1802-$K1802)</f>
        <v/>
      </c>
      <c r="M1802" s="15">
        <f>IF(OR('Data Entry'!A1802="",$K1802="",$K1802=0),"",$L1802/$K1802)</f>
        <v/>
      </c>
      <c r="N1802" s="12">
        <f>IF('Data Entry'!A1802="","",IF($L1802="","New item",IF($L1802&gt;0,"UP",IF($L1802&lt;0,"down","same"))))</f>
        <v/>
      </c>
    </row>
    <row r="1803">
      <c r="A1803" s="11">
        <f>IF('Data Entry'!A1803="","",'Data Entry'!A1803)</f>
        <v/>
      </c>
      <c r="B1803" s="12">
        <f>IF('Data Entry'!A1803="","",'Data Entry'!B1803)</f>
        <v/>
      </c>
      <c r="C1803" s="12">
        <f>IF('Data Entry'!A1803="","",'Data Entry'!C1803)</f>
        <v/>
      </c>
      <c r="D1803" s="12">
        <f>IF('Data Entry'!A1803="","",'Data Entry'!D1803)</f>
        <v/>
      </c>
      <c r="E1803" s="12">
        <f>IF('Data Entry'!A1803="","",'Data Entry'!E1803)</f>
        <v/>
      </c>
      <c r="F1803" s="12">
        <f>IF('Data Entry'!A1803="","",'Data Entry'!F1803)</f>
        <v/>
      </c>
      <c r="G1803" s="13">
        <f>IF('Data Entry'!A1803="","",'Data Entry'!G1803)</f>
        <v/>
      </c>
      <c r="H1803" s="10">
        <f>IF('Data Entry'!A1803="","",'Data Entry'!H1803)</f>
        <v/>
      </c>
      <c r="I1803" s="10">
        <f>IF('Data Entry'!A1803="","",'Data Entry'!I1803)</f>
        <v/>
      </c>
      <c r="J1803" s="12">
        <f>IF('Data Entry'!A1803="","",IF('Data Entry'!D1803&lt;&gt;"",'Data Entry'!D1803,'Data Entry'!E1803))</f>
        <v/>
      </c>
      <c r="K1803" s="10">
        <f>IF('Data Entry'!A1803="","",IFERROR(SUMIFS($H$5:$H$2001,$J$5:$J$2001,$J1803,$B$5:$B$2001,$B1803,$A$5:$A$2001,(MAXIFS($A$5:$A$2001,$J$5:$J$2001,$J1803,$B$5:$B$2001,$B1803,$A$5:$A$2001,"&lt;"&amp;$A1803))),""))</f>
        <v/>
      </c>
      <c r="L1803" s="14">
        <f>IF(OR('Data Entry'!A1803="",$K1803=""),"",$H1803-$K1803)</f>
        <v/>
      </c>
      <c r="M1803" s="15">
        <f>IF(OR('Data Entry'!A1803="",$K1803="",$K1803=0),"",$L1803/$K1803)</f>
        <v/>
      </c>
      <c r="N1803" s="12">
        <f>IF('Data Entry'!A1803="","",IF($L1803="","New item",IF($L1803&gt;0,"UP",IF($L1803&lt;0,"down","same"))))</f>
        <v/>
      </c>
    </row>
    <row r="1804">
      <c r="A1804" s="11">
        <f>IF('Data Entry'!A1804="","",'Data Entry'!A1804)</f>
        <v/>
      </c>
      <c r="B1804" s="12">
        <f>IF('Data Entry'!A1804="","",'Data Entry'!B1804)</f>
        <v/>
      </c>
      <c r="C1804" s="12">
        <f>IF('Data Entry'!A1804="","",'Data Entry'!C1804)</f>
        <v/>
      </c>
      <c r="D1804" s="12">
        <f>IF('Data Entry'!A1804="","",'Data Entry'!D1804)</f>
        <v/>
      </c>
      <c r="E1804" s="12">
        <f>IF('Data Entry'!A1804="","",'Data Entry'!E1804)</f>
        <v/>
      </c>
      <c r="F1804" s="12">
        <f>IF('Data Entry'!A1804="","",'Data Entry'!F1804)</f>
        <v/>
      </c>
      <c r="G1804" s="13">
        <f>IF('Data Entry'!A1804="","",'Data Entry'!G1804)</f>
        <v/>
      </c>
      <c r="H1804" s="10">
        <f>IF('Data Entry'!A1804="","",'Data Entry'!H1804)</f>
        <v/>
      </c>
      <c r="I1804" s="10">
        <f>IF('Data Entry'!A1804="","",'Data Entry'!I1804)</f>
        <v/>
      </c>
      <c r="J1804" s="12">
        <f>IF('Data Entry'!A1804="","",IF('Data Entry'!D1804&lt;&gt;"",'Data Entry'!D1804,'Data Entry'!E1804))</f>
        <v/>
      </c>
      <c r="K1804" s="10">
        <f>IF('Data Entry'!A1804="","",IFERROR(SUMIFS($H$5:$H$2001,$J$5:$J$2001,$J1804,$B$5:$B$2001,$B1804,$A$5:$A$2001,(MAXIFS($A$5:$A$2001,$J$5:$J$2001,$J1804,$B$5:$B$2001,$B1804,$A$5:$A$2001,"&lt;"&amp;$A1804))),""))</f>
        <v/>
      </c>
      <c r="L1804" s="14">
        <f>IF(OR('Data Entry'!A1804="",$K1804=""),"",$H1804-$K1804)</f>
        <v/>
      </c>
      <c r="M1804" s="15">
        <f>IF(OR('Data Entry'!A1804="",$K1804="",$K1804=0),"",$L1804/$K1804)</f>
        <v/>
      </c>
      <c r="N1804" s="12">
        <f>IF('Data Entry'!A1804="","",IF($L1804="","New item",IF($L1804&gt;0,"UP",IF($L1804&lt;0,"down","same"))))</f>
        <v/>
      </c>
    </row>
    <row r="1805">
      <c r="A1805" s="11">
        <f>IF('Data Entry'!A1805="","",'Data Entry'!A1805)</f>
        <v/>
      </c>
      <c r="B1805" s="12">
        <f>IF('Data Entry'!A1805="","",'Data Entry'!B1805)</f>
        <v/>
      </c>
      <c r="C1805" s="12">
        <f>IF('Data Entry'!A1805="","",'Data Entry'!C1805)</f>
        <v/>
      </c>
      <c r="D1805" s="12">
        <f>IF('Data Entry'!A1805="","",'Data Entry'!D1805)</f>
        <v/>
      </c>
      <c r="E1805" s="12">
        <f>IF('Data Entry'!A1805="","",'Data Entry'!E1805)</f>
        <v/>
      </c>
      <c r="F1805" s="12">
        <f>IF('Data Entry'!A1805="","",'Data Entry'!F1805)</f>
        <v/>
      </c>
      <c r="G1805" s="13">
        <f>IF('Data Entry'!A1805="","",'Data Entry'!G1805)</f>
        <v/>
      </c>
      <c r="H1805" s="10">
        <f>IF('Data Entry'!A1805="","",'Data Entry'!H1805)</f>
        <v/>
      </c>
      <c r="I1805" s="10">
        <f>IF('Data Entry'!A1805="","",'Data Entry'!I1805)</f>
        <v/>
      </c>
      <c r="J1805" s="12">
        <f>IF('Data Entry'!A1805="","",IF('Data Entry'!D1805&lt;&gt;"",'Data Entry'!D1805,'Data Entry'!E1805))</f>
        <v/>
      </c>
      <c r="K1805" s="10">
        <f>IF('Data Entry'!A1805="","",IFERROR(SUMIFS($H$5:$H$2001,$J$5:$J$2001,$J1805,$B$5:$B$2001,$B1805,$A$5:$A$2001,(MAXIFS($A$5:$A$2001,$J$5:$J$2001,$J1805,$B$5:$B$2001,$B1805,$A$5:$A$2001,"&lt;"&amp;$A1805))),""))</f>
        <v/>
      </c>
      <c r="L1805" s="14">
        <f>IF(OR('Data Entry'!A1805="",$K1805=""),"",$H1805-$K1805)</f>
        <v/>
      </c>
      <c r="M1805" s="15">
        <f>IF(OR('Data Entry'!A1805="",$K1805="",$K1805=0),"",$L1805/$K1805)</f>
        <v/>
      </c>
      <c r="N1805" s="12">
        <f>IF('Data Entry'!A1805="","",IF($L1805="","New item",IF($L1805&gt;0,"UP",IF($L1805&lt;0,"down","same"))))</f>
        <v/>
      </c>
    </row>
    <row r="1806">
      <c r="A1806" s="11">
        <f>IF('Data Entry'!A1806="","",'Data Entry'!A1806)</f>
        <v/>
      </c>
      <c r="B1806" s="12">
        <f>IF('Data Entry'!A1806="","",'Data Entry'!B1806)</f>
        <v/>
      </c>
      <c r="C1806" s="12">
        <f>IF('Data Entry'!A1806="","",'Data Entry'!C1806)</f>
        <v/>
      </c>
      <c r="D1806" s="12">
        <f>IF('Data Entry'!A1806="","",'Data Entry'!D1806)</f>
        <v/>
      </c>
      <c r="E1806" s="12">
        <f>IF('Data Entry'!A1806="","",'Data Entry'!E1806)</f>
        <v/>
      </c>
      <c r="F1806" s="12">
        <f>IF('Data Entry'!A1806="","",'Data Entry'!F1806)</f>
        <v/>
      </c>
      <c r="G1806" s="13">
        <f>IF('Data Entry'!A1806="","",'Data Entry'!G1806)</f>
        <v/>
      </c>
      <c r="H1806" s="10">
        <f>IF('Data Entry'!A1806="","",'Data Entry'!H1806)</f>
        <v/>
      </c>
      <c r="I1806" s="10">
        <f>IF('Data Entry'!A1806="","",'Data Entry'!I1806)</f>
        <v/>
      </c>
      <c r="J1806" s="12">
        <f>IF('Data Entry'!A1806="","",IF('Data Entry'!D1806&lt;&gt;"",'Data Entry'!D1806,'Data Entry'!E1806))</f>
        <v/>
      </c>
      <c r="K1806" s="10">
        <f>IF('Data Entry'!A1806="","",IFERROR(SUMIFS($H$5:$H$2001,$J$5:$J$2001,$J1806,$B$5:$B$2001,$B1806,$A$5:$A$2001,(MAXIFS($A$5:$A$2001,$J$5:$J$2001,$J1806,$B$5:$B$2001,$B1806,$A$5:$A$2001,"&lt;"&amp;$A1806))),""))</f>
        <v/>
      </c>
      <c r="L1806" s="14">
        <f>IF(OR('Data Entry'!A1806="",$K1806=""),"",$H1806-$K1806)</f>
        <v/>
      </c>
      <c r="M1806" s="15">
        <f>IF(OR('Data Entry'!A1806="",$K1806="",$K1806=0),"",$L1806/$K1806)</f>
        <v/>
      </c>
      <c r="N1806" s="12">
        <f>IF('Data Entry'!A1806="","",IF($L1806="","New item",IF($L1806&gt;0,"UP",IF($L1806&lt;0,"down","same"))))</f>
        <v/>
      </c>
    </row>
    <row r="1807">
      <c r="A1807" s="11">
        <f>IF('Data Entry'!A1807="","",'Data Entry'!A1807)</f>
        <v/>
      </c>
      <c r="B1807" s="12">
        <f>IF('Data Entry'!A1807="","",'Data Entry'!B1807)</f>
        <v/>
      </c>
      <c r="C1807" s="12">
        <f>IF('Data Entry'!A1807="","",'Data Entry'!C1807)</f>
        <v/>
      </c>
      <c r="D1807" s="12">
        <f>IF('Data Entry'!A1807="","",'Data Entry'!D1807)</f>
        <v/>
      </c>
      <c r="E1807" s="12">
        <f>IF('Data Entry'!A1807="","",'Data Entry'!E1807)</f>
        <v/>
      </c>
      <c r="F1807" s="12">
        <f>IF('Data Entry'!A1807="","",'Data Entry'!F1807)</f>
        <v/>
      </c>
      <c r="G1807" s="13">
        <f>IF('Data Entry'!A1807="","",'Data Entry'!G1807)</f>
        <v/>
      </c>
      <c r="H1807" s="10">
        <f>IF('Data Entry'!A1807="","",'Data Entry'!H1807)</f>
        <v/>
      </c>
      <c r="I1807" s="10">
        <f>IF('Data Entry'!A1807="","",'Data Entry'!I1807)</f>
        <v/>
      </c>
      <c r="J1807" s="12">
        <f>IF('Data Entry'!A1807="","",IF('Data Entry'!D1807&lt;&gt;"",'Data Entry'!D1807,'Data Entry'!E1807))</f>
        <v/>
      </c>
      <c r="K1807" s="10">
        <f>IF('Data Entry'!A1807="","",IFERROR(SUMIFS($H$5:$H$2001,$J$5:$J$2001,$J1807,$B$5:$B$2001,$B1807,$A$5:$A$2001,(MAXIFS($A$5:$A$2001,$J$5:$J$2001,$J1807,$B$5:$B$2001,$B1807,$A$5:$A$2001,"&lt;"&amp;$A1807))),""))</f>
        <v/>
      </c>
      <c r="L1807" s="14">
        <f>IF(OR('Data Entry'!A1807="",$K1807=""),"",$H1807-$K1807)</f>
        <v/>
      </c>
      <c r="M1807" s="15">
        <f>IF(OR('Data Entry'!A1807="",$K1807="",$K1807=0),"",$L1807/$K1807)</f>
        <v/>
      </c>
      <c r="N1807" s="12">
        <f>IF('Data Entry'!A1807="","",IF($L1807="","New item",IF($L1807&gt;0,"UP",IF($L1807&lt;0,"down","same"))))</f>
        <v/>
      </c>
    </row>
    <row r="1808">
      <c r="A1808" s="11">
        <f>IF('Data Entry'!A1808="","",'Data Entry'!A1808)</f>
        <v/>
      </c>
      <c r="B1808" s="12">
        <f>IF('Data Entry'!A1808="","",'Data Entry'!B1808)</f>
        <v/>
      </c>
      <c r="C1808" s="12">
        <f>IF('Data Entry'!A1808="","",'Data Entry'!C1808)</f>
        <v/>
      </c>
      <c r="D1808" s="12">
        <f>IF('Data Entry'!A1808="","",'Data Entry'!D1808)</f>
        <v/>
      </c>
      <c r="E1808" s="12">
        <f>IF('Data Entry'!A1808="","",'Data Entry'!E1808)</f>
        <v/>
      </c>
      <c r="F1808" s="12">
        <f>IF('Data Entry'!A1808="","",'Data Entry'!F1808)</f>
        <v/>
      </c>
      <c r="G1808" s="13">
        <f>IF('Data Entry'!A1808="","",'Data Entry'!G1808)</f>
        <v/>
      </c>
      <c r="H1808" s="10">
        <f>IF('Data Entry'!A1808="","",'Data Entry'!H1808)</f>
        <v/>
      </c>
      <c r="I1808" s="10">
        <f>IF('Data Entry'!A1808="","",'Data Entry'!I1808)</f>
        <v/>
      </c>
      <c r="J1808" s="12">
        <f>IF('Data Entry'!A1808="","",IF('Data Entry'!D1808&lt;&gt;"",'Data Entry'!D1808,'Data Entry'!E1808))</f>
        <v/>
      </c>
      <c r="K1808" s="10">
        <f>IF('Data Entry'!A1808="","",IFERROR(SUMIFS($H$5:$H$2001,$J$5:$J$2001,$J1808,$B$5:$B$2001,$B1808,$A$5:$A$2001,(MAXIFS($A$5:$A$2001,$J$5:$J$2001,$J1808,$B$5:$B$2001,$B1808,$A$5:$A$2001,"&lt;"&amp;$A1808))),""))</f>
        <v/>
      </c>
      <c r="L1808" s="14">
        <f>IF(OR('Data Entry'!A1808="",$K1808=""),"",$H1808-$K1808)</f>
        <v/>
      </c>
      <c r="M1808" s="15">
        <f>IF(OR('Data Entry'!A1808="",$K1808="",$K1808=0),"",$L1808/$K1808)</f>
        <v/>
      </c>
      <c r="N1808" s="12">
        <f>IF('Data Entry'!A1808="","",IF($L1808="","New item",IF($L1808&gt;0,"UP",IF($L1808&lt;0,"down","same"))))</f>
        <v/>
      </c>
    </row>
    <row r="1809">
      <c r="A1809" s="11">
        <f>IF('Data Entry'!A1809="","",'Data Entry'!A1809)</f>
        <v/>
      </c>
      <c r="B1809" s="12">
        <f>IF('Data Entry'!A1809="","",'Data Entry'!B1809)</f>
        <v/>
      </c>
      <c r="C1809" s="12">
        <f>IF('Data Entry'!A1809="","",'Data Entry'!C1809)</f>
        <v/>
      </c>
      <c r="D1809" s="12">
        <f>IF('Data Entry'!A1809="","",'Data Entry'!D1809)</f>
        <v/>
      </c>
      <c r="E1809" s="12">
        <f>IF('Data Entry'!A1809="","",'Data Entry'!E1809)</f>
        <v/>
      </c>
      <c r="F1809" s="12">
        <f>IF('Data Entry'!A1809="","",'Data Entry'!F1809)</f>
        <v/>
      </c>
      <c r="G1809" s="13">
        <f>IF('Data Entry'!A1809="","",'Data Entry'!G1809)</f>
        <v/>
      </c>
      <c r="H1809" s="10">
        <f>IF('Data Entry'!A1809="","",'Data Entry'!H1809)</f>
        <v/>
      </c>
      <c r="I1809" s="10">
        <f>IF('Data Entry'!A1809="","",'Data Entry'!I1809)</f>
        <v/>
      </c>
      <c r="J1809" s="12">
        <f>IF('Data Entry'!A1809="","",IF('Data Entry'!D1809&lt;&gt;"",'Data Entry'!D1809,'Data Entry'!E1809))</f>
        <v/>
      </c>
      <c r="K1809" s="10">
        <f>IF('Data Entry'!A1809="","",IFERROR(SUMIFS($H$5:$H$2001,$J$5:$J$2001,$J1809,$B$5:$B$2001,$B1809,$A$5:$A$2001,(MAXIFS($A$5:$A$2001,$J$5:$J$2001,$J1809,$B$5:$B$2001,$B1809,$A$5:$A$2001,"&lt;"&amp;$A1809))),""))</f>
        <v/>
      </c>
      <c r="L1809" s="14">
        <f>IF(OR('Data Entry'!A1809="",$K1809=""),"",$H1809-$K1809)</f>
        <v/>
      </c>
      <c r="M1809" s="15">
        <f>IF(OR('Data Entry'!A1809="",$K1809="",$K1809=0),"",$L1809/$K1809)</f>
        <v/>
      </c>
      <c r="N1809" s="12">
        <f>IF('Data Entry'!A1809="","",IF($L1809="","New item",IF($L1809&gt;0,"UP",IF($L1809&lt;0,"down","same"))))</f>
        <v/>
      </c>
    </row>
    <row r="1810">
      <c r="A1810" s="11">
        <f>IF('Data Entry'!A1810="","",'Data Entry'!A1810)</f>
        <v/>
      </c>
      <c r="B1810" s="12">
        <f>IF('Data Entry'!A1810="","",'Data Entry'!B1810)</f>
        <v/>
      </c>
      <c r="C1810" s="12">
        <f>IF('Data Entry'!A1810="","",'Data Entry'!C1810)</f>
        <v/>
      </c>
      <c r="D1810" s="12">
        <f>IF('Data Entry'!A1810="","",'Data Entry'!D1810)</f>
        <v/>
      </c>
      <c r="E1810" s="12">
        <f>IF('Data Entry'!A1810="","",'Data Entry'!E1810)</f>
        <v/>
      </c>
      <c r="F1810" s="12">
        <f>IF('Data Entry'!A1810="","",'Data Entry'!F1810)</f>
        <v/>
      </c>
      <c r="G1810" s="13">
        <f>IF('Data Entry'!A1810="","",'Data Entry'!G1810)</f>
        <v/>
      </c>
      <c r="H1810" s="10">
        <f>IF('Data Entry'!A1810="","",'Data Entry'!H1810)</f>
        <v/>
      </c>
      <c r="I1810" s="10">
        <f>IF('Data Entry'!A1810="","",'Data Entry'!I1810)</f>
        <v/>
      </c>
      <c r="J1810" s="12">
        <f>IF('Data Entry'!A1810="","",IF('Data Entry'!D1810&lt;&gt;"",'Data Entry'!D1810,'Data Entry'!E1810))</f>
        <v/>
      </c>
      <c r="K1810" s="10">
        <f>IF('Data Entry'!A1810="","",IFERROR(SUMIFS($H$5:$H$2001,$J$5:$J$2001,$J1810,$B$5:$B$2001,$B1810,$A$5:$A$2001,(MAXIFS($A$5:$A$2001,$J$5:$J$2001,$J1810,$B$5:$B$2001,$B1810,$A$5:$A$2001,"&lt;"&amp;$A1810))),""))</f>
        <v/>
      </c>
      <c r="L1810" s="14">
        <f>IF(OR('Data Entry'!A1810="",$K1810=""),"",$H1810-$K1810)</f>
        <v/>
      </c>
      <c r="M1810" s="15">
        <f>IF(OR('Data Entry'!A1810="",$K1810="",$K1810=0),"",$L1810/$K1810)</f>
        <v/>
      </c>
      <c r="N1810" s="12">
        <f>IF('Data Entry'!A1810="","",IF($L1810="","New item",IF($L1810&gt;0,"UP",IF($L1810&lt;0,"down","same"))))</f>
        <v/>
      </c>
    </row>
    <row r="1811">
      <c r="A1811" s="11">
        <f>IF('Data Entry'!A1811="","",'Data Entry'!A1811)</f>
        <v/>
      </c>
      <c r="B1811" s="12">
        <f>IF('Data Entry'!A1811="","",'Data Entry'!B1811)</f>
        <v/>
      </c>
      <c r="C1811" s="12">
        <f>IF('Data Entry'!A1811="","",'Data Entry'!C1811)</f>
        <v/>
      </c>
      <c r="D1811" s="12">
        <f>IF('Data Entry'!A1811="","",'Data Entry'!D1811)</f>
        <v/>
      </c>
      <c r="E1811" s="12">
        <f>IF('Data Entry'!A1811="","",'Data Entry'!E1811)</f>
        <v/>
      </c>
      <c r="F1811" s="12">
        <f>IF('Data Entry'!A1811="","",'Data Entry'!F1811)</f>
        <v/>
      </c>
      <c r="G1811" s="13">
        <f>IF('Data Entry'!A1811="","",'Data Entry'!G1811)</f>
        <v/>
      </c>
      <c r="H1811" s="10">
        <f>IF('Data Entry'!A1811="","",'Data Entry'!H1811)</f>
        <v/>
      </c>
      <c r="I1811" s="10">
        <f>IF('Data Entry'!A1811="","",'Data Entry'!I1811)</f>
        <v/>
      </c>
      <c r="J1811" s="12">
        <f>IF('Data Entry'!A1811="","",IF('Data Entry'!D1811&lt;&gt;"",'Data Entry'!D1811,'Data Entry'!E1811))</f>
        <v/>
      </c>
      <c r="K1811" s="10">
        <f>IF('Data Entry'!A1811="","",IFERROR(SUMIFS($H$5:$H$2001,$J$5:$J$2001,$J1811,$B$5:$B$2001,$B1811,$A$5:$A$2001,(MAXIFS($A$5:$A$2001,$J$5:$J$2001,$J1811,$B$5:$B$2001,$B1811,$A$5:$A$2001,"&lt;"&amp;$A1811))),""))</f>
        <v/>
      </c>
      <c r="L1811" s="14">
        <f>IF(OR('Data Entry'!A1811="",$K1811=""),"",$H1811-$K1811)</f>
        <v/>
      </c>
      <c r="M1811" s="15">
        <f>IF(OR('Data Entry'!A1811="",$K1811="",$K1811=0),"",$L1811/$K1811)</f>
        <v/>
      </c>
      <c r="N1811" s="12">
        <f>IF('Data Entry'!A1811="","",IF($L1811="","New item",IF($L1811&gt;0,"UP",IF($L1811&lt;0,"down","same"))))</f>
        <v/>
      </c>
    </row>
    <row r="1812">
      <c r="A1812" s="11">
        <f>IF('Data Entry'!A1812="","",'Data Entry'!A1812)</f>
        <v/>
      </c>
      <c r="B1812" s="12">
        <f>IF('Data Entry'!A1812="","",'Data Entry'!B1812)</f>
        <v/>
      </c>
      <c r="C1812" s="12">
        <f>IF('Data Entry'!A1812="","",'Data Entry'!C1812)</f>
        <v/>
      </c>
      <c r="D1812" s="12">
        <f>IF('Data Entry'!A1812="","",'Data Entry'!D1812)</f>
        <v/>
      </c>
      <c r="E1812" s="12">
        <f>IF('Data Entry'!A1812="","",'Data Entry'!E1812)</f>
        <v/>
      </c>
      <c r="F1812" s="12">
        <f>IF('Data Entry'!A1812="","",'Data Entry'!F1812)</f>
        <v/>
      </c>
      <c r="G1812" s="13">
        <f>IF('Data Entry'!A1812="","",'Data Entry'!G1812)</f>
        <v/>
      </c>
      <c r="H1812" s="10">
        <f>IF('Data Entry'!A1812="","",'Data Entry'!H1812)</f>
        <v/>
      </c>
      <c r="I1812" s="10">
        <f>IF('Data Entry'!A1812="","",'Data Entry'!I1812)</f>
        <v/>
      </c>
      <c r="J1812" s="12">
        <f>IF('Data Entry'!A1812="","",IF('Data Entry'!D1812&lt;&gt;"",'Data Entry'!D1812,'Data Entry'!E1812))</f>
        <v/>
      </c>
      <c r="K1812" s="10">
        <f>IF('Data Entry'!A1812="","",IFERROR(SUMIFS($H$5:$H$2001,$J$5:$J$2001,$J1812,$B$5:$B$2001,$B1812,$A$5:$A$2001,(MAXIFS($A$5:$A$2001,$J$5:$J$2001,$J1812,$B$5:$B$2001,$B1812,$A$5:$A$2001,"&lt;"&amp;$A1812))),""))</f>
        <v/>
      </c>
      <c r="L1812" s="14">
        <f>IF(OR('Data Entry'!A1812="",$K1812=""),"",$H1812-$K1812)</f>
        <v/>
      </c>
      <c r="M1812" s="15">
        <f>IF(OR('Data Entry'!A1812="",$K1812="",$K1812=0),"",$L1812/$K1812)</f>
        <v/>
      </c>
      <c r="N1812" s="12">
        <f>IF('Data Entry'!A1812="","",IF($L1812="","New item",IF($L1812&gt;0,"UP",IF($L1812&lt;0,"down","same"))))</f>
        <v/>
      </c>
    </row>
    <row r="1813">
      <c r="A1813" s="11">
        <f>IF('Data Entry'!A1813="","",'Data Entry'!A1813)</f>
        <v/>
      </c>
      <c r="B1813" s="12">
        <f>IF('Data Entry'!A1813="","",'Data Entry'!B1813)</f>
        <v/>
      </c>
      <c r="C1813" s="12">
        <f>IF('Data Entry'!A1813="","",'Data Entry'!C1813)</f>
        <v/>
      </c>
      <c r="D1813" s="12">
        <f>IF('Data Entry'!A1813="","",'Data Entry'!D1813)</f>
        <v/>
      </c>
      <c r="E1813" s="12">
        <f>IF('Data Entry'!A1813="","",'Data Entry'!E1813)</f>
        <v/>
      </c>
      <c r="F1813" s="12">
        <f>IF('Data Entry'!A1813="","",'Data Entry'!F1813)</f>
        <v/>
      </c>
      <c r="G1813" s="13">
        <f>IF('Data Entry'!A1813="","",'Data Entry'!G1813)</f>
        <v/>
      </c>
      <c r="H1813" s="10">
        <f>IF('Data Entry'!A1813="","",'Data Entry'!H1813)</f>
        <v/>
      </c>
      <c r="I1813" s="10">
        <f>IF('Data Entry'!A1813="","",'Data Entry'!I1813)</f>
        <v/>
      </c>
      <c r="J1813" s="12">
        <f>IF('Data Entry'!A1813="","",IF('Data Entry'!D1813&lt;&gt;"",'Data Entry'!D1813,'Data Entry'!E1813))</f>
        <v/>
      </c>
      <c r="K1813" s="10">
        <f>IF('Data Entry'!A1813="","",IFERROR(SUMIFS($H$5:$H$2001,$J$5:$J$2001,$J1813,$B$5:$B$2001,$B1813,$A$5:$A$2001,(MAXIFS($A$5:$A$2001,$J$5:$J$2001,$J1813,$B$5:$B$2001,$B1813,$A$5:$A$2001,"&lt;"&amp;$A1813))),""))</f>
        <v/>
      </c>
      <c r="L1813" s="14">
        <f>IF(OR('Data Entry'!A1813="",$K1813=""),"",$H1813-$K1813)</f>
        <v/>
      </c>
      <c r="M1813" s="15">
        <f>IF(OR('Data Entry'!A1813="",$K1813="",$K1813=0),"",$L1813/$K1813)</f>
        <v/>
      </c>
      <c r="N1813" s="12">
        <f>IF('Data Entry'!A1813="","",IF($L1813="","New item",IF($L1813&gt;0,"UP",IF($L1813&lt;0,"down","same"))))</f>
        <v/>
      </c>
    </row>
    <row r="1814">
      <c r="A1814" s="11">
        <f>IF('Data Entry'!A1814="","",'Data Entry'!A1814)</f>
        <v/>
      </c>
      <c r="B1814" s="12">
        <f>IF('Data Entry'!A1814="","",'Data Entry'!B1814)</f>
        <v/>
      </c>
      <c r="C1814" s="12">
        <f>IF('Data Entry'!A1814="","",'Data Entry'!C1814)</f>
        <v/>
      </c>
      <c r="D1814" s="12">
        <f>IF('Data Entry'!A1814="","",'Data Entry'!D1814)</f>
        <v/>
      </c>
      <c r="E1814" s="12">
        <f>IF('Data Entry'!A1814="","",'Data Entry'!E1814)</f>
        <v/>
      </c>
      <c r="F1814" s="12">
        <f>IF('Data Entry'!A1814="","",'Data Entry'!F1814)</f>
        <v/>
      </c>
      <c r="G1814" s="13">
        <f>IF('Data Entry'!A1814="","",'Data Entry'!G1814)</f>
        <v/>
      </c>
      <c r="H1814" s="10">
        <f>IF('Data Entry'!A1814="","",'Data Entry'!H1814)</f>
        <v/>
      </c>
      <c r="I1814" s="10">
        <f>IF('Data Entry'!A1814="","",'Data Entry'!I1814)</f>
        <v/>
      </c>
      <c r="J1814" s="12">
        <f>IF('Data Entry'!A1814="","",IF('Data Entry'!D1814&lt;&gt;"",'Data Entry'!D1814,'Data Entry'!E1814))</f>
        <v/>
      </c>
      <c r="K1814" s="10">
        <f>IF('Data Entry'!A1814="","",IFERROR(SUMIFS($H$5:$H$2001,$J$5:$J$2001,$J1814,$B$5:$B$2001,$B1814,$A$5:$A$2001,(MAXIFS($A$5:$A$2001,$J$5:$J$2001,$J1814,$B$5:$B$2001,$B1814,$A$5:$A$2001,"&lt;"&amp;$A1814))),""))</f>
        <v/>
      </c>
      <c r="L1814" s="14">
        <f>IF(OR('Data Entry'!A1814="",$K1814=""),"",$H1814-$K1814)</f>
        <v/>
      </c>
      <c r="M1814" s="15">
        <f>IF(OR('Data Entry'!A1814="",$K1814="",$K1814=0),"",$L1814/$K1814)</f>
        <v/>
      </c>
      <c r="N1814" s="12">
        <f>IF('Data Entry'!A1814="","",IF($L1814="","New item",IF($L1814&gt;0,"UP",IF($L1814&lt;0,"down","same"))))</f>
        <v/>
      </c>
    </row>
    <row r="1815">
      <c r="A1815" s="11">
        <f>IF('Data Entry'!A1815="","",'Data Entry'!A1815)</f>
        <v/>
      </c>
      <c r="B1815" s="12">
        <f>IF('Data Entry'!A1815="","",'Data Entry'!B1815)</f>
        <v/>
      </c>
      <c r="C1815" s="12">
        <f>IF('Data Entry'!A1815="","",'Data Entry'!C1815)</f>
        <v/>
      </c>
      <c r="D1815" s="12">
        <f>IF('Data Entry'!A1815="","",'Data Entry'!D1815)</f>
        <v/>
      </c>
      <c r="E1815" s="12">
        <f>IF('Data Entry'!A1815="","",'Data Entry'!E1815)</f>
        <v/>
      </c>
      <c r="F1815" s="12">
        <f>IF('Data Entry'!A1815="","",'Data Entry'!F1815)</f>
        <v/>
      </c>
      <c r="G1815" s="13">
        <f>IF('Data Entry'!A1815="","",'Data Entry'!G1815)</f>
        <v/>
      </c>
      <c r="H1815" s="10">
        <f>IF('Data Entry'!A1815="","",'Data Entry'!H1815)</f>
        <v/>
      </c>
      <c r="I1815" s="10">
        <f>IF('Data Entry'!A1815="","",'Data Entry'!I1815)</f>
        <v/>
      </c>
      <c r="J1815" s="12">
        <f>IF('Data Entry'!A1815="","",IF('Data Entry'!D1815&lt;&gt;"",'Data Entry'!D1815,'Data Entry'!E1815))</f>
        <v/>
      </c>
      <c r="K1815" s="10">
        <f>IF('Data Entry'!A1815="","",IFERROR(SUMIFS($H$5:$H$2001,$J$5:$J$2001,$J1815,$B$5:$B$2001,$B1815,$A$5:$A$2001,(MAXIFS($A$5:$A$2001,$J$5:$J$2001,$J1815,$B$5:$B$2001,$B1815,$A$5:$A$2001,"&lt;"&amp;$A1815))),""))</f>
        <v/>
      </c>
      <c r="L1815" s="14">
        <f>IF(OR('Data Entry'!A1815="",$K1815=""),"",$H1815-$K1815)</f>
        <v/>
      </c>
      <c r="M1815" s="15">
        <f>IF(OR('Data Entry'!A1815="",$K1815="",$K1815=0),"",$L1815/$K1815)</f>
        <v/>
      </c>
      <c r="N1815" s="12">
        <f>IF('Data Entry'!A1815="","",IF($L1815="","New item",IF($L1815&gt;0,"UP",IF($L1815&lt;0,"down","same"))))</f>
        <v/>
      </c>
    </row>
    <row r="1816">
      <c r="A1816" s="11">
        <f>IF('Data Entry'!A1816="","",'Data Entry'!A1816)</f>
        <v/>
      </c>
      <c r="B1816" s="12">
        <f>IF('Data Entry'!A1816="","",'Data Entry'!B1816)</f>
        <v/>
      </c>
      <c r="C1816" s="12">
        <f>IF('Data Entry'!A1816="","",'Data Entry'!C1816)</f>
        <v/>
      </c>
      <c r="D1816" s="12">
        <f>IF('Data Entry'!A1816="","",'Data Entry'!D1816)</f>
        <v/>
      </c>
      <c r="E1816" s="12">
        <f>IF('Data Entry'!A1816="","",'Data Entry'!E1816)</f>
        <v/>
      </c>
      <c r="F1816" s="12">
        <f>IF('Data Entry'!A1816="","",'Data Entry'!F1816)</f>
        <v/>
      </c>
      <c r="G1816" s="13">
        <f>IF('Data Entry'!A1816="","",'Data Entry'!G1816)</f>
        <v/>
      </c>
      <c r="H1816" s="10">
        <f>IF('Data Entry'!A1816="","",'Data Entry'!H1816)</f>
        <v/>
      </c>
      <c r="I1816" s="10">
        <f>IF('Data Entry'!A1816="","",'Data Entry'!I1816)</f>
        <v/>
      </c>
      <c r="J1816" s="12">
        <f>IF('Data Entry'!A1816="","",IF('Data Entry'!D1816&lt;&gt;"",'Data Entry'!D1816,'Data Entry'!E1816))</f>
        <v/>
      </c>
      <c r="K1816" s="10">
        <f>IF('Data Entry'!A1816="","",IFERROR(SUMIFS($H$5:$H$2001,$J$5:$J$2001,$J1816,$B$5:$B$2001,$B1816,$A$5:$A$2001,(MAXIFS($A$5:$A$2001,$J$5:$J$2001,$J1816,$B$5:$B$2001,$B1816,$A$5:$A$2001,"&lt;"&amp;$A1816))),""))</f>
        <v/>
      </c>
      <c r="L1816" s="14">
        <f>IF(OR('Data Entry'!A1816="",$K1816=""),"",$H1816-$K1816)</f>
        <v/>
      </c>
      <c r="M1816" s="15">
        <f>IF(OR('Data Entry'!A1816="",$K1816="",$K1816=0),"",$L1816/$K1816)</f>
        <v/>
      </c>
      <c r="N1816" s="12">
        <f>IF('Data Entry'!A1816="","",IF($L1816="","New item",IF($L1816&gt;0,"UP",IF($L1816&lt;0,"down","same"))))</f>
        <v/>
      </c>
    </row>
    <row r="1817">
      <c r="A1817" s="11">
        <f>IF('Data Entry'!A1817="","",'Data Entry'!A1817)</f>
        <v/>
      </c>
      <c r="B1817" s="12">
        <f>IF('Data Entry'!A1817="","",'Data Entry'!B1817)</f>
        <v/>
      </c>
      <c r="C1817" s="12">
        <f>IF('Data Entry'!A1817="","",'Data Entry'!C1817)</f>
        <v/>
      </c>
      <c r="D1817" s="12">
        <f>IF('Data Entry'!A1817="","",'Data Entry'!D1817)</f>
        <v/>
      </c>
      <c r="E1817" s="12">
        <f>IF('Data Entry'!A1817="","",'Data Entry'!E1817)</f>
        <v/>
      </c>
      <c r="F1817" s="12">
        <f>IF('Data Entry'!A1817="","",'Data Entry'!F1817)</f>
        <v/>
      </c>
      <c r="G1817" s="13">
        <f>IF('Data Entry'!A1817="","",'Data Entry'!G1817)</f>
        <v/>
      </c>
      <c r="H1817" s="10">
        <f>IF('Data Entry'!A1817="","",'Data Entry'!H1817)</f>
        <v/>
      </c>
      <c r="I1817" s="10">
        <f>IF('Data Entry'!A1817="","",'Data Entry'!I1817)</f>
        <v/>
      </c>
      <c r="J1817" s="12">
        <f>IF('Data Entry'!A1817="","",IF('Data Entry'!D1817&lt;&gt;"",'Data Entry'!D1817,'Data Entry'!E1817))</f>
        <v/>
      </c>
      <c r="K1817" s="10">
        <f>IF('Data Entry'!A1817="","",IFERROR(SUMIFS($H$5:$H$2001,$J$5:$J$2001,$J1817,$B$5:$B$2001,$B1817,$A$5:$A$2001,(MAXIFS($A$5:$A$2001,$J$5:$J$2001,$J1817,$B$5:$B$2001,$B1817,$A$5:$A$2001,"&lt;"&amp;$A1817))),""))</f>
        <v/>
      </c>
      <c r="L1817" s="14">
        <f>IF(OR('Data Entry'!A1817="",$K1817=""),"",$H1817-$K1817)</f>
        <v/>
      </c>
      <c r="M1817" s="15">
        <f>IF(OR('Data Entry'!A1817="",$K1817="",$K1817=0),"",$L1817/$K1817)</f>
        <v/>
      </c>
      <c r="N1817" s="12">
        <f>IF('Data Entry'!A1817="","",IF($L1817="","New item",IF($L1817&gt;0,"UP",IF($L1817&lt;0,"down","same"))))</f>
        <v/>
      </c>
    </row>
    <row r="1818">
      <c r="A1818" s="11">
        <f>IF('Data Entry'!A1818="","",'Data Entry'!A1818)</f>
        <v/>
      </c>
      <c r="B1818" s="12">
        <f>IF('Data Entry'!A1818="","",'Data Entry'!B1818)</f>
        <v/>
      </c>
      <c r="C1818" s="12">
        <f>IF('Data Entry'!A1818="","",'Data Entry'!C1818)</f>
        <v/>
      </c>
      <c r="D1818" s="12">
        <f>IF('Data Entry'!A1818="","",'Data Entry'!D1818)</f>
        <v/>
      </c>
      <c r="E1818" s="12">
        <f>IF('Data Entry'!A1818="","",'Data Entry'!E1818)</f>
        <v/>
      </c>
      <c r="F1818" s="12">
        <f>IF('Data Entry'!A1818="","",'Data Entry'!F1818)</f>
        <v/>
      </c>
      <c r="G1818" s="13">
        <f>IF('Data Entry'!A1818="","",'Data Entry'!G1818)</f>
        <v/>
      </c>
      <c r="H1818" s="10">
        <f>IF('Data Entry'!A1818="","",'Data Entry'!H1818)</f>
        <v/>
      </c>
      <c r="I1818" s="10">
        <f>IF('Data Entry'!A1818="","",'Data Entry'!I1818)</f>
        <v/>
      </c>
      <c r="J1818" s="12">
        <f>IF('Data Entry'!A1818="","",IF('Data Entry'!D1818&lt;&gt;"",'Data Entry'!D1818,'Data Entry'!E1818))</f>
        <v/>
      </c>
      <c r="K1818" s="10">
        <f>IF('Data Entry'!A1818="","",IFERROR(SUMIFS($H$5:$H$2001,$J$5:$J$2001,$J1818,$B$5:$B$2001,$B1818,$A$5:$A$2001,(MAXIFS($A$5:$A$2001,$J$5:$J$2001,$J1818,$B$5:$B$2001,$B1818,$A$5:$A$2001,"&lt;"&amp;$A1818))),""))</f>
        <v/>
      </c>
      <c r="L1818" s="14">
        <f>IF(OR('Data Entry'!A1818="",$K1818=""),"",$H1818-$K1818)</f>
        <v/>
      </c>
      <c r="M1818" s="15">
        <f>IF(OR('Data Entry'!A1818="",$K1818="",$K1818=0),"",$L1818/$K1818)</f>
        <v/>
      </c>
      <c r="N1818" s="12">
        <f>IF('Data Entry'!A1818="","",IF($L1818="","New item",IF($L1818&gt;0,"UP",IF($L1818&lt;0,"down","same"))))</f>
        <v/>
      </c>
    </row>
    <row r="1819">
      <c r="A1819" s="11">
        <f>IF('Data Entry'!A1819="","",'Data Entry'!A1819)</f>
        <v/>
      </c>
      <c r="B1819" s="12">
        <f>IF('Data Entry'!A1819="","",'Data Entry'!B1819)</f>
        <v/>
      </c>
      <c r="C1819" s="12">
        <f>IF('Data Entry'!A1819="","",'Data Entry'!C1819)</f>
        <v/>
      </c>
      <c r="D1819" s="12">
        <f>IF('Data Entry'!A1819="","",'Data Entry'!D1819)</f>
        <v/>
      </c>
      <c r="E1819" s="12">
        <f>IF('Data Entry'!A1819="","",'Data Entry'!E1819)</f>
        <v/>
      </c>
      <c r="F1819" s="12">
        <f>IF('Data Entry'!A1819="","",'Data Entry'!F1819)</f>
        <v/>
      </c>
      <c r="G1819" s="13">
        <f>IF('Data Entry'!A1819="","",'Data Entry'!G1819)</f>
        <v/>
      </c>
      <c r="H1819" s="10">
        <f>IF('Data Entry'!A1819="","",'Data Entry'!H1819)</f>
        <v/>
      </c>
      <c r="I1819" s="10">
        <f>IF('Data Entry'!A1819="","",'Data Entry'!I1819)</f>
        <v/>
      </c>
      <c r="J1819" s="12">
        <f>IF('Data Entry'!A1819="","",IF('Data Entry'!D1819&lt;&gt;"",'Data Entry'!D1819,'Data Entry'!E1819))</f>
        <v/>
      </c>
      <c r="K1819" s="10">
        <f>IF('Data Entry'!A1819="","",IFERROR(SUMIFS($H$5:$H$2001,$J$5:$J$2001,$J1819,$B$5:$B$2001,$B1819,$A$5:$A$2001,(MAXIFS($A$5:$A$2001,$J$5:$J$2001,$J1819,$B$5:$B$2001,$B1819,$A$5:$A$2001,"&lt;"&amp;$A1819))),""))</f>
        <v/>
      </c>
      <c r="L1819" s="14">
        <f>IF(OR('Data Entry'!A1819="",$K1819=""),"",$H1819-$K1819)</f>
        <v/>
      </c>
      <c r="M1819" s="15">
        <f>IF(OR('Data Entry'!A1819="",$K1819="",$K1819=0),"",$L1819/$K1819)</f>
        <v/>
      </c>
      <c r="N1819" s="12">
        <f>IF('Data Entry'!A1819="","",IF($L1819="","New item",IF($L1819&gt;0,"UP",IF($L1819&lt;0,"down","same"))))</f>
        <v/>
      </c>
    </row>
    <row r="1820">
      <c r="A1820" s="11">
        <f>IF('Data Entry'!A1820="","",'Data Entry'!A1820)</f>
        <v/>
      </c>
      <c r="B1820" s="12">
        <f>IF('Data Entry'!A1820="","",'Data Entry'!B1820)</f>
        <v/>
      </c>
      <c r="C1820" s="12">
        <f>IF('Data Entry'!A1820="","",'Data Entry'!C1820)</f>
        <v/>
      </c>
      <c r="D1820" s="12">
        <f>IF('Data Entry'!A1820="","",'Data Entry'!D1820)</f>
        <v/>
      </c>
      <c r="E1820" s="12">
        <f>IF('Data Entry'!A1820="","",'Data Entry'!E1820)</f>
        <v/>
      </c>
      <c r="F1820" s="12">
        <f>IF('Data Entry'!A1820="","",'Data Entry'!F1820)</f>
        <v/>
      </c>
      <c r="G1820" s="13">
        <f>IF('Data Entry'!A1820="","",'Data Entry'!G1820)</f>
        <v/>
      </c>
      <c r="H1820" s="10">
        <f>IF('Data Entry'!A1820="","",'Data Entry'!H1820)</f>
        <v/>
      </c>
      <c r="I1820" s="10">
        <f>IF('Data Entry'!A1820="","",'Data Entry'!I1820)</f>
        <v/>
      </c>
      <c r="J1820" s="12">
        <f>IF('Data Entry'!A1820="","",IF('Data Entry'!D1820&lt;&gt;"",'Data Entry'!D1820,'Data Entry'!E1820))</f>
        <v/>
      </c>
      <c r="K1820" s="10">
        <f>IF('Data Entry'!A1820="","",IFERROR(SUMIFS($H$5:$H$2001,$J$5:$J$2001,$J1820,$B$5:$B$2001,$B1820,$A$5:$A$2001,(MAXIFS($A$5:$A$2001,$J$5:$J$2001,$J1820,$B$5:$B$2001,$B1820,$A$5:$A$2001,"&lt;"&amp;$A1820))),""))</f>
        <v/>
      </c>
      <c r="L1820" s="14">
        <f>IF(OR('Data Entry'!A1820="",$K1820=""),"",$H1820-$K1820)</f>
        <v/>
      </c>
      <c r="M1820" s="15">
        <f>IF(OR('Data Entry'!A1820="",$K1820="",$K1820=0),"",$L1820/$K1820)</f>
        <v/>
      </c>
      <c r="N1820" s="12">
        <f>IF('Data Entry'!A1820="","",IF($L1820="","New item",IF($L1820&gt;0,"UP",IF($L1820&lt;0,"down","same"))))</f>
        <v/>
      </c>
    </row>
    <row r="1821">
      <c r="A1821" s="11">
        <f>IF('Data Entry'!A1821="","",'Data Entry'!A1821)</f>
        <v/>
      </c>
      <c r="B1821" s="12">
        <f>IF('Data Entry'!A1821="","",'Data Entry'!B1821)</f>
        <v/>
      </c>
      <c r="C1821" s="12">
        <f>IF('Data Entry'!A1821="","",'Data Entry'!C1821)</f>
        <v/>
      </c>
      <c r="D1821" s="12">
        <f>IF('Data Entry'!A1821="","",'Data Entry'!D1821)</f>
        <v/>
      </c>
      <c r="E1821" s="12">
        <f>IF('Data Entry'!A1821="","",'Data Entry'!E1821)</f>
        <v/>
      </c>
      <c r="F1821" s="12">
        <f>IF('Data Entry'!A1821="","",'Data Entry'!F1821)</f>
        <v/>
      </c>
      <c r="G1821" s="13">
        <f>IF('Data Entry'!A1821="","",'Data Entry'!G1821)</f>
        <v/>
      </c>
      <c r="H1821" s="10">
        <f>IF('Data Entry'!A1821="","",'Data Entry'!H1821)</f>
        <v/>
      </c>
      <c r="I1821" s="10">
        <f>IF('Data Entry'!A1821="","",'Data Entry'!I1821)</f>
        <v/>
      </c>
      <c r="J1821" s="12">
        <f>IF('Data Entry'!A1821="","",IF('Data Entry'!D1821&lt;&gt;"",'Data Entry'!D1821,'Data Entry'!E1821))</f>
        <v/>
      </c>
      <c r="K1821" s="10">
        <f>IF('Data Entry'!A1821="","",IFERROR(SUMIFS($H$5:$H$2001,$J$5:$J$2001,$J1821,$B$5:$B$2001,$B1821,$A$5:$A$2001,(MAXIFS($A$5:$A$2001,$J$5:$J$2001,$J1821,$B$5:$B$2001,$B1821,$A$5:$A$2001,"&lt;"&amp;$A1821))),""))</f>
        <v/>
      </c>
      <c r="L1821" s="14">
        <f>IF(OR('Data Entry'!A1821="",$K1821=""),"",$H1821-$K1821)</f>
        <v/>
      </c>
      <c r="M1821" s="15">
        <f>IF(OR('Data Entry'!A1821="",$K1821="",$K1821=0),"",$L1821/$K1821)</f>
        <v/>
      </c>
      <c r="N1821" s="12">
        <f>IF('Data Entry'!A1821="","",IF($L1821="","New item",IF($L1821&gt;0,"UP",IF($L1821&lt;0,"down","same"))))</f>
        <v/>
      </c>
    </row>
    <row r="1822">
      <c r="A1822" s="11">
        <f>IF('Data Entry'!A1822="","",'Data Entry'!A1822)</f>
        <v/>
      </c>
      <c r="B1822" s="12">
        <f>IF('Data Entry'!A1822="","",'Data Entry'!B1822)</f>
        <v/>
      </c>
      <c r="C1822" s="12">
        <f>IF('Data Entry'!A1822="","",'Data Entry'!C1822)</f>
        <v/>
      </c>
      <c r="D1822" s="12">
        <f>IF('Data Entry'!A1822="","",'Data Entry'!D1822)</f>
        <v/>
      </c>
      <c r="E1822" s="12">
        <f>IF('Data Entry'!A1822="","",'Data Entry'!E1822)</f>
        <v/>
      </c>
      <c r="F1822" s="12">
        <f>IF('Data Entry'!A1822="","",'Data Entry'!F1822)</f>
        <v/>
      </c>
      <c r="G1822" s="13">
        <f>IF('Data Entry'!A1822="","",'Data Entry'!G1822)</f>
        <v/>
      </c>
      <c r="H1822" s="10">
        <f>IF('Data Entry'!A1822="","",'Data Entry'!H1822)</f>
        <v/>
      </c>
      <c r="I1822" s="10">
        <f>IF('Data Entry'!A1822="","",'Data Entry'!I1822)</f>
        <v/>
      </c>
      <c r="J1822" s="12">
        <f>IF('Data Entry'!A1822="","",IF('Data Entry'!D1822&lt;&gt;"",'Data Entry'!D1822,'Data Entry'!E1822))</f>
        <v/>
      </c>
      <c r="K1822" s="10">
        <f>IF('Data Entry'!A1822="","",IFERROR(SUMIFS($H$5:$H$2001,$J$5:$J$2001,$J1822,$B$5:$B$2001,$B1822,$A$5:$A$2001,(MAXIFS($A$5:$A$2001,$J$5:$J$2001,$J1822,$B$5:$B$2001,$B1822,$A$5:$A$2001,"&lt;"&amp;$A1822))),""))</f>
        <v/>
      </c>
      <c r="L1822" s="14">
        <f>IF(OR('Data Entry'!A1822="",$K1822=""),"",$H1822-$K1822)</f>
        <v/>
      </c>
      <c r="M1822" s="15">
        <f>IF(OR('Data Entry'!A1822="",$K1822="",$K1822=0),"",$L1822/$K1822)</f>
        <v/>
      </c>
      <c r="N1822" s="12">
        <f>IF('Data Entry'!A1822="","",IF($L1822="","New item",IF($L1822&gt;0,"UP",IF($L1822&lt;0,"down","same"))))</f>
        <v/>
      </c>
    </row>
    <row r="1823">
      <c r="A1823" s="11">
        <f>IF('Data Entry'!A1823="","",'Data Entry'!A1823)</f>
        <v/>
      </c>
      <c r="B1823" s="12">
        <f>IF('Data Entry'!A1823="","",'Data Entry'!B1823)</f>
        <v/>
      </c>
      <c r="C1823" s="12">
        <f>IF('Data Entry'!A1823="","",'Data Entry'!C1823)</f>
        <v/>
      </c>
      <c r="D1823" s="12">
        <f>IF('Data Entry'!A1823="","",'Data Entry'!D1823)</f>
        <v/>
      </c>
      <c r="E1823" s="12">
        <f>IF('Data Entry'!A1823="","",'Data Entry'!E1823)</f>
        <v/>
      </c>
      <c r="F1823" s="12">
        <f>IF('Data Entry'!A1823="","",'Data Entry'!F1823)</f>
        <v/>
      </c>
      <c r="G1823" s="13">
        <f>IF('Data Entry'!A1823="","",'Data Entry'!G1823)</f>
        <v/>
      </c>
      <c r="H1823" s="10">
        <f>IF('Data Entry'!A1823="","",'Data Entry'!H1823)</f>
        <v/>
      </c>
      <c r="I1823" s="10">
        <f>IF('Data Entry'!A1823="","",'Data Entry'!I1823)</f>
        <v/>
      </c>
      <c r="J1823" s="12">
        <f>IF('Data Entry'!A1823="","",IF('Data Entry'!D1823&lt;&gt;"",'Data Entry'!D1823,'Data Entry'!E1823))</f>
        <v/>
      </c>
      <c r="K1823" s="10">
        <f>IF('Data Entry'!A1823="","",IFERROR(SUMIFS($H$5:$H$2001,$J$5:$J$2001,$J1823,$B$5:$B$2001,$B1823,$A$5:$A$2001,(MAXIFS($A$5:$A$2001,$J$5:$J$2001,$J1823,$B$5:$B$2001,$B1823,$A$5:$A$2001,"&lt;"&amp;$A1823))),""))</f>
        <v/>
      </c>
      <c r="L1823" s="14">
        <f>IF(OR('Data Entry'!A1823="",$K1823=""),"",$H1823-$K1823)</f>
        <v/>
      </c>
      <c r="M1823" s="15">
        <f>IF(OR('Data Entry'!A1823="",$K1823="",$K1823=0),"",$L1823/$K1823)</f>
        <v/>
      </c>
      <c r="N1823" s="12">
        <f>IF('Data Entry'!A1823="","",IF($L1823="","New item",IF($L1823&gt;0,"UP",IF($L1823&lt;0,"down","same"))))</f>
        <v/>
      </c>
    </row>
    <row r="1824">
      <c r="A1824" s="11">
        <f>IF('Data Entry'!A1824="","",'Data Entry'!A1824)</f>
        <v/>
      </c>
      <c r="B1824" s="12">
        <f>IF('Data Entry'!A1824="","",'Data Entry'!B1824)</f>
        <v/>
      </c>
      <c r="C1824" s="12">
        <f>IF('Data Entry'!A1824="","",'Data Entry'!C1824)</f>
        <v/>
      </c>
      <c r="D1824" s="12">
        <f>IF('Data Entry'!A1824="","",'Data Entry'!D1824)</f>
        <v/>
      </c>
      <c r="E1824" s="12">
        <f>IF('Data Entry'!A1824="","",'Data Entry'!E1824)</f>
        <v/>
      </c>
      <c r="F1824" s="12">
        <f>IF('Data Entry'!A1824="","",'Data Entry'!F1824)</f>
        <v/>
      </c>
      <c r="G1824" s="13">
        <f>IF('Data Entry'!A1824="","",'Data Entry'!G1824)</f>
        <v/>
      </c>
      <c r="H1824" s="10">
        <f>IF('Data Entry'!A1824="","",'Data Entry'!H1824)</f>
        <v/>
      </c>
      <c r="I1824" s="10">
        <f>IF('Data Entry'!A1824="","",'Data Entry'!I1824)</f>
        <v/>
      </c>
      <c r="J1824" s="12">
        <f>IF('Data Entry'!A1824="","",IF('Data Entry'!D1824&lt;&gt;"",'Data Entry'!D1824,'Data Entry'!E1824))</f>
        <v/>
      </c>
      <c r="K1824" s="10">
        <f>IF('Data Entry'!A1824="","",IFERROR(SUMIFS($H$5:$H$2001,$J$5:$J$2001,$J1824,$B$5:$B$2001,$B1824,$A$5:$A$2001,(MAXIFS($A$5:$A$2001,$J$5:$J$2001,$J1824,$B$5:$B$2001,$B1824,$A$5:$A$2001,"&lt;"&amp;$A1824))),""))</f>
        <v/>
      </c>
      <c r="L1824" s="14">
        <f>IF(OR('Data Entry'!A1824="",$K1824=""),"",$H1824-$K1824)</f>
        <v/>
      </c>
      <c r="M1824" s="15">
        <f>IF(OR('Data Entry'!A1824="",$K1824="",$K1824=0),"",$L1824/$K1824)</f>
        <v/>
      </c>
      <c r="N1824" s="12">
        <f>IF('Data Entry'!A1824="","",IF($L1824="","New item",IF($L1824&gt;0,"UP",IF($L1824&lt;0,"down","same"))))</f>
        <v/>
      </c>
    </row>
    <row r="1825">
      <c r="A1825" s="11">
        <f>IF('Data Entry'!A1825="","",'Data Entry'!A1825)</f>
        <v/>
      </c>
      <c r="B1825" s="12">
        <f>IF('Data Entry'!A1825="","",'Data Entry'!B1825)</f>
        <v/>
      </c>
      <c r="C1825" s="12">
        <f>IF('Data Entry'!A1825="","",'Data Entry'!C1825)</f>
        <v/>
      </c>
      <c r="D1825" s="12">
        <f>IF('Data Entry'!A1825="","",'Data Entry'!D1825)</f>
        <v/>
      </c>
      <c r="E1825" s="12">
        <f>IF('Data Entry'!A1825="","",'Data Entry'!E1825)</f>
        <v/>
      </c>
      <c r="F1825" s="12">
        <f>IF('Data Entry'!A1825="","",'Data Entry'!F1825)</f>
        <v/>
      </c>
      <c r="G1825" s="13">
        <f>IF('Data Entry'!A1825="","",'Data Entry'!G1825)</f>
        <v/>
      </c>
      <c r="H1825" s="10">
        <f>IF('Data Entry'!A1825="","",'Data Entry'!H1825)</f>
        <v/>
      </c>
      <c r="I1825" s="10">
        <f>IF('Data Entry'!A1825="","",'Data Entry'!I1825)</f>
        <v/>
      </c>
      <c r="J1825" s="12">
        <f>IF('Data Entry'!A1825="","",IF('Data Entry'!D1825&lt;&gt;"",'Data Entry'!D1825,'Data Entry'!E1825))</f>
        <v/>
      </c>
      <c r="K1825" s="10">
        <f>IF('Data Entry'!A1825="","",IFERROR(SUMIFS($H$5:$H$2001,$J$5:$J$2001,$J1825,$B$5:$B$2001,$B1825,$A$5:$A$2001,(MAXIFS($A$5:$A$2001,$J$5:$J$2001,$J1825,$B$5:$B$2001,$B1825,$A$5:$A$2001,"&lt;"&amp;$A1825))),""))</f>
        <v/>
      </c>
      <c r="L1825" s="14">
        <f>IF(OR('Data Entry'!A1825="",$K1825=""),"",$H1825-$K1825)</f>
        <v/>
      </c>
      <c r="M1825" s="15">
        <f>IF(OR('Data Entry'!A1825="",$K1825="",$K1825=0),"",$L1825/$K1825)</f>
        <v/>
      </c>
      <c r="N1825" s="12">
        <f>IF('Data Entry'!A1825="","",IF($L1825="","New item",IF($L1825&gt;0,"UP",IF($L1825&lt;0,"down","same"))))</f>
        <v/>
      </c>
    </row>
    <row r="1826">
      <c r="A1826" s="11">
        <f>IF('Data Entry'!A1826="","",'Data Entry'!A1826)</f>
        <v/>
      </c>
      <c r="B1826" s="12">
        <f>IF('Data Entry'!A1826="","",'Data Entry'!B1826)</f>
        <v/>
      </c>
      <c r="C1826" s="12">
        <f>IF('Data Entry'!A1826="","",'Data Entry'!C1826)</f>
        <v/>
      </c>
      <c r="D1826" s="12">
        <f>IF('Data Entry'!A1826="","",'Data Entry'!D1826)</f>
        <v/>
      </c>
      <c r="E1826" s="12">
        <f>IF('Data Entry'!A1826="","",'Data Entry'!E1826)</f>
        <v/>
      </c>
      <c r="F1826" s="12">
        <f>IF('Data Entry'!A1826="","",'Data Entry'!F1826)</f>
        <v/>
      </c>
      <c r="G1826" s="13">
        <f>IF('Data Entry'!A1826="","",'Data Entry'!G1826)</f>
        <v/>
      </c>
      <c r="H1826" s="10">
        <f>IF('Data Entry'!A1826="","",'Data Entry'!H1826)</f>
        <v/>
      </c>
      <c r="I1826" s="10">
        <f>IF('Data Entry'!A1826="","",'Data Entry'!I1826)</f>
        <v/>
      </c>
      <c r="J1826" s="12">
        <f>IF('Data Entry'!A1826="","",IF('Data Entry'!D1826&lt;&gt;"",'Data Entry'!D1826,'Data Entry'!E1826))</f>
        <v/>
      </c>
      <c r="K1826" s="10">
        <f>IF('Data Entry'!A1826="","",IFERROR(SUMIFS($H$5:$H$2001,$J$5:$J$2001,$J1826,$B$5:$B$2001,$B1826,$A$5:$A$2001,(MAXIFS($A$5:$A$2001,$J$5:$J$2001,$J1826,$B$5:$B$2001,$B1826,$A$5:$A$2001,"&lt;"&amp;$A1826))),""))</f>
        <v/>
      </c>
      <c r="L1826" s="14">
        <f>IF(OR('Data Entry'!A1826="",$K1826=""),"",$H1826-$K1826)</f>
        <v/>
      </c>
      <c r="M1826" s="15">
        <f>IF(OR('Data Entry'!A1826="",$K1826="",$K1826=0),"",$L1826/$K1826)</f>
        <v/>
      </c>
      <c r="N1826" s="12">
        <f>IF('Data Entry'!A1826="","",IF($L1826="","New item",IF($L1826&gt;0,"UP",IF($L1826&lt;0,"down","same"))))</f>
        <v/>
      </c>
    </row>
    <row r="1827">
      <c r="A1827" s="11">
        <f>IF('Data Entry'!A1827="","",'Data Entry'!A1827)</f>
        <v/>
      </c>
      <c r="B1827" s="12">
        <f>IF('Data Entry'!A1827="","",'Data Entry'!B1827)</f>
        <v/>
      </c>
      <c r="C1827" s="12">
        <f>IF('Data Entry'!A1827="","",'Data Entry'!C1827)</f>
        <v/>
      </c>
      <c r="D1827" s="12">
        <f>IF('Data Entry'!A1827="","",'Data Entry'!D1827)</f>
        <v/>
      </c>
      <c r="E1827" s="12">
        <f>IF('Data Entry'!A1827="","",'Data Entry'!E1827)</f>
        <v/>
      </c>
      <c r="F1827" s="12">
        <f>IF('Data Entry'!A1827="","",'Data Entry'!F1827)</f>
        <v/>
      </c>
      <c r="G1827" s="13">
        <f>IF('Data Entry'!A1827="","",'Data Entry'!G1827)</f>
        <v/>
      </c>
      <c r="H1827" s="10">
        <f>IF('Data Entry'!A1827="","",'Data Entry'!H1827)</f>
        <v/>
      </c>
      <c r="I1827" s="10">
        <f>IF('Data Entry'!A1827="","",'Data Entry'!I1827)</f>
        <v/>
      </c>
      <c r="J1827" s="12">
        <f>IF('Data Entry'!A1827="","",IF('Data Entry'!D1827&lt;&gt;"",'Data Entry'!D1827,'Data Entry'!E1827))</f>
        <v/>
      </c>
      <c r="K1827" s="10">
        <f>IF('Data Entry'!A1827="","",IFERROR(SUMIFS($H$5:$H$2001,$J$5:$J$2001,$J1827,$B$5:$B$2001,$B1827,$A$5:$A$2001,(MAXIFS($A$5:$A$2001,$J$5:$J$2001,$J1827,$B$5:$B$2001,$B1827,$A$5:$A$2001,"&lt;"&amp;$A1827))),""))</f>
        <v/>
      </c>
      <c r="L1827" s="14">
        <f>IF(OR('Data Entry'!A1827="",$K1827=""),"",$H1827-$K1827)</f>
        <v/>
      </c>
      <c r="M1827" s="15">
        <f>IF(OR('Data Entry'!A1827="",$K1827="",$K1827=0),"",$L1827/$K1827)</f>
        <v/>
      </c>
      <c r="N1827" s="12">
        <f>IF('Data Entry'!A1827="","",IF($L1827="","New item",IF($L1827&gt;0,"UP",IF($L1827&lt;0,"down","same"))))</f>
        <v/>
      </c>
    </row>
    <row r="1828">
      <c r="A1828" s="11">
        <f>IF('Data Entry'!A1828="","",'Data Entry'!A1828)</f>
        <v/>
      </c>
      <c r="B1828" s="12">
        <f>IF('Data Entry'!A1828="","",'Data Entry'!B1828)</f>
        <v/>
      </c>
      <c r="C1828" s="12">
        <f>IF('Data Entry'!A1828="","",'Data Entry'!C1828)</f>
        <v/>
      </c>
      <c r="D1828" s="12">
        <f>IF('Data Entry'!A1828="","",'Data Entry'!D1828)</f>
        <v/>
      </c>
      <c r="E1828" s="12">
        <f>IF('Data Entry'!A1828="","",'Data Entry'!E1828)</f>
        <v/>
      </c>
      <c r="F1828" s="12">
        <f>IF('Data Entry'!A1828="","",'Data Entry'!F1828)</f>
        <v/>
      </c>
      <c r="G1828" s="13">
        <f>IF('Data Entry'!A1828="","",'Data Entry'!G1828)</f>
        <v/>
      </c>
      <c r="H1828" s="10">
        <f>IF('Data Entry'!A1828="","",'Data Entry'!H1828)</f>
        <v/>
      </c>
      <c r="I1828" s="10">
        <f>IF('Data Entry'!A1828="","",'Data Entry'!I1828)</f>
        <v/>
      </c>
      <c r="J1828" s="12">
        <f>IF('Data Entry'!A1828="","",IF('Data Entry'!D1828&lt;&gt;"",'Data Entry'!D1828,'Data Entry'!E1828))</f>
        <v/>
      </c>
      <c r="K1828" s="10">
        <f>IF('Data Entry'!A1828="","",IFERROR(SUMIFS($H$5:$H$2001,$J$5:$J$2001,$J1828,$B$5:$B$2001,$B1828,$A$5:$A$2001,(MAXIFS($A$5:$A$2001,$J$5:$J$2001,$J1828,$B$5:$B$2001,$B1828,$A$5:$A$2001,"&lt;"&amp;$A1828))),""))</f>
        <v/>
      </c>
      <c r="L1828" s="14">
        <f>IF(OR('Data Entry'!A1828="",$K1828=""),"",$H1828-$K1828)</f>
        <v/>
      </c>
      <c r="M1828" s="15">
        <f>IF(OR('Data Entry'!A1828="",$K1828="",$K1828=0),"",$L1828/$K1828)</f>
        <v/>
      </c>
      <c r="N1828" s="12">
        <f>IF('Data Entry'!A1828="","",IF($L1828="","New item",IF($L1828&gt;0,"UP",IF($L1828&lt;0,"down","same"))))</f>
        <v/>
      </c>
    </row>
    <row r="1829">
      <c r="A1829" s="11">
        <f>IF('Data Entry'!A1829="","",'Data Entry'!A1829)</f>
        <v/>
      </c>
      <c r="B1829" s="12">
        <f>IF('Data Entry'!A1829="","",'Data Entry'!B1829)</f>
        <v/>
      </c>
      <c r="C1829" s="12">
        <f>IF('Data Entry'!A1829="","",'Data Entry'!C1829)</f>
        <v/>
      </c>
      <c r="D1829" s="12">
        <f>IF('Data Entry'!A1829="","",'Data Entry'!D1829)</f>
        <v/>
      </c>
      <c r="E1829" s="12">
        <f>IF('Data Entry'!A1829="","",'Data Entry'!E1829)</f>
        <v/>
      </c>
      <c r="F1829" s="12">
        <f>IF('Data Entry'!A1829="","",'Data Entry'!F1829)</f>
        <v/>
      </c>
      <c r="G1829" s="13">
        <f>IF('Data Entry'!A1829="","",'Data Entry'!G1829)</f>
        <v/>
      </c>
      <c r="H1829" s="10">
        <f>IF('Data Entry'!A1829="","",'Data Entry'!H1829)</f>
        <v/>
      </c>
      <c r="I1829" s="10">
        <f>IF('Data Entry'!A1829="","",'Data Entry'!I1829)</f>
        <v/>
      </c>
      <c r="J1829" s="12">
        <f>IF('Data Entry'!A1829="","",IF('Data Entry'!D1829&lt;&gt;"",'Data Entry'!D1829,'Data Entry'!E1829))</f>
        <v/>
      </c>
      <c r="K1829" s="10">
        <f>IF('Data Entry'!A1829="","",IFERROR(SUMIFS($H$5:$H$2001,$J$5:$J$2001,$J1829,$B$5:$B$2001,$B1829,$A$5:$A$2001,(MAXIFS($A$5:$A$2001,$J$5:$J$2001,$J1829,$B$5:$B$2001,$B1829,$A$5:$A$2001,"&lt;"&amp;$A1829))),""))</f>
        <v/>
      </c>
      <c r="L1829" s="14">
        <f>IF(OR('Data Entry'!A1829="",$K1829=""),"",$H1829-$K1829)</f>
        <v/>
      </c>
      <c r="M1829" s="15">
        <f>IF(OR('Data Entry'!A1829="",$K1829="",$K1829=0),"",$L1829/$K1829)</f>
        <v/>
      </c>
      <c r="N1829" s="12">
        <f>IF('Data Entry'!A1829="","",IF($L1829="","New item",IF($L1829&gt;0,"UP",IF($L1829&lt;0,"down","same"))))</f>
        <v/>
      </c>
    </row>
    <row r="1830">
      <c r="A1830" s="11">
        <f>IF('Data Entry'!A1830="","",'Data Entry'!A1830)</f>
        <v/>
      </c>
      <c r="B1830" s="12">
        <f>IF('Data Entry'!A1830="","",'Data Entry'!B1830)</f>
        <v/>
      </c>
      <c r="C1830" s="12">
        <f>IF('Data Entry'!A1830="","",'Data Entry'!C1830)</f>
        <v/>
      </c>
      <c r="D1830" s="12">
        <f>IF('Data Entry'!A1830="","",'Data Entry'!D1830)</f>
        <v/>
      </c>
      <c r="E1830" s="12">
        <f>IF('Data Entry'!A1830="","",'Data Entry'!E1830)</f>
        <v/>
      </c>
      <c r="F1830" s="12">
        <f>IF('Data Entry'!A1830="","",'Data Entry'!F1830)</f>
        <v/>
      </c>
      <c r="G1830" s="13">
        <f>IF('Data Entry'!A1830="","",'Data Entry'!G1830)</f>
        <v/>
      </c>
      <c r="H1830" s="10">
        <f>IF('Data Entry'!A1830="","",'Data Entry'!H1830)</f>
        <v/>
      </c>
      <c r="I1830" s="10">
        <f>IF('Data Entry'!A1830="","",'Data Entry'!I1830)</f>
        <v/>
      </c>
      <c r="J1830" s="12">
        <f>IF('Data Entry'!A1830="","",IF('Data Entry'!D1830&lt;&gt;"",'Data Entry'!D1830,'Data Entry'!E1830))</f>
        <v/>
      </c>
      <c r="K1830" s="10">
        <f>IF('Data Entry'!A1830="","",IFERROR(SUMIFS($H$5:$H$2001,$J$5:$J$2001,$J1830,$B$5:$B$2001,$B1830,$A$5:$A$2001,(MAXIFS($A$5:$A$2001,$J$5:$J$2001,$J1830,$B$5:$B$2001,$B1830,$A$5:$A$2001,"&lt;"&amp;$A1830))),""))</f>
        <v/>
      </c>
      <c r="L1830" s="14">
        <f>IF(OR('Data Entry'!A1830="",$K1830=""),"",$H1830-$K1830)</f>
        <v/>
      </c>
      <c r="M1830" s="15">
        <f>IF(OR('Data Entry'!A1830="",$K1830="",$K1830=0),"",$L1830/$K1830)</f>
        <v/>
      </c>
      <c r="N1830" s="12">
        <f>IF('Data Entry'!A1830="","",IF($L1830="","New item",IF($L1830&gt;0,"UP",IF($L1830&lt;0,"down","same"))))</f>
        <v/>
      </c>
    </row>
    <row r="1831">
      <c r="A1831" s="11">
        <f>IF('Data Entry'!A1831="","",'Data Entry'!A1831)</f>
        <v/>
      </c>
      <c r="B1831" s="12">
        <f>IF('Data Entry'!A1831="","",'Data Entry'!B1831)</f>
        <v/>
      </c>
      <c r="C1831" s="12">
        <f>IF('Data Entry'!A1831="","",'Data Entry'!C1831)</f>
        <v/>
      </c>
      <c r="D1831" s="12">
        <f>IF('Data Entry'!A1831="","",'Data Entry'!D1831)</f>
        <v/>
      </c>
      <c r="E1831" s="12">
        <f>IF('Data Entry'!A1831="","",'Data Entry'!E1831)</f>
        <v/>
      </c>
      <c r="F1831" s="12">
        <f>IF('Data Entry'!A1831="","",'Data Entry'!F1831)</f>
        <v/>
      </c>
      <c r="G1831" s="13">
        <f>IF('Data Entry'!A1831="","",'Data Entry'!G1831)</f>
        <v/>
      </c>
      <c r="H1831" s="10">
        <f>IF('Data Entry'!A1831="","",'Data Entry'!H1831)</f>
        <v/>
      </c>
      <c r="I1831" s="10">
        <f>IF('Data Entry'!A1831="","",'Data Entry'!I1831)</f>
        <v/>
      </c>
      <c r="J1831" s="12">
        <f>IF('Data Entry'!A1831="","",IF('Data Entry'!D1831&lt;&gt;"",'Data Entry'!D1831,'Data Entry'!E1831))</f>
        <v/>
      </c>
      <c r="K1831" s="10">
        <f>IF('Data Entry'!A1831="","",IFERROR(SUMIFS($H$5:$H$2001,$J$5:$J$2001,$J1831,$B$5:$B$2001,$B1831,$A$5:$A$2001,(MAXIFS($A$5:$A$2001,$J$5:$J$2001,$J1831,$B$5:$B$2001,$B1831,$A$5:$A$2001,"&lt;"&amp;$A1831))),""))</f>
        <v/>
      </c>
      <c r="L1831" s="14">
        <f>IF(OR('Data Entry'!A1831="",$K1831=""),"",$H1831-$K1831)</f>
        <v/>
      </c>
      <c r="M1831" s="15">
        <f>IF(OR('Data Entry'!A1831="",$K1831="",$K1831=0),"",$L1831/$K1831)</f>
        <v/>
      </c>
      <c r="N1831" s="12">
        <f>IF('Data Entry'!A1831="","",IF($L1831="","New item",IF($L1831&gt;0,"UP",IF($L1831&lt;0,"down","same"))))</f>
        <v/>
      </c>
    </row>
    <row r="1832">
      <c r="A1832" s="11">
        <f>IF('Data Entry'!A1832="","",'Data Entry'!A1832)</f>
        <v/>
      </c>
      <c r="B1832" s="12">
        <f>IF('Data Entry'!A1832="","",'Data Entry'!B1832)</f>
        <v/>
      </c>
      <c r="C1832" s="12">
        <f>IF('Data Entry'!A1832="","",'Data Entry'!C1832)</f>
        <v/>
      </c>
      <c r="D1832" s="12">
        <f>IF('Data Entry'!A1832="","",'Data Entry'!D1832)</f>
        <v/>
      </c>
      <c r="E1832" s="12">
        <f>IF('Data Entry'!A1832="","",'Data Entry'!E1832)</f>
        <v/>
      </c>
      <c r="F1832" s="12">
        <f>IF('Data Entry'!A1832="","",'Data Entry'!F1832)</f>
        <v/>
      </c>
      <c r="G1832" s="13">
        <f>IF('Data Entry'!A1832="","",'Data Entry'!G1832)</f>
        <v/>
      </c>
      <c r="H1832" s="10">
        <f>IF('Data Entry'!A1832="","",'Data Entry'!H1832)</f>
        <v/>
      </c>
      <c r="I1832" s="10">
        <f>IF('Data Entry'!A1832="","",'Data Entry'!I1832)</f>
        <v/>
      </c>
      <c r="J1832" s="12">
        <f>IF('Data Entry'!A1832="","",IF('Data Entry'!D1832&lt;&gt;"",'Data Entry'!D1832,'Data Entry'!E1832))</f>
        <v/>
      </c>
      <c r="K1832" s="10">
        <f>IF('Data Entry'!A1832="","",IFERROR(SUMIFS($H$5:$H$2001,$J$5:$J$2001,$J1832,$B$5:$B$2001,$B1832,$A$5:$A$2001,(MAXIFS($A$5:$A$2001,$J$5:$J$2001,$J1832,$B$5:$B$2001,$B1832,$A$5:$A$2001,"&lt;"&amp;$A1832))),""))</f>
        <v/>
      </c>
      <c r="L1832" s="14">
        <f>IF(OR('Data Entry'!A1832="",$K1832=""),"",$H1832-$K1832)</f>
        <v/>
      </c>
      <c r="M1832" s="15">
        <f>IF(OR('Data Entry'!A1832="",$K1832="",$K1832=0),"",$L1832/$K1832)</f>
        <v/>
      </c>
      <c r="N1832" s="12">
        <f>IF('Data Entry'!A1832="","",IF($L1832="","New item",IF($L1832&gt;0,"UP",IF($L1832&lt;0,"down","same"))))</f>
        <v/>
      </c>
    </row>
    <row r="1833">
      <c r="A1833" s="11">
        <f>IF('Data Entry'!A1833="","",'Data Entry'!A1833)</f>
        <v/>
      </c>
      <c r="B1833" s="12">
        <f>IF('Data Entry'!A1833="","",'Data Entry'!B1833)</f>
        <v/>
      </c>
      <c r="C1833" s="12">
        <f>IF('Data Entry'!A1833="","",'Data Entry'!C1833)</f>
        <v/>
      </c>
      <c r="D1833" s="12">
        <f>IF('Data Entry'!A1833="","",'Data Entry'!D1833)</f>
        <v/>
      </c>
      <c r="E1833" s="12">
        <f>IF('Data Entry'!A1833="","",'Data Entry'!E1833)</f>
        <v/>
      </c>
      <c r="F1833" s="12">
        <f>IF('Data Entry'!A1833="","",'Data Entry'!F1833)</f>
        <v/>
      </c>
      <c r="G1833" s="13">
        <f>IF('Data Entry'!A1833="","",'Data Entry'!G1833)</f>
        <v/>
      </c>
      <c r="H1833" s="10">
        <f>IF('Data Entry'!A1833="","",'Data Entry'!H1833)</f>
        <v/>
      </c>
      <c r="I1833" s="10">
        <f>IF('Data Entry'!A1833="","",'Data Entry'!I1833)</f>
        <v/>
      </c>
      <c r="J1833" s="12">
        <f>IF('Data Entry'!A1833="","",IF('Data Entry'!D1833&lt;&gt;"",'Data Entry'!D1833,'Data Entry'!E1833))</f>
        <v/>
      </c>
      <c r="K1833" s="10">
        <f>IF('Data Entry'!A1833="","",IFERROR(SUMIFS($H$5:$H$2001,$J$5:$J$2001,$J1833,$B$5:$B$2001,$B1833,$A$5:$A$2001,(MAXIFS($A$5:$A$2001,$J$5:$J$2001,$J1833,$B$5:$B$2001,$B1833,$A$5:$A$2001,"&lt;"&amp;$A1833))),""))</f>
        <v/>
      </c>
      <c r="L1833" s="14">
        <f>IF(OR('Data Entry'!A1833="",$K1833=""),"",$H1833-$K1833)</f>
        <v/>
      </c>
      <c r="M1833" s="15">
        <f>IF(OR('Data Entry'!A1833="",$K1833="",$K1833=0),"",$L1833/$K1833)</f>
        <v/>
      </c>
      <c r="N1833" s="12">
        <f>IF('Data Entry'!A1833="","",IF($L1833="","New item",IF($L1833&gt;0,"UP",IF($L1833&lt;0,"down","same"))))</f>
        <v/>
      </c>
    </row>
    <row r="1834">
      <c r="A1834" s="11">
        <f>IF('Data Entry'!A1834="","",'Data Entry'!A1834)</f>
        <v/>
      </c>
      <c r="B1834" s="12">
        <f>IF('Data Entry'!A1834="","",'Data Entry'!B1834)</f>
        <v/>
      </c>
      <c r="C1834" s="12">
        <f>IF('Data Entry'!A1834="","",'Data Entry'!C1834)</f>
        <v/>
      </c>
      <c r="D1834" s="12">
        <f>IF('Data Entry'!A1834="","",'Data Entry'!D1834)</f>
        <v/>
      </c>
      <c r="E1834" s="12">
        <f>IF('Data Entry'!A1834="","",'Data Entry'!E1834)</f>
        <v/>
      </c>
      <c r="F1834" s="12">
        <f>IF('Data Entry'!A1834="","",'Data Entry'!F1834)</f>
        <v/>
      </c>
      <c r="G1834" s="13">
        <f>IF('Data Entry'!A1834="","",'Data Entry'!G1834)</f>
        <v/>
      </c>
      <c r="H1834" s="10">
        <f>IF('Data Entry'!A1834="","",'Data Entry'!H1834)</f>
        <v/>
      </c>
      <c r="I1834" s="10">
        <f>IF('Data Entry'!A1834="","",'Data Entry'!I1834)</f>
        <v/>
      </c>
      <c r="J1834" s="12">
        <f>IF('Data Entry'!A1834="","",IF('Data Entry'!D1834&lt;&gt;"",'Data Entry'!D1834,'Data Entry'!E1834))</f>
        <v/>
      </c>
      <c r="K1834" s="10">
        <f>IF('Data Entry'!A1834="","",IFERROR(SUMIFS($H$5:$H$2001,$J$5:$J$2001,$J1834,$B$5:$B$2001,$B1834,$A$5:$A$2001,(MAXIFS($A$5:$A$2001,$J$5:$J$2001,$J1834,$B$5:$B$2001,$B1834,$A$5:$A$2001,"&lt;"&amp;$A1834))),""))</f>
        <v/>
      </c>
      <c r="L1834" s="14">
        <f>IF(OR('Data Entry'!A1834="",$K1834=""),"",$H1834-$K1834)</f>
        <v/>
      </c>
      <c r="M1834" s="15">
        <f>IF(OR('Data Entry'!A1834="",$K1834="",$K1834=0),"",$L1834/$K1834)</f>
        <v/>
      </c>
      <c r="N1834" s="12">
        <f>IF('Data Entry'!A1834="","",IF($L1834="","New item",IF($L1834&gt;0,"UP",IF($L1834&lt;0,"down","same"))))</f>
        <v/>
      </c>
    </row>
    <row r="1835">
      <c r="A1835" s="11">
        <f>IF('Data Entry'!A1835="","",'Data Entry'!A1835)</f>
        <v/>
      </c>
      <c r="B1835" s="12">
        <f>IF('Data Entry'!A1835="","",'Data Entry'!B1835)</f>
        <v/>
      </c>
      <c r="C1835" s="12">
        <f>IF('Data Entry'!A1835="","",'Data Entry'!C1835)</f>
        <v/>
      </c>
      <c r="D1835" s="12">
        <f>IF('Data Entry'!A1835="","",'Data Entry'!D1835)</f>
        <v/>
      </c>
      <c r="E1835" s="12">
        <f>IF('Data Entry'!A1835="","",'Data Entry'!E1835)</f>
        <v/>
      </c>
      <c r="F1835" s="12">
        <f>IF('Data Entry'!A1835="","",'Data Entry'!F1835)</f>
        <v/>
      </c>
      <c r="G1835" s="13">
        <f>IF('Data Entry'!A1835="","",'Data Entry'!G1835)</f>
        <v/>
      </c>
      <c r="H1835" s="10">
        <f>IF('Data Entry'!A1835="","",'Data Entry'!H1835)</f>
        <v/>
      </c>
      <c r="I1835" s="10">
        <f>IF('Data Entry'!A1835="","",'Data Entry'!I1835)</f>
        <v/>
      </c>
      <c r="J1835" s="12">
        <f>IF('Data Entry'!A1835="","",IF('Data Entry'!D1835&lt;&gt;"",'Data Entry'!D1835,'Data Entry'!E1835))</f>
        <v/>
      </c>
      <c r="K1835" s="10">
        <f>IF('Data Entry'!A1835="","",IFERROR(SUMIFS($H$5:$H$2001,$J$5:$J$2001,$J1835,$B$5:$B$2001,$B1835,$A$5:$A$2001,(MAXIFS($A$5:$A$2001,$J$5:$J$2001,$J1835,$B$5:$B$2001,$B1835,$A$5:$A$2001,"&lt;"&amp;$A1835))),""))</f>
        <v/>
      </c>
      <c r="L1835" s="14">
        <f>IF(OR('Data Entry'!A1835="",$K1835=""),"",$H1835-$K1835)</f>
        <v/>
      </c>
      <c r="M1835" s="15">
        <f>IF(OR('Data Entry'!A1835="",$K1835="",$K1835=0),"",$L1835/$K1835)</f>
        <v/>
      </c>
      <c r="N1835" s="12">
        <f>IF('Data Entry'!A1835="","",IF($L1835="","New item",IF($L1835&gt;0,"UP",IF($L1835&lt;0,"down","same"))))</f>
        <v/>
      </c>
    </row>
    <row r="1836">
      <c r="A1836" s="11">
        <f>IF('Data Entry'!A1836="","",'Data Entry'!A1836)</f>
        <v/>
      </c>
      <c r="B1836" s="12">
        <f>IF('Data Entry'!A1836="","",'Data Entry'!B1836)</f>
        <v/>
      </c>
      <c r="C1836" s="12">
        <f>IF('Data Entry'!A1836="","",'Data Entry'!C1836)</f>
        <v/>
      </c>
      <c r="D1836" s="12">
        <f>IF('Data Entry'!A1836="","",'Data Entry'!D1836)</f>
        <v/>
      </c>
      <c r="E1836" s="12">
        <f>IF('Data Entry'!A1836="","",'Data Entry'!E1836)</f>
        <v/>
      </c>
      <c r="F1836" s="12">
        <f>IF('Data Entry'!A1836="","",'Data Entry'!F1836)</f>
        <v/>
      </c>
      <c r="G1836" s="13">
        <f>IF('Data Entry'!A1836="","",'Data Entry'!G1836)</f>
        <v/>
      </c>
      <c r="H1836" s="10">
        <f>IF('Data Entry'!A1836="","",'Data Entry'!H1836)</f>
        <v/>
      </c>
      <c r="I1836" s="10">
        <f>IF('Data Entry'!A1836="","",'Data Entry'!I1836)</f>
        <v/>
      </c>
      <c r="J1836" s="12">
        <f>IF('Data Entry'!A1836="","",IF('Data Entry'!D1836&lt;&gt;"",'Data Entry'!D1836,'Data Entry'!E1836))</f>
        <v/>
      </c>
      <c r="K1836" s="10">
        <f>IF('Data Entry'!A1836="","",IFERROR(SUMIFS($H$5:$H$2001,$J$5:$J$2001,$J1836,$B$5:$B$2001,$B1836,$A$5:$A$2001,(MAXIFS($A$5:$A$2001,$J$5:$J$2001,$J1836,$B$5:$B$2001,$B1836,$A$5:$A$2001,"&lt;"&amp;$A1836))),""))</f>
        <v/>
      </c>
      <c r="L1836" s="14">
        <f>IF(OR('Data Entry'!A1836="",$K1836=""),"",$H1836-$K1836)</f>
        <v/>
      </c>
      <c r="M1836" s="15">
        <f>IF(OR('Data Entry'!A1836="",$K1836="",$K1836=0),"",$L1836/$K1836)</f>
        <v/>
      </c>
      <c r="N1836" s="12">
        <f>IF('Data Entry'!A1836="","",IF($L1836="","New item",IF($L1836&gt;0,"UP",IF($L1836&lt;0,"down","same"))))</f>
        <v/>
      </c>
    </row>
    <row r="1837">
      <c r="A1837" s="11">
        <f>IF('Data Entry'!A1837="","",'Data Entry'!A1837)</f>
        <v/>
      </c>
      <c r="B1837" s="12">
        <f>IF('Data Entry'!A1837="","",'Data Entry'!B1837)</f>
        <v/>
      </c>
      <c r="C1837" s="12">
        <f>IF('Data Entry'!A1837="","",'Data Entry'!C1837)</f>
        <v/>
      </c>
      <c r="D1837" s="12">
        <f>IF('Data Entry'!A1837="","",'Data Entry'!D1837)</f>
        <v/>
      </c>
      <c r="E1837" s="12">
        <f>IF('Data Entry'!A1837="","",'Data Entry'!E1837)</f>
        <v/>
      </c>
      <c r="F1837" s="12">
        <f>IF('Data Entry'!A1837="","",'Data Entry'!F1837)</f>
        <v/>
      </c>
      <c r="G1837" s="13">
        <f>IF('Data Entry'!A1837="","",'Data Entry'!G1837)</f>
        <v/>
      </c>
      <c r="H1837" s="10">
        <f>IF('Data Entry'!A1837="","",'Data Entry'!H1837)</f>
        <v/>
      </c>
      <c r="I1837" s="10">
        <f>IF('Data Entry'!A1837="","",'Data Entry'!I1837)</f>
        <v/>
      </c>
      <c r="J1837" s="12">
        <f>IF('Data Entry'!A1837="","",IF('Data Entry'!D1837&lt;&gt;"",'Data Entry'!D1837,'Data Entry'!E1837))</f>
        <v/>
      </c>
      <c r="K1837" s="10">
        <f>IF('Data Entry'!A1837="","",IFERROR(SUMIFS($H$5:$H$2001,$J$5:$J$2001,$J1837,$B$5:$B$2001,$B1837,$A$5:$A$2001,(MAXIFS($A$5:$A$2001,$J$5:$J$2001,$J1837,$B$5:$B$2001,$B1837,$A$5:$A$2001,"&lt;"&amp;$A1837))),""))</f>
        <v/>
      </c>
      <c r="L1837" s="14">
        <f>IF(OR('Data Entry'!A1837="",$K1837=""),"",$H1837-$K1837)</f>
        <v/>
      </c>
      <c r="M1837" s="15">
        <f>IF(OR('Data Entry'!A1837="",$K1837="",$K1837=0),"",$L1837/$K1837)</f>
        <v/>
      </c>
      <c r="N1837" s="12">
        <f>IF('Data Entry'!A1837="","",IF($L1837="","New item",IF($L1837&gt;0,"UP",IF($L1837&lt;0,"down","same"))))</f>
        <v/>
      </c>
    </row>
    <row r="1838">
      <c r="A1838" s="11">
        <f>IF('Data Entry'!A1838="","",'Data Entry'!A1838)</f>
        <v/>
      </c>
      <c r="B1838" s="12">
        <f>IF('Data Entry'!A1838="","",'Data Entry'!B1838)</f>
        <v/>
      </c>
      <c r="C1838" s="12">
        <f>IF('Data Entry'!A1838="","",'Data Entry'!C1838)</f>
        <v/>
      </c>
      <c r="D1838" s="12">
        <f>IF('Data Entry'!A1838="","",'Data Entry'!D1838)</f>
        <v/>
      </c>
      <c r="E1838" s="12">
        <f>IF('Data Entry'!A1838="","",'Data Entry'!E1838)</f>
        <v/>
      </c>
      <c r="F1838" s="12">
        <f>IF('Data Entry'!A1838="","",'Data Entry'!F1838)</f>
        <v/>
      </c>
      <c r="G1838" s="13">
        <f>IF('Data Entry'!A1838="","",'Data Entry'!G1838)</f>
        <v/>
      </c>
      <c r="H1838" s="10">
        <f>IF('Data Entry'!A1838="","",'Data Entry'!H1838)</f>
        <v/>
      </c>
      <c r="I1838" s="10">
        <f>IF('Data Entry'!A1838="","",'Data Entry'!I1838)</f>
        <v/>
      </c>
      <c r="J1838" s="12">
        <f>IF('Data Entry'!A1838="","",IF('Data Entry'!D1838&lt;&gt;"",'Data Entry'!D1838,'Data Entry'!E1838))</f>
        <v/>
      </c>
      <c r="K1838" s="10">
        <f>IF('Data Entry'!A1838="","",IFERROR(SUMIFS($H$5:$H$2001,$J$5:$J$2001,$J1838,$B$5:$B$2001,$B1838,$A$5:$A$2001,(MAXIFS($A$5:$A$2001,$J$5:$J$2001,$J1838,$B$5:$B$2001,$B1838,$A$5:$A$2001,"&lt;"&amp;$A1838))),""))</f>
        <v/>
      </c>
      <c r="L1838" s="14">
        <f>IF(OR('Data Entry'!A1838="",$K1838=""),"",$H1838-$K1838)</f>
        <v/>
      </c>
      <c r="M1838" s="15">
        <f>IF(OR('Data Entry'!A1838="",$K1838="",$K1838=0),"",$L1838/$K1838)</f>
        <v/>
      </c>
      <c r="N1838" s="12">
        <f>IF('Data Entry'!A1838="","",IF($L1838="","New item",IF($L1838&gt;0,"UP",IF($L1838&lt;0,"down","same"))))</f>
        <v/>
      </c>
    </row>
    <row r="1839">
      <c r="A1839" s="11">
        <f>IF('Data Entry'!A1839="","",'Data Entry'!A1839)</f>
        <v/>
      </c>
      <c r="B1839" s="12">
        <f>IF('Data Entry'!A1839="","",'Data Entry'!B1839)</f>
        <v/>
      </c>
      <c r="C1839" s="12">
        <f>IF('Data Entry'!A1839="","",'Data Entry'!C1839)</f>
        <v/>
      </c>
      <c r="D1839" s="12">
        <f>IF('Data Entry'!A1839="","",'Data Entry'!D1839)</f>
        <v/>
      </c>
      <c r="E1839" s="12">
        <f>IF('Data Entry'!A1839="","",'Data Entry'!E1839)</f>
        <v/>
      </c>
      <c r="F1839" s="12">
        <f>IF('Data Entry'!A1839="","",'Data Entry'!F1839)</f>
        <v/>
      </c>
      <c r="G1839" s="13">
        <f>IF('Data Entry'!A1839="","",'Data Entry'!G1839)</f>
        <v/>
      </c>
      <c r="H1839" s="10">
        <f>IF('Data Entry'!A1839="","",'Data Entry'!H1839)</f>
        <v/>
      </c>
      <c r="I1839" s="10">
        <f>IF('Data Entry'!A1839="","",'Data Entry'!I1839)</f>
        <v/>
      </c>
      <c r="J1839" s="12">
        <f>IF('Data Entry'!A1839="","",IF('Data Entry'!D1839&lt;&gt;"",'Data Entry'!D1839,'Data Entry'!E1839))</f>
        <v/>
      </c>
      <c r="K1839" s="10">
        <f>IF('Data Entry'!A1839="","",IFERROR(SUMIFS($H$5:$H$2001,$J$5:$J$2001,$J1839,$B$5:$B$2001,$B1839,$A$5:$A$2001,(MAXIFS($A$5:$A$2001,$J$5:$J$2001,$J1839,$B$5:$B$2001,$B1839,$A$5:$A$2001,"&lt;"&amp;$A1839))),""))</f>
        <v/>
      </c>
      <c r="L1839" s="14">
        <f>IF(OR('Data Entry'!A1839="",$K1839=""),"",$H1839-$K1839)</f>
        <v/>
      </c>
      <c r="M1839" s="15">
        <f>IF(OR('Data Entry'!A1839="",$K1839="",$K1839=0),"",$L1839/$K1839)</f>
        <v/>
      </c>
      <c r="N1839" s="12">
        <f>IF('Data Entry'!A1839="","",IF($L1839="","New item",IF($L1839&gt;0,"UP",IF($L1839&lt;0,"down","same"))))</f>
        <v/>
      </c>
    </row>
    <row r="1840">
      <c r="A1840" s="11">
        <f>IF('Data Entry'!A1840="","",'Data Entry'!A1840)</f>
        <v/>
      </c>
      <c r="B1840" s="12">
        <f>IF('Data Entry'!A1840="","",'Data Entry'!B1840)</f>
        <v/>
      </c>
      <c r="C1840" s="12">
        <f>IF('Data Entry'!A1840="","",'Data Entry'!C1840)</f>
        <v/>
      </c>
      <c r="D1840" s="12">
        <f>IF('Data Entry'!A1840="","",'Data Entry'!D1840)</f>
        <v/>
      </c>
      <c r="E1840" s="12">
        <f>IF('Data Entry'!A1840="","",'Data Entry'!E1840)</f>
        <v/>
      </c>
      <c r="F1840" s="12">
        <f>IF('Data Entry'!A1840="","",'Data Entry'!F1840)</f>
        <v/>
      </c>
      <c r="G1840" s="13">
        <f>IF('Data Entry'!A1840="","",'Data Entry'!G1840)</f>
        <v/>
      </c>
      <c r="H1840" s="10">
        <f>IF('Data Entry'!A1840="","",'Data Entry'!H1840)</f>
        <v/>
      </c>
      <c r="I1840" s="10">
        <f>IF('Data Entry'!A1840="","",'Data Entry'!I1840)</f>
        <v/>
      </c>
      <c r="J1840" s="12">
        <f>IF('Data Entry'!A1840="","",IF('Data Entry'!D1840&lt;&gt;"",'Data Entry'!D1840,'Data Entry'!E1840))</f>
        <v/>
      </c>
      <c r="K1840" s="10">
        <f>IF('Data Entry'!A1840="","",IFERROR(SUMIFS($H$5:$H$2001,$J$5:$J$2001,$J1840,$B$5:$B$2001,$B1840,$A$5:$A$2001,(MAXIFS($A$5:$A$2001,$J$5:$J$2001,$J1840,$B$5:$B$2001,$B1840,$A$5:$A$2001,"&lt;"&amp;$A1840))),""))</f>
        <v/>
      </c>
      <c r="L1840" s="14">
        <f>IF(OR('Data Entry'!A1840="",$K1840=""),"",$H1840-$K1840)</f>
        <v/>
      </c>
      <c r="M1840" s="15">
        <f>IF(OR('Data Entry'!A1840="",$K1840="",$K1840=0),"",$L1840/$K1840)</f>
        <v/>
      </c>
      <c r="N1840" s="12">
        <f>IF('Data Entry'!A1840="","",IF($L1840="","New item",IF($L1840&gt;0,"UP",IF($L1840&lt;0,"down","same"))))</f>
        <v/>
      </c>
    </row>
    <row r="1841">
      <c r="A1841" s="11">
        <f>IF('Data Entry'!A1841="","",'Data Entry'!A1841)</f>
        <v/>
      </c>
      <c r="B1841" s="12">
        <f>IF('Data Entry'!A1841="","",'Data Entry'!B1841)</f>
        <v/>
      </c>
      <c r="C1841" s="12">
        <f>IF('Data Entry'!A1841="","",'Data Entry'!C1841)</f>
        <v/>
      </c>
      <c r="D1841" s="12">
        <f>IF('Data Entry'!A1841="","",'Data Entry'!D1841)</f>
        <v/>
      </c>
      <c r="E1841" s="12">
        <f>IF('Data Entry'!A1841="","",'Data Entry'!E1841)</f>
        <v/>
      </c>
      <c r="F1841" s="12">
        <f>IF('Data Entry'!A1841="","",'Data Entry'!F1841)</f>
        <v/>
      </c>
      <c r="G1841" s="13">
        <f>IF('Data Entry'!A1841="","",'Data Entry'!G1841)</f>
        <v/>
      </c>
      <c r="H1841" s="10">
        <f>IF('Data Entry'!A1841="","",'Data Entry'!H1841)</f>
        <v/>
      </c>
      <c r="I1841" s="10">
        <f>IF('Data Entry'!A1841="","",'Data Entry'!I1841)</f>
        <v/>
      </c>
      <c r="J1841" s="12">
        <f>IF('Data Entry'!A1841="","",IF('Data Entry'!D1841&lt;&gt;"",'Data Entry'!D1841,'Data Entry'!E1841))</f>
        <v/>
      </c>
      <c r="K1841" s="10">
        <f>IF('Data Entry'!A1841="","",IFERROR(SUMIFS($H$5:$H$2001,$J$5:$J$2001,$J1841,$B$5:$B$2001,$B1841,$A$5:$A$2001,(MAXIFS($A$5:$A$2001,$J$5:$J$2001,$J1841,$B$5:$B$2001,$B1841,$A$5:$A$2001,"&lt;"&amp;$A1841))),""))</f>
        <v/>
      </c>
      <c r="L1841" s="14">
        <f>IF(OR('Data Entry'!A1841="",$K1841=""),"",$H1841-$K1841)</f>
        <v/>
      </c>
      <c r="M1841" s="15">
        <f>IF(OR('Data Entry'!A1841="",$K1841="",$K1841=0),"",$L1841/$K1841)</f>
        <v/>
      </c>
      <c r="N1841" s="12">
        <f>IF('Data Entry'!A1841="","",IF($L1841="","New item",IF($L1841&gt;0,"UP",IF($L1841&lt;0,"down","same"))))</f>
        <v/>
      </c>
    </row>
    <row r="1842">
      <c r="A1842" s="11">
        <f>IF('Data Entry'!A1842="","",'Data Entry'!A1842)</f>
        <v/>
      </c>
      <c r="B1842" s="12">
        <f>IF('Data Entry'!A1842="","",'Data Entry'!B1842)</f>
        <v/>
      </c>
      <c r="C1842" s="12">
        <f>IF('Data Entry'!A1842="","",'Data Entry'!C1842)</f>
        <v/>
      </c>
      <c r="D1842" s="12">
        <f>IF('Data Entry'!A1842="","",'Data Entry'!D1842)</f>
        <v/>
      </c>
      <c r="E1842" s="12">
        <f>IF('Data Entry'!A1842="","",'Data Entry'!E1842)</f>
        <v/>
      </c>
      <c r="F1842" s="12">
        <f>IF('Data Entry'!A1842="","",'Data Entry'!F1842)</f>
        <v/>
      </c>
      <c r="G1842" s="13">
        <f>IF('Data Entry'!A1842="","",'Data Entry'!G1842)</f>
        <v/>
      </c>
      <c r="H1842" s="10">
        <f>IF('Data Entry'!A1842="","",'Data Entry'!H1842)</f>
        <v/>
      </c>
      <c r="I1842" s="10">
        <f>IF('Data Entry'!A1842="","",'Data Entry'!I1842)</f>
        <v/>
      </c>
      <c r="J1842" s="12">
        <f>IF('Data Entry'!A1842="","",IF('Data Entry'!D1842&lt;&gt;"",'Data Entry'!D1842,'Data Entry'!E1842))</f>
        <v/>
      </c>
      <c r="K1842" s="10">
        <f>IF('Data Entry'!A1842="","",IFERROR(SUMIFS($H$5:$H$2001,$J$5:$J$2001,$J1842,$B$5:$B$2001,$B1842,$A$5:$A$2001,(MAXIFS($A$5:$A$2001,$J$5:$J$2001,$J1842,$B$5:$B$2001,$B1842,$A$5:$A$2001,"&lt;"&amp;$A1842))),""))</f>
        <v/>
      </c>
      <c r="L1842" s="14">
        <f>IF(OR('Data Entry'!A1842="",$K1842=""),"",$H1842-$K1842)</f>
        <v/>
      </c>
      <c r="M1842" s="15">
        <f>IF(OR('Data Entry'!A1842="",$K1842="",$K1842=0),"",$L1842/$K1842)</f>
        <v/>
      </c>
      <c r="N1842" s="12">
        <f>IF('Data Entry'!A1842="","",IF($L1842="","New item",IF($L1842&gt;0,"UP",IF($L1842&lt;0,"down","same"))))</f>
        <v/>
      </c>
    </row>
    <row r="1843">
      <c r="A1843" s="11">
        <f>IF('Data Entry'!A1843="","",'Data Entry'!A1843)</f>
        <v/>
      </c>
      <c r="B1843" s="12">
        <f>IF('Data Entry'!A1843="","",'Data Entry'!B1843)</f>
        <v/>
      </c>
      <c r="C1843" s="12">
        <f>IF('Data Entry'!A1843="","",'Data Entry'!C1843)</f>
        <v/>
      </c>
      <c r="D1843" s="12">
        <f>IF('Data Entry'!A1843="","",'Data Entry'!D1843)</f>
        <v/>
      </c>
      <c r="E1843" s="12">
        <f>IF('Data Entry'!A1843="","",'Data Entry'!E1843)</f>
        <v/>
      </c>
      <c r="F1843" s="12">
        <f>IF('Data Entry'!A1843="","",'Data Entry'!F1843)</f>
        <v/>
      </c>
      <c r="G1843" s="13">
        <f>IF('Data Entry'!A1843="","",'Data Entry'!G1843)</f>
        <v/>
      </c>
      <c r="H1843" s="10">
        <f>IF('Data Entry'!A1843="","",'Data Entry'!H1843)</f>
        <v/>
      </c>
      <c r="I1843" s="10">
        <f>IF('Data Entry'!A1843="","",'Data Entry'!I1843)</f>
        <v/>
      </c>
      <c r="J1843" s="12">
        <f>IF('Data Entry'!A1843="","",IF('Data Entry'!D1843&lt;&gt;"",'Data Entry'!D1843,'Data Entry'!E1843))</f>
        <v/>
      </c>
      <c r="K1843" s="10">
        <f>IF('Data Entry'!A1843="","",IFERROR(SUMIFS($H$5:$H$2001,$J$5:$J$2001,$J1843,$B$5:$B$2001,$B1843,$A$5:$A$2001,(MAXIFS($A$5:$A$2001,$J$5:$J$2001,$J1843,$B$5:$B$2001,$B1843,$A$5:$A$2001,"&lt;"&amp;$A1843))),""))</f>
        <v/>
      </c>
      <c r="L1843" s="14">
        <f>IF(OR('Data Entry'!A1843="",$K1843=""),"",$H1843-$K1843)</f>
        <v/>
      </c>
      <c r="M1843" s="15">
        <f>IF(OR('Data Entry'!A1843="",$K1843="",$K1843=0),"",$L1843/$K1843)</f>
        <v/>
      </c>
      <c r="N1843" s="12">
        <f>IF('Data Entry'!A1843="","",IF($L1843="","New item",IF($L1843&gt;0,"UP",IF($L1843&lt;0,"down","same"))))</f>
        <v/>
      </c>
    </row>
    <row r="1844">
      <c r="A1844" s="11">
        <f>IF('Data Entry'!A1844="","",'Data Entry'!A1844)</f>
        <v/>
      </c>
      <c r="B1844" s="12">
        <f>IF('Data Entry'!A1844="","",'Data Entry'!B1844)</f>
        <v/>
      </c>
      <c r="C1844" s="12">
        <f>IF('Data Entry'!A1844="","",'Data Entry'!C1844)</f>
        <v/>
      </c>
      <c r="D1844" s="12">
        <f>IF('Data Entry'!A1844="","",'Data Entry'!D1844)</f>
        <v/>
      </c>
      <c r="E1844" s="12">
        <f>IF('Data Entry'!A1844="","",'Data Entry'!E1844)</f>
        <v/>
      </c>
      <c r="F1844" s="12">
        <f>IF('Data Entry'!A1844="","",'Data Entry'!F1844)</f>
        <v/>
      </c>
      <c r="G1844" s="13">
        <f>IF('Data Entry'!A1844="","",'Data Entry'!G1844)</f>
        <v/>
      </c>
      <c r="H1844" s="10">
        <f>IF('Data Entry'!A1844="","",'Data Entry'!H1844)</f>
        <v/>
      </c>
      <c r="I1844" s="10">
        <f>IF('Data Entry'!A1844="","",'Data Entry'!I1844)</f>
        <v/>
      </c>
      <c r="J1844" s="12">
        <f>IF('Data Entry'!A1844="","",IF('Data Entry'!D1844&lt;&gt;"",'Data Entry'!D1844,'Data Entry'!E1844))</f>
        <v/>
      </c>
      <c r="K1844" s="10">
        <f>IF('Data Entry'!A1844="","",IFERROR(SUMIFS($H$5:$H$2001,$J$5:$J$2001,$J1844,$B$5:$B$2001,$B1844,$A$5:$A$2001,(MAXIFS($A$5:$A$2001,$J$5:$J$2001,$J1844,$B$5:$B$2001,$B1844,$A$5:$A$2001,"&lt;"&amp;$A1844))),""))</f>
        <v/>
      </c>
      <c r="L1844" s="14">
        <f>IF(OR('Data Entry'!A1844="",$K1844=""),"",$H1844-$K1844)</f>
        <v/>
      </c>
      <c r="M1844" s="15">
        <f>IF(OR('Data Entry'!A1844="",$K1844="",$K1844=0),"",$L1844/$K1844)</f>
        <v/>
      </c>
      <c r="N1844" s="12">
        <f>IF('Data Entry'!A1844="","",IF($L1844="","New item",IF($L1844&gt;0,"UP",IF($L1844&lt;0,"down","same"))))</f>
        <v/>
      </c>
    </row>
    <row r="1845">
      <c r="A1845" s="11">
        <f>IF('Data Entry'!A1845="","",'Data Entry'!A1845)</f>
        <v/>
      </c>
      <c r="B1845" s="12">
        <f>IF('Data Entry'!A1845="","",'Data Entry'!B1845)</f>
        <v/>
      </c>
      <c r="C1845" s="12">
        <f>IF('Data Entry'!A1845="","",'Data Entry'!C1845)</f>
        <v/>
      </c>
      <c r="D1845" s="12">
        <f>IF('Data Entry'!A1845="","",'Data Entry'!D1845)</f>
        <v/>
      </c>
      <c r="E1845" s="12">
        <f>IF('Data Entry'!A1845="","",'Data Entry'!E1845)</f>
        <v/>
      </c>
      <c r="F1845" s="12">
        <f>IF('Data Entry'!A1845="","",'Data Entry'!F1845)</f>
        <v/>
      </c>
      <c r="G1845" s="13">
        <f>IF('Data Entry'!A1845="","",'Data Entry'!G1845)</f>
        <v/>
      </c>
      <c r="H1845" s="10">
        <f>IF('Data Entry'!A1845="","",'Data Entry'!H1845)</f>
        <v/>
      </c>
      <c r="I1845" s="10">
        <f>IF('Data Entry'!A1845="","",'Data Entry'!I1845)</f>
        <v/>
      </c>
      <c r="J1845" s="12">
        <f>IF('Data Entry'!A1845="","",IF('Data Entry'!D1845&lt;&gt;"",'Data Entry'!D1845,'Data Entry'!E1845))</f>
        <v/>
      </c>
      <c r="K1845" s="10">
        <f>IF('Data Entry'!A1845="","",IFERROR(SUMIFS($H$5:$H$2001,$J$5:$J$2001,$J1845,$B$5:$B$2001,$B1845,$A$5:$A$2001,(MAXIFS($A$5:$A$2001,$J$5:$J$2001,$J1845,$B$5:$B$2001,$B1845,$A$5:$A$2001,"&lt;"&amp;$A1845))),""))</f>
        <v/>
      </c>
      <c r="L1845" s="14">
        <f>IF(OR('Data Entry'!A1845="",$K1845=""),"",$H1845-$K1845)</f>
        <v/>
      </c>
      <c r="M1845" s="15">
        <f>IF(OR('Data Entry'!A1845="",$K1845="",$K1845=0),"",$L1845/$K1845)</f>
        <v/>
      </c>
      <c r="N1845" s="12">
        <f>IF('Data Entry'!A1845="","",IF($L1845="","New item",IF($L1845&gt;0,"UP",IF($L1845&lt;0,"down","same"))))</f>
        <v/>
      </c>
    </row>
    <row r="1846">
      <c r="A1846" s="11">
        <f>IF('Data Entry'!A1846="","",'Data Entry'!A1846)</f>
        <v/>
      </c>
      <c r="B1846" s="12">
        <f>IF('Data Entry'!A1846="","",'Data Entry'!B1846)</f>
        <v/>
      </c>
      <c r="C1846" s="12">
        <f>IF('Data Entry'!A1846="","",'Data Entry'!C1846)</f>
        <v/>
      </c>
      <c r="D1846" s="12">
        <f>IF('Data Entry'!A1846="","",'Data Entry'!D1846)</f>
        <v/>
      </c>
      <c r="E1846" s="12">
        <f>IF('Data Entry'!A1846="","",'Data Entry'!E1846)</f>
        <v/>
      </c>
      <c r="F1846" s="12">
        <f>IF('Data Entry'!A1846="","",'Data Entry'!F1846)</f>
        <v/>
      </c>
      <c r="G1846" s="13">
        <f>IF('Data Entry'!A1846="","",'Data Entry'!G1846)</f>
        <v/>
      </c>
      <c r="H1846" s="10">
        <f>IF('Data Entry'!A1846="","",'Data Entry'!H1846)</f>
        <v/>
      </c>
      <c r="I1846" s="10">
        <f>IF('Data Entry'!A1846="","",'Data Entry'!I1846)</f>
        <v/>
      </c>
      <c r="J1846" s="12">
        <f>IF('Data Entry'!A1846="","",IF('Data Entry'!D1846&lt;&gt;"",'Data Entry'!D1846,'Data Entry'!E1846))</f>
        <v/>
      </c>
      <c r="K1846" s="10">
        <f>IF('Data Entry'!A1846="","",IFERROR(SUMIFS($H$5:$H$2001,$J$5:$J$2001,$J1846,$B$5:$B$2001,$B1846,$A$5:$A$2001,(MAXIFS($A$5:$A$2001,$J$5:$J$2001,$J1846,$B$5:$B$2001,$B1846,$A$5:$A$2001,"&lt;"&amp;$A1846))),""))</f>
        <v/>
      </c>
      <c r="L1846" s="14">
        <f>IF(OR('Data Entry'!A1846="",$K1846=""),"",$H1846-$K1846)</f>
        <v/>
      </c>
      <c r="M1846" s="15">
        <f>IF(OR('Data Entry'!A1846="",$K1846="",$K1846=0),"",$L1846/$K1846)</f>
        <v/>
      </c>
      <c r="N1846" s="12">
        <f>IF('Data Entry'!A1846="","",IF($L1846="","New item",IF($L1846&gt;0,"UP",IF($L1846&lt;0,"down","same"))))</f>
        <v/>
      </c>
    </row>
    <row r="1847">
      <c r="A1847" s="11">
        <f>IF('Data Entry'!A1847="","",'Data Entry'!A1847)</f>
        <v/>
      </c>
      <c r="B1847" s="12">
        <f>IF('Data Entry'!A1847="","",'Data Entry'!B1847)</f>
        <v/>
      </c>
      <c r="C1847" s="12">
        <f>IF('Data Entry'!A1847="","",'Data Entry'!C1847)</f>
        <v/>
      </c>
      <c r="D1847" s="12">
        <f>IF('Data Entry'!A1847="","",'Data Entry'!D1847)</f>
        <v/>
      </c>
      <c r="E1847" s="12">
        <f>IF('Data Entry'!A1847="","",'Data Entry'!E1847)</f>
        <v/>
      </c>
      <c r="F1847" s="12">
        <f>IF('Data Entry'!A1847="","",'Data Entry'!F1847)</f>
        <v/>
      </c>
      <c r="G1847" s="13">
        <f>IF('Data Entry'!A1847="","",'Data Entry'!G1847)</f>
        <v/>
      </c>
      <c r="H1847" s="10">
        <f>IF('Data Entry'!A1847="","",'Data Entry'!H1847)</f>
        <v/>
      </c>
      <c r="I1847" s="10">
        <f>IF('Data Entry'!A1847="","",'Data Entry'!I1847)</f>
        <v/>
      </c>
      <c r="J1847" s="12">
        <f>IF('Data Entry'!A1847="","",IF('Data Entry'!D1847&lt;&gt;"",'Data Entry'!D1847,'Data Entry'!E1847))</f>
        <v/>
      </c>
      <c r="K1847" s="10">
        <f>IF('Data Entry'!A1847="","",IFERROR(SUMIFS($H$5:$H$2001,$J$5:$J$2001,$J1847,$B$5:$B$2001,$B1847,$A$5:$A$2001,(MAXIFS($A$5:$A$2001,$J$5:$J$2001,$J1847,$B$5:$B$2001,$B1847,$A$5:$A$2001,"&lt;"&amp;$A1847))),""))</f>
        <v/>
      </c>
      <c r="L1847" s="14">
        <f>IF(OR('Data Entry'!A1847="",$K1847=""),"",$H1847-$K1847)</f>
        <v/>
      </c>
      <c r="M1847" s="15">
        <f>IF(OR('Data Entry'!A1847="",$K1847="",$K1847=0),"",$L1847/$K1847)</f>
        <v/>
      </c>
      <c r="N1847" s="12">
        <f>IF('Data Entry'!A1847="","",IF($L1847="","New item",IF($L1847&gt;0,"UP",IF($L1847&lt;0,"down","same"))))</f>
        <v/>
      </c>
    </row>
    <row r="1848">
      <c r="A1848" s="11">
        <f>IF('Data Entry'!A1848="","",'Data Entry'!A1848)</f>
        <v/>
      </c>
      <c r="B1848" s="12">
        <f>IF('Data Entry'!A1848="","",'Data Entry'!B1848)</f>
        <v/>
      </c>
      <c r="C1848" s="12">
        <f>IF('Data Entry'!A1848="","",'Data Entry'!C1848)</f>
        <v/>
      </c>
      <c r="D1848" s="12">
        <f>IF('Data Entry'!A1848="","",'Data Entry'!D1848)</f>
        <v/>
      </c>
      <c r="E1848" s="12">
        <f>IF('Data Entry'!A1848="","",'Data Entry'!E1848)</f>
        <v/>
      </c>
      <c r="F1848" s="12">
        <f>IF('Data Entry'!A1848="","",'Data Entry'!F1848)</f>
        <v/>
      </c>
      <c r="G1848" s="13">
        <f>IF('Data Entry'!A1848="","",'Data Entry'!G1848)</f>
        <v/>
      </c>
      <c r="H1848" s="10">
        <f>IF('Data Entry'!A1848="","",'Data Entry'!H1848)</f>
        <v/>
      </c>
      <c r="I1848" s="10">
        <f>IF('Data Entry'!A1848="","",'Data Entry'!I1848)</f>
        <v/>
      </c>
      <c r="J1848" s="12">
        <f>IF('Data Entry'!A1848="","",IF('Data Entry'!D1848&lt;&gt;"",'Data Entry'!D1848,'Data Entry'!E1848))</f>
        <v/>
      </c>
      <c r="K1848" s="10">
        <f>IF('Data Entry'!A1848="","",IFERROR(SUMIFS($H$5:$H$2001,$J$5:$J$2001,$J1848,$B$5:$B$2001,$B1848,$A$5:$A$2001,(MAXIFS($A$5:$A$2001,$J$5:$J$2001,$J1848,$B$5:$B$2001,$B1848,$A$5:$A$2001,"&lt;"&amp;$A1848))),""))</f>
        <v/>
      </c>
      <c r="L1848" s="14">
        <f>IF(OR('Data Entry'!A1848="",$K1848=""),"",$H1848-$K1848)</f>
        <v/>
      </c>
      <c r="M1848" s="15">
        <f>IF(OR('Data Entry'!A1848="",$K1848="",$K1848=0),"",$L1848/$K1848)</f>
        <v/>
      </c>
      <c r="N1848" s="12">
        <f>IF('Data Entry'!A1848="","",IF($L1848="","New item",IF($L1848&gt;0,"UP",IF($L1848&lt;0,"down","same"))))</f>
        <v/>
      </c>
    </row>
    <row r="1849">
      <c r="A1849" s="11">
        <f>IF('Data Entry'!A1849="","",'Data Entry'!A1849)</f>
        <v/>
      </c>
      <c r="B1849" s="12">
        <f>IF('Data Entry'!A1849="","",'Data Entry'!B1849)</f>
        <v/>
      </c>
      <c r="C1849" s="12">
        <f>IF('Data Entry'!A1849="","",'Data Entry'!C1849)</f>
        <v/>
      </c>
      <c r="D1849" s="12">
        <f>IF('Data Entry'!A1849="","",'Data Entry'!D1849)</f>
        <v/>
      </c>
      <c r="E1849" s="12">
        <f>IF('Data Entry'!A1849="","",'Data Entry'!E1849)</f>
        <v/>
      </c>
      <c r="F1849" s="12">
        <f>IF('Data Entry'!A1849="","",'Data Entry'!F1849)</f>
        <v/>
      </c>
      <c r="G1849" s="13">
        <f>IF('Data Entry'!A1849="","",'Data Entry'!G1849)</f>
        <v/>
      </c>
      <c r="H1849" s="10">
        <f>IF('Data Entry'!A1849="","",'Data Entry'!H1849)</f>
        <v/>
      </c>
      <c r="I1849" s="10">
        <f>IF('Data Entry'!A1849="","",'Data Entry'!I1849)</f>
        <v/>
      </c>
      <c r="J1849" s="12">
        <f>IF('Data Entry'!A1849="","",IF('Data Entry'!D1849&lt;&gt;"",'Data Entry'!D1849,'Data Entry'!E1849))</f>
        <v/>
      </c>
      <c r="K1849" s="10">
        <f>IF('Data Entry'!A1849="","",IFERROR(SUMIFS($H$5:$H$2001,$J$5:$J$2001,$J1849,$B$5:$B$2001,$B1849,$A$5:$A$2001,(MAXIFS($A$5:$A$2001,$J$5:$J$2001,$J1849,$B$5:$B$2001,$B1849,$A$5:$A$2001,"&lt;"&amp;$A1849))),""))</f>
        <v/>
      </c>
      <c r="L1849" s="14">
        <f>IF(OR('Data Entry'!A1849="",$K1849=""),"",$H1849-$K1849)</f>
        <v/>
      </c>
      <c r="M1849" s="15">
        <f>IF(OR('Data Entry'!A1849="",$K1849="",$K1849=0),"",$L1849/$K1849)</f>
        <v/>
      </c>
      <c r="N1849" s="12">
        <f>IF('Data Entry'!A1849="","",IF($L1849="","New item",IF($L1849&gt;0,"UP",IF($L1849&lt;0,"down","same"))))</f>
        <v/>
      </c>
    </row>
    <row r="1850">
      <c r="A1850" s="11">
        <f>IF('Data Entry'!A1850="","",'Data Entry'!A1850)</f>
        <v/>
      </c>
      <c r="B1850" s="12">
        <f>IF('Data Entry'!A1850="","",'Data Entry'!B1850)</f>
        <v/>
      </c>
      <c r="C1850" s="12">
        <f>IF('Data Entry'!A1850="","",'Data Entry'!C1850)</f>
        <v/>
      </c>
      <c r="D1850" s="12">
        <f>IF('Data Entry'!A1850="","",'Data Entry'!D1850)</f>
        <v/>
      </c>
      <c r="E1850" s="12">
        <f>IF('Data Entry'!A1850="","",'Data Entry'!E1850)</f>
        <v/>
      </c>
      <c r="F1850" s="12">
        <f>IF('Data Entry'!A1850="","",'Data Entry'!F1850)</f>
        <v/>
      </c>
      <c r="G1850" s="13">
        <f>IF('Data Entry'!A1850="","",'Data Entry'!G1850)</f>
        <v/>
      </c>
      <c r="H1850" s="10">
        <f>IF('Data Entry'!A1850="","",'Data Entry'!H1850)</f>
        <v/>
      </c>
      <c r="I1850" s="10">
        <f>IF('Data Entry'!A1850="","",'Data Entry'!I1850)</f>
        <v/>
      </c>
      <c r="J1850" s="12">
        <f>IF('Data Entry'!A1850="","",IF('Data Entry'!D1850&lt;&gt;"",'Data Entry'!D1850,'Data Entry'!E1850))</f>
        <v/>
      </c>
      <c r="K1850" s="10">
        <f>IF('Data Entry'!A1850="","",IFERROR(SUMIFS($H$5:$H$2001,$J$5:$J$2001,$J1850,$B$5:$B$2001,$B1850,$A$5:$A$2001,(MAXIFS($A$5:$A$2001,$J$5:$J$2001,$J1850,$B$5:$B$2001,$B1850,$A$5:$A$2001,"&lt;"&amp;$A1850))),""))</f>
        <v/>
      </c>
      <c r="L1850" s="14">
        <f>IF(OR('Data Entry'!A1850="",$K1850=""),"",$H1850-$K1850)</f>
        <v/>
      </c>
      <c r="M1850" s="15">
        <f>IF(OR('Data Entry'!A1850="",$K1850="",$K1850=0),"",$L1850/$K1850)</f>
        <v/>
      </c>
      <c r="N1850" s="12">
        <f>IF('Data Entry'!A1850="","",IF($L1850="","New item",IF($L1850&gt;0,"UP",IF($L1850&lt;0,"down","same"))))</f>
        <v/>
      </c>
    </row>
    <row r="1851">
      <c r="A1851" s="11">
        <f>IF('Data Entry'!A1851="","",'Data Entry'!A1851)</f>
        <v/>
      </c>
      <c r="B1851" s="12">
        <f>IF('Data Entry'!A1851="","",'Data Entry'!B1851)</f>
        <v/>
      </c>
      <c r="C1851" s="12">
        <f>IF('Data Entry'!A1851="","",'Data Entry'!C1851)</f>
        <v/>
      </c>
      <c r="D1851" s="12">
        <f>IF('Data Entry'!A1851="","",'Data Entry'!D1851)</f>
        <v/>
      </c>
      <c r="E1851" s="12">
        <f>IF('Data Entry'!A1851="","",'Data Entry'!E1851)</f>
        <v/>
      </c>
      <c r="F1851" s="12">
        <f>IF('Data Entry'!A1851="","",'Data Entry'!F1851)</f>
        <v/>
      </c>
      <c r="G1851" s="13">
        <f>IF('Data Entry'!A1851="","",'Data Entry'!G1851)</f>
        <v/>
      </c>
      <c r="H1851" s="10">
        <f>IF('Data Entry'!A1851="","",'Data Entry'!H1851)</f>
        <v/>
      </c>
      <c r="I1851" s="10">
        <f>IF('Data Entry'!A1851="","",'Data Entry'!I1851)</f>
        <v/>
      </c>
      <c r="J1851" s="12">
        <f>IF('Data Entry'!A1851="","",IF('Data Entry'!D1851&lt;&gt;"",'Data Entry'!D1851,'Data Entry'!E1851))</f>
        <v/>
      </c>
      <c r="K1851" s="10">
        <f>IF('Data Entry'!A1851="","",IFERROR(SUMIFS($H$5:$H$2001,$J$5:$J$2001,$J1851,$B$5:$B$2001,$B1851,$A$5:$A$2001,(MAXIFS($A$5:$A$2001,$J$5:$J$2001,$J1851,$B$5:$B$2001,$B1851,$A$5:$A$2001,"&lt;"&amp;$A1851))),""))</f>
        <v/>
      </c>
      <c r="L1851" s="14">
        <f>IF(OR('Data Entry'!A1851="",$K1851=""),"",$H1851-$K1851)</f>
        <v/>
      </c>
      <c r="M1851" s="15">
        <f>IF(OR('Data Entry'!A1851="",$K1851="",$K1851=0),"",$L1851/$K1851)</f>
        <v/>
      </c>
      <c r="N1851" s="12">
        <f>IF('Data Entry'!A1851="","",IF($L1851="","New item",IF($L1851&gt;0,"UP",IF($L1851&lt;0,"down","same"))))</f>
        <v/>
      </c>
    </row>
    <row r="1852">
      <c r="A1852" s="11">
        <f>IF('Data Entry'!A1852="","",'Data Entry'!A1852)</f>
        <v/>
      </c>
      <c r="B1852" s="12">
        <f>IF('Data Entry'!A1852="","",'Data Entry'!B1852)</f>
        <v/>
      </c>
      <c r="C1852" s="12">
        <f>IF('Data Entry'!A1852="","",'Data Entry'!C1852)</f>
        <v/>
      </c>
      <c r="D1852" s="12">
        <f>IF('Data Entry'!A1852="","",'Data Entry'!D1852)</f>
        <v/>
      </c>
      <c r="E1852" s="12">
        <f>IF('Data Entry'!A1852="","",'Data Entry'!E1852)</f>
        <v/>
      </c>
      <c r="F1852" s="12">
        <f>IF('Data Entry'!A1852="","",'Data Entry'!F1852)</f>
        <v/>
      </c>
      <c r="G1852" s="13">
        <f>IF('Data Entry'!A1852="","",'Data Entry'!G1852)</f>
        <v/>
      </c>
      <c r="H1852" s="10">
        <f>IF('Data Entry'!A1852="","",'Data Entry'!H1852)</f>
        <v/>
      </c>
      <c r="I1852" s="10">
        <f>IF('Data Entry'!A1852="","",'Data Entry'!I1852)</f>
        <v/>
      </c>
      <c r="J1852" s="12">
        <f>IF('Data Entry'!A1852="","",IF('Data Entry'!D1852&lt;&gt;"",'Data Entry'!D1852,'Data Entry'!E1852))</f>
        <v/>
      </c>
      <c r="K1852" s="10">
        <f>IF('Data Entry'!A1852="","",IFERROR(SUMIFS($H$5:$H$2001,$J$5:$J$2001,$J1852,$B$5:$B$2001,$B1852,$A$5:$A$2001,(MAXIFS($A$5:$A$2001,$J$5:$J$2001,$J1852,$B$5:$B$2001,$B1852,$A$5:$A$2001,"&lt;"&amp;$A1852))),""))</f>
        <v/>
      </c>
      <c r="L1852" s="14">
        <f>IF(OR('Data Entry'!A1852="",$K1852=""),"",$H1852-$K1852)</f>
        <v/>
      </c>
      <c r="M1852" s="15">
        <f>IF(OR('Data Entry'!A1852="",$K1852="",$K1852=0),"",$L1852/$K1852)</f>
        <v/>
      </c>
      <c r="N1852" s="12">
        <f>IF('Data Entry'!A1852="","",IF($L1852="","New item",IF($L1852&gt;0,"UP",IF($L1852&lt;0,"down","same"))))</f>
        <v/>
      </c>
    </row>
    <row r="1853">
      <c r="A1853" s="11">
        <f>IF('Data Entry'!A1853="","",'Data Entry'!A1853)</f>
        <v/>
      </c>
      <c r="B1853" s="12">
        <f>IF('Data Entry'!A1853="","",'Data Entry'!B1853)</f>
        <v/>
      </c>
      <c r="C1853" s="12">
        <f>IF('Data Entry'!A1853="","",'Data Entry'!C1853)</f>
        <v/>
      </c>
      <c r="D1853" s="12">
        <f>IF('Data Entry'!A1853="","",'Data Entry'!D1853)</f>
        <v/>
      </c>
      <c r="E1853" s="12">
        <f>IF('Data Entry'!A1853="","",'Data Entry'!E1853)</f>
        <v/>
      </c>
      <c r="F1853" s="12">
        <f>IF('Data Entry'!A1853="","",'Data Entry'!F1853)</f>
        <v/>
      </c>
      <c r="G1853" s="13">
        <f>IF('Data Entry'!A1853="","",'Data Entry'!G1853)</f>
        <v/>
      </c>
      <c r="H1853" s="10">
        <f>IF('Data Entry'!A1853="","",'Data Entry'!H1853)</f>
        <v/>
      </c>
      <c r="I1853" s="10">
        <f>IF('Data Entry'!A1853="","",'Data Entry'!I1853)</f>
        <v/>
      </c>
      <c r="J1853" s="12">
        <f>IF('Data Entry'!A1853="","",IF('Data Entry'!D1853&lt;&gt;"",'Data Entry'!D1853,'Data Entry'!E1853))</f>
        <v/>
      </c>
      <c r="K1853" s="10">
        <f>IF('Data Entry'!A1853="","",IFERROR(SUMIFS($H$5:$H$2001,$J$5:$J$2001,$J1853,$B$5:$B$2001,$B1853,$A$5:$A$2001,(MAXIFS($A$5:$A$2001,$J$5:$J$2001,$J1853,$B$5:$B$2001,$B1853,$A$5:$A$2001,"&lt;"&amp;$A1853))),""))</f>
        <v/>
      </c>
      <c r="L1853" s="14">
        <f>IF(OR('Data Entry'!A1853="",$K1853=""),"",$H1853-$K1853)</f>
        <v/>
      </c>
      <c r="M1853" s="15">
        <f>IF(OR('Data Entry'!A1853="",$K1853="",$K1853=0),"",$L1853/$K1853)</f>
        <v/>
      </c>
      <c r="N1853" s="12">
        <f>IF('Data Entry'!A1853="","",IF($L1853="","New item",IF($L1853&gt;0,"UP",IF($L1853&lt;0,"down","same"))))</f>
        <v/>
      </c>
    </row>
    <row r="1854">
      <c r="A1854" s="11">
        <f>IF('Data Entry'!A1854="","",'Data Entry'!A1854)</f>
        <v/>
      </c>
      <c r="B1854" s="12">
        <f>IF('Data Entry'!A1854="","",'Data Entry'!B1854)</f>
        <v/>
      </c>
      <c r="C1854" s="12">
        <f>IF('Data Entry'!A1854="","",'Data Entry'!C1854)</f>
        <v/>
      </c>
      <c r="D1854" s="12">
        <f>IF('Data Entry'!A1854="","",'Data Entry'!D1854)</f>
        <v/>
      </c>
      <c r="E1854" s="12">
        <f>IF('Data Entry'!A1854="","",'Data Entry'!E1854)</f>
        <v/>
      </c>
      <c r="F1854" s="12">
        <f>IF('Data Entry'!A1854="","",'Data Entry'!F1854)</f>
        <v/>
      </c>
      <c r="G1854" s="13">
        <f>IF('Data Entry'!A1854="","",'Data Entry'!G1854)</f>
        <v/>
      </c>
      <c r="H1854" s="10">
        <f>IF('Data Entry'!A1854="","",'Data Entry'!H1854)</f>
        <v/>
      </c>
      <c r="I1854" s="10">
        <f>IF('Data Entry'!A1854="","",'Data Entry'!I1854)</f>
        <v/>
      </c>
      <c r="J1854" s="12">
        <f>IF('Data Entry'!A1854="","",IF('Data Entry'!D1854&lt;&gt;"",'Data Entry'!D1854,'Data Entry'!E1854))</f>
        <v/>
      </c>
      <c r="K1854" s="10">
        <f>IF('Data Entry'!A1854="","",IFERROR(SUMIFS($H$5:$H$2001,$J$5:$J$2001,$J1854,$B$5:$B$2001,$B1854,$A$5:$A$2001,(MAXIFS($A$5:$A$2001,$J$5:$J$2001,$J1854,$B$5:$B$2001,$B1854,$A$5:$A$2001,"&lt;"&amp;$A1854))),""))</f>
        <v/>
      </c>
      <c r="L1854" s="14">
        <f>IF(OR('Data Entry'!A1854="",$K1854=""),"",$H1854-$K1854)</f>
        <v/>
      </c>
      <c r="M1854" s="15">
        <f>IF(OR('Data Entry'!A1854="",$K1854="",$K1854=0),"",$L1854/$K1854)</f>
        <v/>
      </c>
      <c r="N1854" s="12">
        <f>IF('Data Entry'!A1854="","",IF($L1854="","New item",IF($L1854&gt;0,"UP",IF($L1854&lt;0,"down","same"))))</f>
        <v/>
      </c>
    </row>
    <row r="1855">
      <c r="A1855" s="11">
        <f>IF('Data Entry'!A1855="","",'Data Entry'!A1855)</f>
        <v/>
      </c>
      <c r="B1855" s="12">
        <f>IF('Data Entry'!A1855="","",'Data Entry'!B1855)</f>
        <v/>
      </c>
      <c r="C1855" s="12">
        <f>IF('Data Entry'!A1855="","",'Data Entry'!C1855)</f>
        <v/>
      </c>
      <c r="D1855" s="12">
        <f>IF('Data Entry'!A1855="","",'Data Entry'!D1855)</f>
        <v/>
      </c>
      <c r="E1855" s="12">
        <f>IF('Data Entry'!A1855="","",'Data Entry'!E1855)</f>
        <v/>
      </c>
      <c r="F1855" s="12">
        <f>IF('Data Entry'!A1855="","",'Data Entry'!F1855)</f>
        <v/>
      </c>
      <c r="G1855" s="13">
        <f>IF('Data Entry'!A1855="","",'Data Entry'!G1855)</f>
        <v/>
      </c>
      <c r="H1855" s="10">
        <f>IF('Data Entry'!A1855="","",'Data Entry'!H1855)</f>
        <v/>
      </c>
      <c r="I1855" s="10">
        <f>IF('Data Entry'!A1855="","",'Data Entry'!I1855)</f>
        <v/>
      </c>
      <c r="J1855" s="12">
        <f>IF('Data Entry'!A1855="","",IF('Data Entry'!D1855&lt;&gt;"",'Data Entry'!D1855,'Data Entry'!E1855))</f>
        <v/>
      </c>
      <c r="K1855" s="10">
        <f>IF('Data Entry'!A1855="","",IFERROR(SUMIFS($H$5:$H$2001,$J$5:$J$2001,$J1855,$B$5:$B$2001,$B1855,$A$5:$A$2001,(MAXIFS($A$5:$A$2001,$J$5:$J$2001,$J1855,$B$5:$B$2001,$B1855,$A$5:$A$2001,"&lt;"&amp;$A1855))),""))</f>
        <v/>
      </c>
      <c r="L1855" s="14">
        <f>IF(OR('Data Entry'!A1855="",$K1855=""),"",$H1855-$K1855)</f>
        <v/>
      </c>
      <c r="M1855" s="15">
        <f>IF(OR('Data Entry'!A1855="",$K1855="",$K1855=0),"",$L1855/$K1855)</f>
        <v/>
      </c>
      <c r="N1855" s="12">
        <f>IF('Data Entry'!A1855="","",IF($L1855="","New item",IF($L1855&gt;0,"UP",IF($L1855&lt;0,"down","same"))))</f>
        <v/>
      </c>
    </row>
    <row r="1856">
      <c r="A1856" s="11">
        <f>IF('Data Entry'!A1856="","",'Data Entry'!A1856)</f>
        <v/>
      </c>
      <c r="B1856" s="12">
        <f>IF('Data Entry'!A1856="","",'Data Entry'!B1856)</f>
        <v/>
      </c>
      <c r="C1856" s="12">
        <f>IF('Data Entry'!A1856="","",'Data Entry'!C1856)</f>
        <v/>
      </c>
      <c r="D1856" s="12">
        <f>IF('Data Entry'!A1856="","",'Data Entry'!D1856)</f>
        <v/>
      </c>
      <c r="E1856" s="12">
        <f>IF('Data Entry'!A1856="","",'Data Entry'!E1856)</f>
        <v/>
      </c>
      <c r="F1856" s="12">
        <f>IF('Data Entry'!A1856="","",'Data Entry'!F1856)</f>
        <v/>
      </c>
      <c r="G1856" s="13">
        <f>IF('Data Entry'!A1856="","",'Data Entry'!G1856)</f>
        <v/>
      </c>
      <c r="H1856" s="10">
        <f>IF('Data Entry'!A1856="","",'Data Entry'!H1856)</f>
        <v/>
      </c>
      <c r="I1856" s="10">
        <f>IF('Data Entry'!A1856="","",'Data Entry'!I1856)</f>
        <v/>
      </c>
      <c r="J1856" s="12">
        <f>IF('Data Entry'!A1856="","",IF('Data Entry'!D1856&lt;&gt;"",'Data Entry'!D1856,'Data Entry'!E1856))</f>
        <v/>
      </c>
      <c r="K1856" s="10">
        <f>IF('Data Entry'!A1856="","",IFERROR(SUMIFS($H$5:$H$2001,$J$5:$J$2001,$J1856,$B$5:$B$2001,$B1856,$A$5:$A$2001,(MAXIFS($A$5:$A$2001,$J$5:$J$2001,$J1856,$B$5:$B$2001,$B1856,$A$5:$A$2001,"&lt;"&amp;$A1856))),""))</f>
        <v/>
      </c>
      <c r="L1856" s="14">
        <f>IF(OR('Data Entry'!A1856="",$K1856=""),"",$H1856-$K1856)</f>
        <v/>
      </c>
      <c r="M1856" s="15">
        <f>IF(OR('Data Entry'!A1856="",$K1856="",$K1856=0),"",$L1856/$K1856)</f>
        <v/>
      </c>
      <c r="N1856" s="12">
        <f>IF('Data Entry'!A1856="","",IF($L1856="","New item",IF($L1856&gt;0,"UP",IF($L1856&lt;0,"down","same"))))</f>
        <v/>
      </c>
    </row>
    <row r="1857">
      <c r="A1857" s="11">
        <f>IF('Data Entry'!A1857="","",'Data Entry'!A1857)</f>
        <v/>
      </c>
      <c r="B1857" s="12">
        <f>IF('Data Entry'!A1857="","",'Data Entry'!B1857)</f>
        <v/>
      </c>
      <c r="C1857" s="12">
        <f>IF('Data Entry'!A1857="","",'Data Entry'!C1857)</f>
        <v/>
      </c>
      <c r="D1857" s="12">
        <f>IF('Data Entry'!A1857="","",'Data Entry'!D1857)</f>
        <v/>
      </c>
      <c r="E1857" s="12">
        <f>IF('Data Entry'!A1857="","",'Data Entry'!E1857)</f>
        <v/>
      </c>
      <c r="F1857" s="12">
        <f>IF('Data Entry'!A1857="","",'Data Entry'!F1857)</f>
        <v/>
      </c>
      <c r="G1857" s="13">
        <f>IF('Data Entry'!A1857="","",'Data Entry'!G1857)</f>
        <v/>
      </c>
      <c r="H1857" s="10">
        <f>IF('Data Entry'!A1857="","",'Data Entry'!H1857)</f>
        <v/>
      </c>
      <c r="I1857" s="10">
        <f>IF('Data Entry'!A1857="","",'Data Entry'!I1857)</f>
        <v/>
      </c>
      <c r="J1857" s="12">
        <f>IF('Data Entry'!A1857="","",IF('Data Entry'!D1857&lt;&gt;"",'Data Entry'!D1857,'Data Entry'!E1857))</f>
        <v/>
      </c>
      <c r="K1857" s="10">
        <f>IF('Data Entry'!A1857="","",IFERROR(SUMIFS($H$5:$H$2001,$J$5:$J$2001,$J1857,$B$5:$B$2001,$B1857,$A$5:$A$2001,(MAXIFS($A$5:$A$2001,$J$5:$J$2001,$J1857,$B$5:$B$2001,$B1857,$A$5:$A$2001,"&lt;"&amp;$A1857))),""))</f>
        <v/>
      </c>
      <c r="L1857" s="14">
        <f>IF(OR('Data Entry'!A1857="",$K1857=""),"",$H1857-$K1857)</f>
        <v/>
      </c>
      <c r="M1857" s="15">
        <f>IF(OR('Data Entry'!A1857="",$K1857="",$K1857=0),"",$L1857/$K1857)</f>
        <v/>
      </c>
      <c r="N1857" s="12">
        <f>IF('Data Entry'!A1857="","",IF($L1857="","New item",IF($L1857&gt;0,"UP",IF($L1857&lt;0,"down","same"))))</f>
        <v/>
      </c>
    </row>
    <row r="1858">
      <c r="A1858" s="11">
        <f>IF('Data Entry'!A1858="","",'Data Entry'!A1858)</f>
        <v/>
      </c>
      <c r="B1858" s="12">
        <f>IF('Data Entry'!A1858="","",'Data Entry'!B1858)</f>
        <v/>
      </c>
      <c r="C1858" s="12">
        <f>IF('Data Entry'!A1858="","",'Data Entry'!C1858)</f>
        <v/>
      </c>
      <c r="D1858" s="12">
        <f>IF('Data Entry'!A1858="","",'Data Entry'!D1858)</f>
        <v/>
      </c>
      <c r="E1858" s="12">
        <f>IF('Data Entry'!A1858="","",'Data Entry'!E1858)</f>
        <v/>
      </c>
      <c r="F1858" s="12">
        <f>IF('Data Entry'!A1858="","",'Data Entry'!F1858)</f>
        <v/>
      </c>
      <c r="G1858" s="13">
        <f>IF('Data Entry'!A1858="","",'Data Entry'!G1858)</f>
        <v/>
      </c>
      <c r="H1858" s="10">
        <f>IF('Data Entry'!A1858="","",'Data Entry'!H1858)</f>
        <v/>
      </c>
      <c r="I1858" s="10">
        <f>IF('Data Entry'!A1858="","",'Data Entry'!I1858)</f>
        <v/>
      </c>
      <c r="J1858" s="12">
        <f>IF('Data Entry'!A1858="","",IF('Data Entry'!D1858&lt;&gt;"",'Data Entry'!D1858,'Data Entry'!E1858))</f>
        <v/>
      </c>
      <c r="K1858" s="10">
        <f>IF('Data Entry'!A1858="","",IFERROR(SUMIFS($H$5:$H$2001,$J$5:$J$2001,$J1858,$B$5:$B$2001,$B1858,$A$5:$A$2001,(MAXIFS($A$5:$A$2001,$J$5:$J$2001,$J1858,$B$5:$B$2001,$B1858,$A$5:$A$2001,"&lt;"&amp;$A1858))),""))</f>
        <v/>
      </c>
      <c r="L1858" s="14">
        <f>IF(OR('Data Entry'!A1858="",$K1858=""),"",$H1858-$K1858)</f>
        <v/>
      </c>
      <c r="M1858" s="15">
        <f>IF(OR('Data Entry'!A1858="",$K1858="",$K1858=0),"",$L1858/$K1858)</f>
        <v/>
      </c>
      <c r="N1858" s="12">
        <f>IF('Data Entry'!A1858="","",IF($L1858="","New item",IF($L1858&gt;0,"UP",IF($L1858&lt;0,"down","same"))))</f>
        <v/>
      </c>
    </row>
    <row r="1859">
      <c r="A1859" s="11">
        <f>IF('Data Entry'!A1859="","",'Data Entry'!A1859)</f>
        <v/>
      </c>
      <c r="B1859" s="12">
        <f>IF('Data Entry'!A1859="","",'Data Entry'!B1859)</f>
        <v/>
      </c>
      <c r="C1859" s="12">
        <f>IF('Data Entry'!A1859="","",'Data Entry'!C1859)</f>
        <v/>
      </c>
      <c r="D1859" s="12">
        <f>IF('Data Entry'!A1859="","",'Data Entry'!D1859)</f>
        <v/>
      </c>
      <c r="E1859" s="12">
        <f>IF('Data Entry'!A1859="","",'Data Entry'!E1859)</f>
        <v/>
      </c>
      <c r="F1859" s="12">
        <f>IF('Data Entry'!A1859="","",'Data Entry'!F1859)</f>
        <v/>
      </c>
      <c r="G1859" s="13">
        <f>IF('Data Entry'!A1859="","",'Data Entry'!G1859)</f>
        <v/>
      </c>
      <c r="H1859" s="10">
        <f>IF('Data Entry'!A1859="","",'Data Entry'!H1859)</f>
        <v/>
      </c>
      <c r="I1859" s="10">
        <f>IF('Data Entry'!A1859="","",'Data Entry'!I1859)</f>
        <v/>
      </c>
      <c r="J1859" s="12">
        <f>IF('Data Entry'!A1859="","",IF('Data Entry'!D1859&lt;&gt;"",'Data Entry'!D1859,'Data Entry'!E1859))</f>
        <v/>
      </c>
      <c r="K1859" s="10">
        <f>IF('Data Entry'!A1859="","",IFERROR(SUMIFS($H$5:$H$2001,$J$5:$J$2001,$J1859,$B$5:$B$2001,$B1859,$A$5:$A$2001,(MAXIFS($A$5:$A$2001,$J$5:$J$2001,$J1859,$B$5:$B$2001,$B1859,$A$5:$A$2001,"&lt;"&amp;$A1859))),""))</f>
        <v/>
      </c>
      <c r="L1859" s="14">
        <f>IF(OR('Data Entry'!A1859="",$K1859=""),"",$H1859-$K1859)</f>
        <v/>
      </c>
      <c r="M1859" s="15">
        <f>IF(OR('Data Entry'!A1859="",$K1859="",$K1859=0),"",$L1859/$K1859)</f>
        <v/>
      </c>
      <c r="N1859" s="12">
        <f>IF('Data Entry'!A1859="","",IF($L1859="","New item",IF($L1859&gt;0,"UP",IF($L1859&lt;0,"down","same"))))</f>
        <v/>
      </c>
    </row>
    <row r="1860">
      <c r="A1860" s="11">
        <f>IF('Data Entry'!A1860="","",'Data Entry'!A1860)</f>
        <v/>
      </c>
      <c r="B1860" s="12">
        <f>IF('Data Entry'!A1860="","",'Data Entry'!B1860)</f>
        <v/>
      </c>
      <c r="C1860" s="12">
        <f>IF('Data Entry'!A1860="","",'Data Entry'!C1860)</f>
        <v/>
      </c>
      <c r="D1860" s="12">
        <f>IF('Data Entry'!A1860="","",'Data Entry'!D1860)</f>
        <v/>
      </c>
      <c r="E1860" s="12">
        <f>IF('Data Entry'!A1860="","",'Data Entry'!E1860)</f>
        <v/>
      </c>
      <c r="F1860" s="12">
        <f>IF('Data Entry'!A1860="","",'Data Entry'!F1860)</f>
        <v/>
      </c>
      <c r="G1860" s="13">
        <f>IF('Data Entry'!A1860="","",'Data Entry'!G1860)</f>
        <v/>
      </c>
      <c r="H1860" s="10">
        <f>IF('Data Entry'!A1860="","",'Data Entry'!H1860)</f>
        <v/>
      </c>
      <c r="I1860" s="10">
        <f>IF('Data Entry'!A1860="","",'Data Entry'!I1860)</f>
        <v/>
      </c>
      <c r="J1860" s="12">
        <f>IF('Data Entry'!A1860="","",IF('Data Entry'!D1860&lt;&gt;"",'Data Entry'!D1860,'Data Entry'!E1860))</f>
        <v/>
      </c>
      <c r="K1860" s="10">
        <f>IF('Data Entry'!A1860="","",IFERROR(SUMIFS($H$5:$H$2001,$J$5:$J$2001,$J1860,$B$5:$B$2001,$B1860,$A$5:$A$2001,(MAXIFS($A$5:$A$2001,$J$5:$J$2001,$J1860,$B$5:$B$2001,$B1860,$A$5:$A$2001,"&lt;"&amp;$A1860))),""))</f>
        <v/>
      </c>
      <c r="L1860" s="14">
        <f>IF(OR('Data Entry'!A1860="",$K1860=""),"",$H1860-$K1860)</f>
        <v/>
      </c>
      <c r="M1860" s="15">
        <f>IF(OR('Data Entry'!A1860="",$K1860="",$K1860=0),"",$L1860/$K1860)</f>
        <v/>
      </c>
      <c r="N1860" s="12">
        <f>IF('Data Entry'!A1860="","",IF($L1860="","New item",IF($L1860&gt;0,"UP",IF($L1860&lt;0,"down","same"))))</f>
        <v/>
      </c>
    </row>
    <row r="1861">
      <c r="A1861" s="11">
        <f>IF('Data Entry'!A1861="","",'Data Entry'!A1861)</f>
        <v/>
      </c>
      <c r="B1861" s="12">
        <f>IF('Data Entry'!A1861="","",'Data Entry'!B1861)</f>
        <v/>
      </c>
      <c r="C1861" s="12">
        <f>IF('Data Entry'!A1861="","",'Data Entry'!C1861)</f>
        <v/>
      </c>
      <c r="D1861" s="12">
        <f>IF('Data Entry'!A1861="","",'Data Entry'!D1861)</f>
        <v/>
      </c>
      <c r="E1861" s="12">
        <f>IF('Data Entry'!A1861="","",'Data Entry'!E1861)</f>
        <v/>
      </c>
      <c r="F1861" s="12">
        <f>IF('Data Entry'!A1861="","",'Data Entry'!F1861)</f>
        <v/>
      </c>
      <c r="G1861" s="13">
        <f>IF('Data Entry'!A1861="","",'Data Entry'!G1861)</f>
        <v/>
      </c>
      <c r="H1861" s="10">
        <f>IF('Data Entry'!A1861="","",'Data Entry'!H1861)</f>
        <v/>
      </c>
      <c r="I1861" s="10">
        <f>IF('Data Entry'!A1861="","",'Data Entry'!I1861)</f>
        <v/>
      </c>
      <c r="J1861" s="12">
        <f>IF('Data Entry'!A1861="","",IF('Data Entry'!D1861&lt;&gt;"",'Data Entry'!D1861,'Data Entry'!E1861))</f>
        <v/>
      </c>
      <c r="K1861" s="10">
        <f>IF('Data Entry'!A1861="","",IFERROR(SUMIFS($H$5:$H$2001,$J$5:$J$2001,$J1861,$B$5:$B$2001,$B1861,$A$5:$A$2001,(MAXIFS($A$5:$A$2001,$J$5:$J$2001,$J1861,$B$5:$B$2001,$B1861,$A$5:$A$2001,"&lt;"&amp;$A1861))),""))</f>
        <v/>
      </c>
      <c r="L1861" s="14">
        <f>IF(OR('Data Entry'!A1861="",$K1861=""),"",$H1861-$K1861)</f>
        <v/>
      </c>
      <c r="M1861" s="15">
        <f>IF(OR('Data Entry'!A1861="",$K1861="",$K1861=0),"",$L1861/$K1861)</f>
        <v/>
      </c>
      <c r="N1861" s="12">
        <f>IF('Data Entry'!A1861="","",IF($L1861="","New item",IF($L1861&gt;0,"UP",IF($L1861&lt;0,"down","same"))))</f>
        <v/>
      </c>
    </row>
    <row r="1862">
      <c r="A1862" s="11">
        <f>IF('Data Entry'!A1862="","",'Data Entry'!A1862)</f>
        <v/>
      </c>
      <c r="B1862" s="12">
        <f>IF('Data Entry'!A1862="","",'Data Entry'!B1862)</f>
        <v/>
      </c>
      <c r="C1862" s="12">
        <f>IF('Data Entry'!A1862="","",'Data Entry'!C1862)</f>
        <v/>
      </c>
      <c r="D1862" s="12">
        <f>IF('Data Entry'!A1862="","",'Data Entry'!D1862)</f>
        <v/>
      </c>
      <c r="E1862" s="12">
        <f>IF('Data Entry'!A1862="","",'Data Entry'!E1862)</f>
        <v/>
      </c>
      <c r="F1862" s="12">
        <f>IF('Data Entry'!A1862="","",'Data Entry'!F1862)</f>
        <v/>
      </c>
      <c r="G1862" s="13">
        <f>IF('Data Entry'!A1862="","",'Data Entry'!G1862)</f>
        <v/>
      </c>
      <c r="H1862" s="10">
        <f>IF('Data Entry'!A1862="","",'Data Entry'!H1862)</f>
        <v/>
      </c>
      <c r="I1862" s="10">
        <f>IF('Data Entry'!A1862="","",'Data Entry'!I1862)</f>
        <v/>
      </c>
      <c r="J1862" s="12">
        <f>IF('Data Entry'!A1862="","",IF('Data Entry'!D1862&lt;&gt;"",'Data Entry'!D1862,'Data Entry'!E1862))</f>
        <v/>
      </c>
      <c r="K1862" s="10">
        <f>IF('Data Entry'!A1862="","",IFERROR(SUMIFS($H$5:$H$2001,$J$5:$J$2001,$J1862,$B$5:$B$2001,$B1862,$A$5:$A$2001,(MAXIFS($A$5:$A$2001,$J$5:$J$2001,$J1862,$B$5:$B$2001,$B1862,$A$5:$A$2001,"&lt;"&amp;$A1862))),""))</f>
        <v/>
      </c>
      <c r="L1862" s="14">
        <f>IF(OR('Data Entry'!A1862="",$K1862=""),"",$H1862-$K1862)</f>
        <v/>
      </c>
      <c r="M1862" s="15">
        <f>IF(OR('Data Entry'!A1862="",$K1862="",$K1862=0),"",$L1862/$K1862)</f>
        <v/>
      </c>
      <c r="N1862" s="12">
        <f>IF('Data Entry'!A1862="","",IF($L1862="","New item",IF($L1862&gt;0,"UP",IF($L1862&lt;0,"down","same"))))</f>
        <v/>
      </c>
    </row>
    <row r="1863">
      <c r="A1863" s="11">
        <f>IF('Data Entry'!A1863="","",'Data Entry'!A1863)</f>
        <v/>
      </c>
      <c r="B1863" s="12">
        <f>IF('Data Entry'!A1863="","",'Data Entry'!B1863)</f>
        <v/>
      </c>
      <c r="C1863" s="12">
        <f>IF('Data Entry'!A1863="","",'Data Entry'!C1863)</f>
        <v/>
      </c>
      <c r="D1863" s="12">
        <f>IF('Data Entry'!A1863="","",'Data Entry'!D1863)</f>
        <v/>
      </c>
      <c r="E1863" s="12">
        <f>IF('Data Entry'!A1863="","",'Data Entry'!E1863)</f>
        <v/>
      </c>
      <c r="F1863" s="12">
        <f>IF('Data Entry'!A1863="","",'Data Entry'!F1863)</f>
        <v/>
      </c>
      <c r="G1863" s="13">
        <f>IF('Data Entry'!A1863="","",'Data Entry'!G1863)</f>
        <v/>
      </c>
      <c r="H1863" s="10">
        <f>IF('Data Entry'!A1863="","",'Data Entry'!H1863)</f>
        <v/>
      </c>
      <c r="I1863" s="10">
        <f>IF('Data Entry'!A1863="","",'Data Entry'!I1863)</f>
        <v/>
      </c>
      <c r="J1863" s="12">
        <f>IF('Data Entry'!A1863="","",IF('Data Entry'!D1863&lt;&gt;"",'Data Entry'!D1863,'Data Entry'!E1863))</f>
        <v/>
      </c>
      <c r="K1863" s="10">
        <f>IF('Data Entry'!A1863="","",IFERROR(SUMIFS($H$5:$H$2001,$J$5:$J$2001,$J1863,$B$5:$B$2001,$B1863,$A$5:$A$2001,(MAXIFS($A$5:$A$2001,$J$5:$J$2001,$J1863,$B$5:$B$2001,$B1863,$A$5:$A$2001,"&lt;"&amp;$A1863))),""))</f>
        <v/>
      </c>
      <c r="L1863" s="14">
        <f>IF(OR('Data Entry'!A1863="",$K1863=""),"",$H1863-$K1863)</f>
        <v/>
      </c>
      <c r="M1863" s="15">
        <f>IF(OR('Data Entry'!A1863="",$K1863="",$K1863=0),"",$L1863/$K1863)</f>
        <v/>
      </c>
      <c r="N1863" s="12">
        <f>IF('Data Entry'!A1863="","",IF($L1863="","New item",IF($L1863&gt;0,"UP",IF($L1863&lt;0,"down","same"))))</f>
        <v/>
      </c>
    </row>
    <row r="1864">
      <c r="A1864" s="11">
        <f>IF('Data Entry'!A1864="","",'Data Entry'!A1864)</f>
        <v/>
      </c>
      <c r="B1864" s="12">
        <f>IF('Data Entry'!A1864="","",'Data Entry'!B1864)</f>
        <v/>
      </c>
      <c r="C1864" s="12">
        <f>IF('Data Entry'!A1864="","",'Data Entry'!C1864)</f>
        <v/>
      </c>
      <c r="D1864" s="12">
        <f>IF('Data Entry'!A1864="","",'Data Entry'!D1864)</f>
        <v/>
      </c>
      <c r="E1864" s="12">
        <f>IF('Data Entry'!A1864="","",'Data Entry'!E1864)</f>
        <v/>
      </c>
      <c r="F1864" s="12">
        <f>IF('Data Entry'!A1864="","",'Data Entry'!F1864)</f>
        <v/>
      </c>
      <c r="G1864" s="13">
        <f>IF('Data Entry'!A1864="","",'Data Entry'!G1864)</f>
        <v/>
      </c>
      <c r="H1864" s="10">
        <f>IF('Data Entry'!A1864="","",'Data Entry'!H1864)</f>
        <v/>
      </c>
      <c r="I1864" s="10">
        <f>IF('Data Entry'!A1864="","",'Data Entry'!I1864)</f>
        <v/>
      </c>
      <c r="J1864" s="12">
        <f>IF('Data Entry'!A1864="","",IF('Data Entry'!D1864&lt;&gt;"",'Data Entry'!D1864,'Data Entry'!E1864))</f>
        <v/>
      </c>
      <c r="K1864" s="10">
        <f>IF('Data Entry'!A1864="","",IFERROR(SUMIFS($H$5:$H$2001,$J$5:$J$2001,$J1864,$B$5:$B$2001,$B1864,$A$5:$A$2001,(MAXIFS($A$5:$A$2001,$J$5:$J$2001,$J1864,$B$5:$B$2001,$B1864,$A$5:$A$2001,"&lt;"&amp;$A1864))),""))</f>
        <v/>
      </c>
      <c r="L1864" s="14">
        <f>IF(OR('Data Entry'!A1864="",$K1864=""),"",$H1864-$K1864)</f>
        <v/>
      </c>
      <c r="M1864" s="15">
        <f>IF(OR('Data Entry'!A1864="",$K1864="",$K1864=0),"",$L1864/$K1864)</f>
        <v/>
      </c>
      <c r="N1864" s="12">
        <f>IF('Data Entry'!A1864="","",IF($L1864="","New item",IF($L1864&gt;0,"UP",IF($L1864&lt;0,"down","same"))))</f>
        <v/>
      </c>
    </row>
    <row r="1865">
      <c r="A1865" s="11">
        <f>IF('Data Entry'!A1865="","",'Data Entry'!A1865)</f>
        <v/>
      </c>
      <c r="B1865" s="12">
        <f>IF('Data Entry'!A1865="","",'Data Entry'!B1865)</f>
        <v/>
      </c>
      <c r="C1865" s="12">
        <f>IF('Data Entry'!A1865="","",'Data Entry'!C1865)</f>
        <v/>
      </c>
      <c r="D1865" s="12">
        <f>IF('Data Entry'!A1865="","",'Data Entry'!D1865)</f>
        <v/>
      </c>
      <c r="E1865" s="12">
        <f>IF('Data Entry'!A1865="","",'Data Entry'!E1865)</f>
        <v/>
      </c>
      <c r="F1865" s="12">
        <f>IF('Data Entry'!A1865="","",'Data Entry'!F1865)</f>
        <v/>
      </c>
      <c r="G1865" s="13">
        <f>IF('Data Entry'!A1865="","",'Data Entry'!G1865)</f>
        <v/>
      </c>
      <c r="H1865" s="10">
        <f>IF('Data Entry'!A1865="","",'Data Entry'!H1865)</f>
        <v/>
      </c>
      <c r="I1865" s="10">
        <f>IF('Data Entry'!A1865="","",'Data Entry'!I1865)</f>
        <v/>
      </c>
      <c r="J1865" s="12">
        <f>IF('Data Entry'!A1865="","",IF('Data Entry'!D1865&lt;&gt;"",'Data Entry'!D1865,'Data Entry'!E1865))</f>
        <v/>
      </c>
      <c r="K1865" s="10">
        <f>IF('Data Entry'!A1865="","",IFERROR(SUMIFS($H$5:$H$2001,$J$5:$J$2001,$J1865,$B$5:$B$2001,$B1865,$A$5:$A$2001,(MAXIFS($A$5:$A$2001,$J$5:$J$2001,$J1865,$B$5:$B$2001,$B1865,$A$5:$A$2001,"&lt;"&amp;$A1865))),""))</f>
        <v/>
      </c>
      <c r="L1865" s="14">
        <f>IF(OR('Data Entry'!A1865="",$K1865=""),"",$H1865-$K1865)</f>
        <v/>
      </c>
      <c r="M1865" s="15">
        <f>IF(OR('Data Entry'!A1865="",$K1865="",$K1865=0),"",$L1865/$K1865)</f>
        <v/>
      </c>
      <c r="N1865" s="12">
        <f>IF('Data Entry'!A1865="","",IF($L1865="","New item",IF($L1865&gt;0,"UP",IF($L1865&lt;0,"down","same"))))</f>
        <v/>
      </c>
    </row>
    <row r="1866">
      <c r="A1866" s="11">
        <f>IF('Data Entry'!A1866="","",'Data Entry'!A1866)</f>
        <v/>
      </c>
      <c r="B1866" s="12">
        <f>IF('Data Entry'!A1866="","",'Data Entry'!B1866)</f>
        <v/>
      </c>
      <c r="C1866" s="12">
        <f>IF('Data Entry'!A1866="","",'Data Entry'!C1866)</f>
        <v/>
      </c>
      <c r="D1866" s="12">
        <f>IF('Data Entry'!A1866="","",'Data Entry'!D1866)</f>
        <v/>
      </c>
      <c r="E1866" s="12">
        <f>IF('Data Entry'!A1866="","",'Data Entry'!E1866)</f>
        <v/>
      </c>
      <c r="F1866" s="12">
        <f>IF('Data Entry'!A1866="","",'Data Entry'!F1866)</f>
        <v/>
      </c>
      <c r="G1866" s="13">
        <f>IF('Data Entry'!A1866="","",'Data Entry'!G1866)</f>
        <v/>
      </c>
      <c r="H1866" s="10">
        <f>IF('Data Entry'!A1866="","",'Data Entry'!H1866)</f>
        <v/>
      </c>
      <c r="I1866" s="10">
        <f>IF('Data Entry'!A1866="","",'Data Entry'!I1866)</f>
        <v/>
      </c>
      <c r="J1866" s="12">
        <f>IF('Data Entry'!A1866="","",IF('Data Entry'!D1866&lt;&gt;"",'Data Entry'!D1866,'Data Entry'!E1866))</f>
        <v/>
      </c>
      <c r="K1866" s="10">
        <f>IF('Data Entry'!A1866="","",IFERROR(SUMIFS($H$5:$H$2001,$J$5:$J$2001,$J1866,$B$5:$B$2001,$B1866,$A$5:$A$2001,(MAXIFS($A$5:$A$2001,$J$5:$J$2001,$J1866,$B$5:$B$2001,$B1866,$A$5:$A$2001,"&lt;"&amp;$A1866))),""))</f>
        <v/>
      </c>
      <c r="L1866" s="14">
        <f>IF(OR('Data Entry'!A1866="",$K1866=""),"",$H1866-$K1866)</f>
        <v/>
      </c>
      <c r="M1866" s="15">
        <f>IF(OR('Data Entry'!A1866="",$K1866="",$K1866=0),"",$L1866/$K1866)</f>
        <v/>
      </c>
      <c r="N1866" s="12">
        <f>IF('Data Entry'!A1866="","",IF($L1866="","New item",IF($L1866&gt;0,"UP",IF($L1866&lt;0,"down","same"))))</f>
        <v/>
      </c>
    </row>
    <row r="1867">
      <c r="A1867" s="11">
        <f>IF('Data Entry'!A1867="","",'Data Entry'!A1867)</f>
        <v/>
      </c>
      <c r="B1867" s="12">
        <f>IF('Data Entry'!A1867="","",'Data Entry'!B1867)</f>
        <v/>
      </c>
      <c r="C1867" s="12">
        <f>IF('Data Entry'!A1867="","",'Data Entry'!C1867)</f>
        <v/>
      </c>
      <c r="D1867" s="12">
        <f>IF('Data Entry'!A1867="","",'Data Entry'!D1867)</f>
        <v/>
      </c>
      <c r="E1867" s="12">
        <f>IF('Data Entry'!A1867="","",'Data Entry'!E1867)</f>
        <v/>
      </c>
      <c r="F1867" s="12">
        <f>IF('Data Entry'!A1867="","",'Data Entry'!F1867)</f>
        <v/>
      </c>
      <c r="G1867" s="13">
        <f>IF('Data Entry'!A1867="","",'Data Entry'!G1867)</f>
        <v/>
      </c>
      <c r="H1867" s="10">
        <f>IF('Data Entry'!A1867="","",'Data Entry'!H1867)</f>
        <v/>
      </c>
      <c r="I1867" s="10">
        <f>IF('Data Entry'!A1867="","",'Data Entry'!I1867)</f>
        <v/>
      </c>
      <c r="J1867" s="12">
        <f>IF('Data Entry'!A1867="","",IF('Data Entry'!D1867&lt;&gt;"",'Data Entry'!D1867,'Data Entry'!E1867))</f>
        <v/>
      </c>
      <c r="K1867" s="10">
        <f>IF('Data Entry'!A1867="","",IFERROR(SUMIFS($H$5:$H$2001,$J$5:$J$2001,$J1867,$B$5:$B$2001,$B1867,$A$5:$A$2001,(MAXIFS($A$5:$A$2001,$J$5:$J$2001,$J1867,$B$5:$B$2001,$B1867,$A$5:$A$2001,"&lt;"&amp;$A1867))),""))</f>
        <v/>
      </c>
      <c r="L1867" s="14">
        <f>IF(OR('Data Entry'!A1867="",$K1867=""),"",$H1867-$K1867)</f>
        <v/>
      </c>
      <c r="M1867" s="15">
        <f>IF(OR('Data Entry'!A1867="",$K1867="",$K1867=0),"",$L1867/$K1867)</f>
        <v/>
      </c>
      <c r="N1867" s="12">
        <f>IF('Data Entry'!A1867="","",IF($L1867="","New item",IF($L1867&gt;0,"UP",IF($L1867&lt;0,"down","same"))))</f>
        <v/>
      </c>
    </row>
    <row r="1868">
      <c r="A1868" s="11">
        <f>IF('Data Entry'!A1868="","",'Data Entry'!A1868)</f>
        <v/>
      </c>
      <c r="B1868" s="12">
        <f>IF('Data Entry'!A1868="","",'Data Entry'!B1868)</f>
        <v/>
      </c>
      <c r="C1868" s="12">
        <f>IF('Data Entry'!A1868="","",'Data Entry'!C1868)</f>
        <v/>
      </c>
      <c r="D1868" s="12">
        <f>IF('Data Entry'!A1868="","",'Data Entry'!D1868)</f>
        <v/>
      </c>
      <c r="E1868" s="12">
        <f>IF('Data Entry'!A1868="","",'Data Entry'!E1868)</f>
        <v/>
      </c>
      <c r="F1868" s="12">
        <f>IF('Data Entry'!A1868="","",'Data Entry'!F1868)</f>
        <v/>
      </c>
      <c r="G1868" s="13">
        <f>IF('Data Entry'!A1868="","",'Data Entry'!G1868)</f>
        <v/>
      </c>
      <c r="H1868" s="10">
        <f>IF('Data Entry'!A1868="","",'Data Entry'!H1868)</f>
        <v/>
      </c>
      <c r="I1868" s="10">
        <f>IF('Data Entry'!A1868="","",'Data Entry'!I1868)</f>
        <v/>
      </c>
      <c r="J1868" s="12">
        <f>IF('Data Entry'!A1868="","",IF('Data Entry'!D1868&lt;&gt;"",'Data Entry'!D1868,'Data Entry'!E1868))</f>
        <v/>
      </c>
      <c r="K1868" s="10">
        <f>IF('Data Entry'!A1868="","",IFERROR(SUMIFS($H$5:$H$2001,$J$5:$J$2001,$J1868,$B$5:$B$2001,$B1868,$A$5:$A$2001,(MAXIFS($A$5:$A$2001,$J$5:$J$2001,$J1868,$B$5:$B$2001,$B1868,$A$5:$A$2001,"&lt;"&amp;$A1868))),""))</f>
        <v/>
      </c>
      <c r="L1868" s="14">
        <f>IF(OR('Data Entry'!A1868="",$K1868=""),"",$H1868-$K1868)</f>
        <v/>
      </c>
      <c r="M1868" s="15">
        <f>IF(OR('Data Entry'!A1868="",$K1868="",$K1868=0),"",$L1868/$K1868)</f>
        <v/>
      </c>
      <c r="N1868" s="12">
        <f>IF('Data Entry'!A1868="","",IF($L1868="","New item",IF($L1868&gt;0,"UP",IF($L1868&lt;0,"down","same"))))</f>
        <v/>
      </c>
    </row>
    <row r="1869">
      <c r="A1869" s="11">
        <f>IF('Data Entry'!A1869="","",'Data Entry'!A1869)</f>
        <v/>
      </c>
      <c r="B1869" s="12">
        <f>IF('Data Entry'!A1869="","",'Data Entry'!B1869)</f>
        <v/>
      </c>
      <c r="C1869" s="12">
        <f>IF('Data Entry'!A1869="","",'Data Entry'!C1869)</f>
        <v/>
      </c>
      <c r="D1869" s="12">
        <f>IF('Data Entry'!A1869="","",'Data Entry'!D1869)</f>
        <v/>
      </c>
      <c r="E1869" s="12">
        <f>IF('Data Entry'!A1869="","",'Data Entry'!E1869)</f>
        <v/>
      </c>
      <c r="F1869" s="12">
        <f>IF('Data Entry'!A1869="","",'Data Entry'!F1869)</f>
        <v/>
      </c>
      <c r="G1869" s="13">
        <f>IF('Data Entry'!A1869="","",'Data Entry'!G1869)</f>
        <v/>
      </c>
      <c r="H1869" s="10">
        <f>IF('Data Entry'!A1869="","",'Data Entry'!H1869)</f>
        <v/>
      </c>
      <c r="I1869" s="10">
        <f>IF('Data Entry'!A1869="","",'Data Entry'!I1869)</f>
        <v/>
      </c>
      <c r="J1869" s="12">
        <f>IF('Data Entry'!A1869="","",IF('Data Entry'!D1869&lt;&gt;"",'Data Entry'!D1869,'Data Entry'!E1869))</f>
        <v/>
      </c>
      <c r="K1869" s="10">
        <f>IF('Data Entry'!A1869="","",IFERROR(SUMIFS($H$5:$H$2001,$J$5:$J$2001,$J1869,$B$5:$B$2001,$B1869,$A$5:$A$2001,(MAXIFS($A$5:$A$2001,$J$5:$J$2001,$J1869,$B$5:$B$2001,$B1869,$A$5:$A$2001,"&lt;"&amp;$A1869))),""))</f>
        <v/>
      </c>
      <c r="L1869" s="14">
        <f>IF(OR('Data Entry'!A1869="",$K1869=""),"",$H1869-$K1869)</f>
        <v/>
      </c>
      <c r="M1869" s="15">
        <f>IF(OR('Data Entry'!A1869="",$K1869="",$K1869=0),"",$L1869/$K1869)</f>
        <v/>
      </c>
      <c r="N1869" s="12">
        <f>IF('Data Entry'!A1869="","",IF($L1869="","New item",IF($L1869&gt;0,"UP",IF($L1869&lt;0,"down","same"))))</f>
        <v/>
      </c>
    </row>
    <row r="1870">
      <c r="A1870" s="11">
        <f>IF('Data Entry'!A1870="","",'Data Entry'!A1870)</f>
        <v/>
      </c>
      <c r="B1870" s="12">
        <f>IF('Data Entry'!A1870="","",'Data Entry'!B1870)</f>
        <v/>
      </c>
      <c r="C1870" s="12">
        <f>IF('Data Entry'!A1870="","",'Data Entry'!C1870)</f>
        <v/>
      </c>
      <c r="D1870" s="12">
        <f>IF('Data Entry'!A1870="","",'Data Entry'!D1870)</f>
        <v/>
      </c>
      <c r="E1870" s="12">
        <f>IF('Data Entry'!A1870="","",'Data Entry'!E1870)</f>
        <v/>
      </c>
      <c r="F1870" s="12">
        <f>IF('Data Entry'!A1870="","",'Data Entry'!F1870)</f>
        <v/>
      </c>
      <c r="G1870" s="13">
        <f>IF('Data Entry'!A1870="","",'Data Entry'!G1870)</f>
        <v/>
      </c>
      <c r="H1870" s="10">
        <f>IF('Data Entry'!A1870="","",'Data Entry'!H1870)</f>
        <v/>
      </c>
      <c r="I1870" s="10">
        <f>IF('Data Entry'!A1870="","",'Data Entry'!I1870)</f>
        <v/>
      </c>
      <c r="J1870" s="12">
        <f>IF('Data Entry'!A1870="","",IF('Data Entry'!D1870&lt;&gt;"",'Data Entry'!D1870,'Data Entry'!E1870))</f>
        <v/>
      </c>
      <c r="K1870" s="10">
        <f>IF('Data Entry'!A1870="","",IFERROR(SUMIFS($H$5:$H$2001,$J$5:$J$2001,$J1870,$B$5:$B$2001,$B1870,$A$5:$A$2001,(MAXIFS($A$5:$A$2001,$J$5:$J$2001,$J1870,$B$5:$B$2001,$B1870,$A$5:$A$2001,"&lt;"&amp;$A1870))),""))</f>
        <v/>
      </c>
      <c r="L1870" s="14">
        <f>IF(OR('Data Entry'!A1870="",$K1870=""),"",$H1870-$K1870)</f>
        <v/>
      </c>
      <c r="M1870" s="15">
        <f>IF(OR('Data Entry'!A1870="",$K1870="",$K1870=0),"",$L1870/$K1870)</f>
        <v/>
      </c>
      <c r="N1870" s="12">
        <f>IF('Data Entry'!A1870="","",IF($L1870="","New item",IF($L1870&gt;0,"UP",IF($L1870&lt;0,"down","same"))))</f>
        <v/>
      </c>
    </row>
    <row r="1871">
      <c r="A1871" s="11">
        <f>IF('Data Entry'!A1871="","",'Data Entry'!A1871)</f>
        <v/>
      </c>
      <c r="B1871" s="12">
        <f>IF('Data Entry'!A1871="","",'Data Entry'!B1871)</f>
        <v/>
      </c>
      <c r="C1871" s="12">
        <f>IF('Data Entry'!A1871="","",'Data Entry'!C1871)</f>
        <v/>
      </c>
      <c r="D1871" s="12">
        <f>IF('Data Entry'!A1871="","",'Data Entry'!D1871)</f>
        <v/>
      </c>
      <c r="E1871" s="12">
        <f>IF('Data Entry'!A1871="","",'Data Entry'!E1871)</f>
        <v/>
      </c>
      <c r="F1871" s="12">
        <f>IF('Data Entry'!A1871="","",'Data Entry'!F1871)</f>
        <v/>
      </c>
      <c r="G1871" s="13">
        <f>IF('Data Entry'!A1871="","",'Data Entry'!G1871)</f>
        <v/>
      </c>
      <c r="H1871" s="10">
        <f>IF('Data Entry'!A1871="","",'Data Entry'!H1871)</f>
        <v/>
      </c>
      <c r="I1871" s="10">
        <f>IF('Data Entry'!A1871="","",'Data Entry'!I1871)</f>
        <v/>
      </c>
      <c r="J1871" s="12">
        <f>IF('Data Entry'!A1871="","",IF('Data Entry'!D1871&lt;&gt;"",'Data Entry'!D1871,'Data Entry'!E1871))</f>
        <v/>
      </c>
      <c r="K1871" s="10">
        <f>IF('Data Entry'!A1871="","",IFERROR(SUMIFS($H$5:$H$2001,$J$5:$J$2001,$J1871,$B$5:$B$2001,$B1871,$A$5:$A$2001,(MAXIFS($A$5:$A$2001,$J$5:$J$2001,$J1871,$B$5:$B$2001,$B1871,$A$5:$A$2001,"&lt;"&amp;$A1871))),""))</f>
        <v/>
      </c>
      <c r="L1871" s="14">
        <f>IF(OR('Data Entry'!A1871="",$K1871=""),"",$H1871-$K1871)</f>
        <v/>
      </c>
      <c r="M1871" s="15">
        <f>IF(OR('Data Entry'!A1871="",$K1871="",$K1871=0),"",$L1871/$K1871)</f>
        <v/>
      </c>
      <c r="N1871" s="12">
        <f>IF('Data Entry'!A1871="","",IF($L1871="","New item",IF($L1871&gt;0,"UP",IF($L1871&lt;0,"down","same"))))</f>
        <v/>
      </c>
    </row>
    <row r="1872">
      <c r="A1872" s="11">
        <f>IF('Data Entry'!A1872="","",'Data Entry'!A1872)</f>
        <v/>
      </c>
      <c r="B1872" s="12">
        <f>IF('Data Entry'!A1872="","",'Data Entry'!B1872)</f>
        <v/>
      </c>
      <c r="C1872" s="12">
        <f>IF('Data Entry'!A1872="","",'Data Entry'!C1872)</f>
        <v/>
      </c>
      <c r="D1872" s="12">
        <f>IF('Data Entry'!A1872="","",'Data Entry'!D1872)</f>
        <v/>
      </c>
      <c r="E1872" s="12">
        <f>IF('Data Entry'!A1872="","",'Data Entry'!E1872)</f>
        <v/>
      </c>
      <c r="F1872" s="12">
        <f>IF('Data Entry'!A1872="","",'Data Entry'!F1872)</f>
        <v/>
      </c>
      <c r="G1872" s="13">
        <f>IF('Data Entry'!A1872="","",'Data Entry'!G1872)</f>
        <v/>
      </c>
      <c r="H1872" s="10">
        <f>IF('Data Entry'!A1872="","",'Data Entry'!H1872)</f>
        <v/>
      </c>
      <c r="I1872" s="10">
        <f>IF('Data Entry'!A1872="","",'Data Entry'!I1872)</f>
        <v/>
      </c>
      <c r="J1872" s="12">
        <f>IF('Data Entry'!A1872="","",IF('Data Entry'!D1872&lt;&gt;"",'Data Entry'!D1872,'Data Entry'!E1872))</f>
        <v/>
      </c>
      <c r="K1872" s="10">
        <f>IF('Data Entry'!A1872="","",IFERROR(SUMIFS($H$5:$H$2001,$J$5:$J$2001,$J1872,$B$5:$B$2001,$B1872,$A$5:$A$2001,(MAXIFS($A$5:$A$2001,$J$5:$J$2001,$J1872,$B$5:$B$2001,$B1872,$A$5:$A$2001,"&lt;"&amp;$A1872))),""))</f>
        <v/>
      </c>
      <c r="L1872" s="14">
        <f>IF(OR('Data Entry'!A1872="",$K1872=""),"",$H1872-$K1872)</f>
        <v/>
      </c>
      <c r="M1872" s="15">
        <f>IF(OR('Data Entry'!A1872="",$K1872="",$K1872=0),"",$L1872/$K1872)</f>
        <v/>
      </c>
      <c r="N1872" s="12">
        <f>IF('Data Entry'!A1872="","",IF($L1872="","New item",IF($L1872&gt;0,"UP",IF($L1872&lt;0,"down","same"))))</f>
        <v/>
      </c>
    </row>
    <row r="1873">
      <c r="A1873" s="11">
        <f>IF('Data Entry'!A1873="","",'Data Entry'!A1873)</f>
        <v/>
      </c>
      <c r="B1873" s="12">
        <f>IF('Data Entry'!A1873="","",'Data Entry'!B1873)</f>
        <v/>
      </c>
      <c r="C1873" s="12">
        <f>IF('Data Entry'!A1873="","",'Data Entry'!C1873)</f>
        <v/>
      </c>
      <c r="D1873" s="12">
        <f>IF('Data Entry'!A1873="","",'Data Entry'!D1873)</f>
        <v/>
      </c>
      <c r="E1873" s="12">
        <f>IF('Data Entry'!A1873="","",'Data Entry'!E1873)</f>
        <v/>
      </c>
      <c r="F1873" s="12">
        <f>IF('Data Entry'!A1873="","",'Data Entry'!F1873)</f>
        <v/>
      </c>
      <c r="G1873" s="13">
        <f>IF('Data Entry'!A1873="","",'Data Entry'!G1873)</f>
        <v/>
      </c>
      <c r="H1873" s="10">
        <f>IF('Data Entry'!A1873="","",'Data Entry'!H1873)</f>
        <v/>
      </c>
      <c r="I1873" s="10">
        <f>IF('Data Entry'!A1873="","",'Data Entry'!I1873)</f>
        <v/>
      </c>
      <c r="J1873" s="12">
        <f>IF('Data Entry'!A1873="","",IF('Data Entry'!D1873&lt;&gt;"",'Data Entry'!D1873,'Data Entry'!E1873))</f>
        <v/>
      </c>
      <c r="K1873" s="10">
        <f>IF('Data Entry'!A1873="","",IFERROR(SUMIFS($H$5:$H$2001,$J$5:$J$2001,$J1873,$B$5:$B$2001,$B1873,$A$5:$A$2001,(MAXIFS($A$5:$A$2001,$J$5:$J$2001,$J1873,$B$5:$B$2001,$B1873,$A$5:$A$2001,"&lt;"&amp;$A1873))),""))</f>
        <v/>
      </c>
      <c r="L1873" s="14">
        <f>IF(OR('Data Entry'!A1873="",$K1873=""),"",$H1873-$K1873)</f>
        <v/>
      </c>
      <c r="M1873" s="15">
        <f>IF(OR('Data Entry'!A1873="",$K1873="",$K1873=0),"",$L1873/$K1873)</f>
        <v/>
      </c>
      <c r="N1873" s="12">
        <f>IF('Data Entry'!A1873="","",IF($L1873="","New item",IF($L1873&gt;0,"UP",IF($L1873&lt;0,"down","same"))))</f>
        <v/>
      </c>
    </row>
    <row r="1874">
      <c r="A1874" s="11">
        <f>IF('Data Entry'!A1874="","",'Data Entry'!A1874)</f>
        <v/>
      </c>
      <c r="B1874" s="12">
        <f>IF('Data Entry'!A1874="","",'Data Entry'!B1874)</f>
        <v/>
      </c>
      <c r="C1874" s="12">
        <f>IF('Data Entry'!A1874="","",'Data Entry'!C1874)</f>
        <v/>
      </c>
      <c r="D1874" s="12">
        <f>IF('Data Entry'!A1874="","",'Data Entry'!D1874)</f>
        <v/>
      </c>
      <c r="E1874" s="12">
        <f>IF('Data Entry'!A1874="","",'Data Entry'!E1874)</f>
        <v/>
      </c>
      <c r="F1874" s="12">
        <f>IF('Data Entry'!A1874="","",'Data Entry'!F1874)</f>
        <v/>
      </c>
      <c r="G1874" s="13">
        <f>IF('Data Entry'!A1874="","",'Data Entry'!G1874)</f>
        <v/>
      </c>
      <c r="H1874" s="10">
        <f>IF('Data Entry'!A1874="","",'Data Entry'!H1874)</f>
        <v/>
      </c>
      <c r="I1874" s="10">
        <f>IF('Data Entry'!A1874="","",'Data Entry'!I1874)</f>
        <v/>
      </c>
      <c r="J1874" s="12">
        <f>IF('Data Entry'!A1874="","",IF('Data Entry'!D1874&lt;&gt;"",'Data Entry'!D1874,'Data Entry'!E1874))</f>
        <v/>
      </c>
      <c r="K1874" s="10">
        <f>IF('Data Entry'!A1874="","",IFERROR(SUMIFS($H$5:$H$2001,$J$5:$J$2001,$J1874,$B$5:$B$2001,$B1874,$A$5:$A$2001,(MAXIFS($A$5:$A$2001,$J$5:$J$2001,$J1874,$B$5:$B$2001,$B1874,$A$5:$A$2001,"&lt;"&amp;$A1874))),""))</f>
        <v/>
      </c>
      <c r="L1874" s="14">
        <f>IF(OR('Data Entry'!A1874="",$K1874=""),"",$H1874-$K1874)</f>
        <v/>
      </c>
      <c r="M1874" s="15">
        <f>IF(OR('Data Entry'!A1874="",$K1874="",$K1874=0),"",$L1874/$K1874)</f>
        <v/>
      </c>
      <c r="N1874" s="12">
        <f>IF('Data Entry'!A1874="","",IF($L1874="","New item",IF($L1874&gt;0,"UP",IF($L1874&lt;0,"down","same"))))</f>
        <v/>
      </c>
    </row>
    <row r="1875">
      <c r="A1875" s="11">
        <f>IF('Data Entry'!A1875="","",'Data Entry'!A1875)</f>
        <v/>
      </c>
      <c r="B1875" s="12">
        <f>IF('Data Entry'!A1875="","",'Data Entry'!B1875)</f>
        <v/>
      </c>
      <c r="C1875" s="12">
        <f>IF('Data Entry'!A1875="","",'Data Entry'!C1875)</f>
        <v/>
      </c>
      <c r="D1875" s="12">
        <f>IF('Data Entry'!A1875="","",'Data Entry'!D1875)</f>
        <v/>
      </c>
      <c r="E1875" s="12">
        <f>IF('Data Entry'!A1875="","",'Data Entry'!E1875)</f>
        <v/>
      </c>
      <c r="F1875" s="12">
        <f>IF('Data Entry'!A1875="","",'Data Entry'!F1875)</f>
        <v/>
      </c>
      <c r="G1875" s="13">
        <f>IF('Data Entry'!A1875="","",'Data Entry'!G1875)</f>
        <v/>
      </c>
      <c r="H1875" s="10">
        <f>IF('Data Entry'!A1875="","",'Data Entry'!H1875)</f>
        <v/>
      </c>
      <c r="I1875" s="10">
        <f>IF('Data Entry'!A1875="","",'Data Entry'!I1875)</f>
        <v/>
      </c>
      <c r="J1875" s="12">
        <f>IF('Data Entry'!A1875="","",IF('Data Entry'!D1875&lt;&gt;"",'Data Entry'!D1875,'Data Entry'!E1875))</f>
        <v/>
      </c>
      <c r="K1875" s="10">
        <f>IF('Data Entry'!A1875="","",IFERROR(SUMIFS($H$5:$H$2001,$J$5:$J$2001,$J1875,$B$5:$B$2001,$B1875,$A$5:$A$2001,(MAXIFS($A$5:$A$2001,$J$5:$J$2001,$J1875,$B$5:$B$2001,$B1875,$A$5:$A$2001,"&lt;"&amp;$A1875))),""))</f>
        <v/>
      </c>
      <c r="L1875" s="14">
        <f>IF(OR('Data Entry'!A1875="",$K1875=""),"",$H1875-$K1875)</f>
        <v/>
      </c>
      <c r="M1875" s="15">
        <f>IF(OR('Data Entry'!A1875="",$K1875="",$K1875=0),"",$L1875/$K1875)</f>
        <v/>
      </c>
      <c r="N1875" s="12">
        <f>IF('Data Entry'!A1875="","",IF($L1875="","New item",IF($L1875&gt;0,"UP",IF($L1875&lt;0,"down","same"))))</f>
        <v/>
      </c>
    </row>
    <row r="1876">
      <c r="A1876" s="11">
        <f>IF('Data Entry'!A1876="","",'Data Entry'!A1876)</f>
        <v/>
      </c>
      <c r="B1876" s="12">
        <f>IF('Data Entry'!A1876="","",'Data Entry'!B1876)</f>
        <v/>
      </c>
      <c r="C1876" s="12">
        <f>IF('Data Entry'!A1876="","",'Data Entry'!C1876)</f>
        <v/>
      </c>
      <c r="D1876" s="12">
        <f>IF('Data Entry'!A1876="","",'Data Entry'!D1876)</f>
        <v/>
      </c>
      <c r="E1876" s="12">
        <f>IF('Data Entry'!A1876="","",'Data Entry'!E1876)</f>
        <v/>
      </c>
      <c r="F1876" s="12">
        <f>IF('Data Entry'!A1876="","",'Data Entry'!F1876)</f>
        <v/>
      </c>
      <c r="G1876" s="13">
        <f>IF('Data Entry'!A1876="","",'Data Entry'!G1876)</f>
        <v/>
      </c>
      <c r="H1876" s="10">
        <f>IF('Data Entry'!A1876="","",'Data Entry'!H1876)</f>
        <v/>
      </c>
      <c r="I1876" s="10">
        <f>IF('Data Entry'!A1876="","",'Data Entry'!I1876)</f>
        <v/>
      </c>
      <c r="J1876" s="12">
        <f>IF('Data Entry'!A1876="","",IF('Data Entry'!D1876&lt;&gt;"",'Data Entry'!D1876,'Data Entry'!E1876))</f>
        <v/>
      </c>
      <c r="K1876" s="10">
        <f>IF('Data Entry'!A1876="","",IFERROR(SUMIFS($H$5:$H$2001,$J$5:$J$2001,$J1876,$B$5:$B$2001,$B1876,$A$5:$A$2001,(MAXIFS($A$5:$A$2001,$J$5:$J$2001,$J1876,$B$5:$B$2001,$B1876,$A$5:$A$2001,"&lt;"&amp;$A1876))),""))</f>
        <v/>
      </c>
      <c r="L1876" s="14">
        <f>IF(OR('Data Entry'!A1876="",$K1876=""),"",$H1876-$K1876)</f>
        <v/>
      </c>
      <c r="M1876" s="15">
        <f>IF(OR('Data Entry'!A1876="",$K1876="",$K1876=0),"",$L1876/$K1876)</f>
        <v/>
      </c>
      <c r="N1876" s="12">
        <f>IF('Data Entry'!A1876="","",IF($L1876="","New item",IF($L1876&gt;0,"UP",IF($L1876&lt;0,"down","same"))))</f>
        <v/>
      </c>
    </row>
    <row r="1877">
      <c r="A1877" s="11">
        <f>IF('Data Entry'!A1877="","",'Data Entry'!A1877)</f>
        <v/>
      </c>
      <c r="B1877" s="12">
        <f>IF('Data Entry'!A1877="","",'Data Entry'!B1877)</f>
        <v/>
      </c>
      <c r="C1877" s="12">
        <f>IF('Data Entry'!A1877="","",'Data Entry'!C1877)</f>
        <v/>
      </c>
      <c r="D1877" s="12">
        <f>IF('Data Entry'!A1877="","",'Data Entry'!D1877)</f>
        <v/>
      </c>
      <c r="E1877" s="12">
        <f>IF('Data Entry'!A1877="","",'Data Entry'!E1877)</f>
        <v/>
      </c>
      <c r="F1877" s="12">
        <f>IF('Data Entry'!A1877="","",'Data Entry'!F1877)</f>
        <v/>
      </c>
      <c r="G1877" s="13">
        <f>IF('Data Entry'!A1877="","",'Data Entry'!G1877)</f>
        <v/>
      </c>
      <c r="H1877" s="10">
        <f>IF('Data Entry'!A1877="","",'Data Entry'!H1877)</f>
        <v/>
      </c>
      <c r="I1877" s="10">
        <f>IF('Data Entry'!A1877="","",'Data Entry'!I1877)</f>
        <v/>
      </c>
      <c r="J1877" s="12">
        <f>IF('Data Entry'!A1877="","",IF('Data Entry'!D1877&lt;&gt;"",'Data Entry'!D1877,'Data Entry'!E1877))</f>
        <v/>
      </c>
      <c r="K1877" s="10">
        <f>IF('Data Entry'!A1877="","",IFERROR(SUMIFS($H$5:$H$2001,$J$5:$J$2001,$J1877,$B$5:$B$2001,$B1877,$A$5:$A$2001,(MAXIFS($A$5:$A$2001,$J$5:$J$2001,$J1877,$B$5:$B$2001,$B1877,$A$5:$A$2001,"&lt;"&amp;$A1877))),""))</f>
        <v/>
      </c>
      <c r="L1877" s="14">
        <f>IF(OR('Data Entry'!A1877="",$K1877=""),"",$H1877-$K1877)</f>
        <v/>
      </c>
      <c r="M1877" s="15">
        <f>IF(OR('Data Entry'!A1877="",$K1877="",$K1877=0),"",$L1877/$K1877)</f>
        <v/>
      </c>
      <c r="N1877" s="12">
        <f>IF('Data Entry'!A1877="","",IF($L1877="","New item",IF($L1877&gt;0,"UP",IF($L1877&lt;0,"down","same"))))</f>
        <v/>
      </c>
    </row>
    <row r="1878">
      <c r="A1878" s="11">
        <f>IF('Data Entry'!A1878="","",'Data Entry'!A1878)</f>
        <v/>
      </c>
      <c r="B1878" s="12">
        <f>IF('Data Entry'!A1878="","",'Data Entry'!B1878)</f>
        <v/>
      </c>
      <c r="C1878" s="12">
        <f>IF('Data Entry'!A1878="","",'Data Entry'!C1878)</f>
        <v/>
      </c>
      <c r="D1878" s="12">
        <f>IF('Data Entry'!A1878="","",'Data Entry'!D1878)</f>
        <v/>
      </c>
      <c r="E1878" s="12">
        <f>IF('Data Entry'!A1878="","",'Data Entry'!E1878)</f>
        <v/>
      </c>
      <c r="F1878" s="12">
        <f>IF('Data Entry'!A1878="","",'Data Entry'!F1878)</f>
        <v/>
      </c>
      <c r="G1878" s="13">
        <f>IF('Data Entry'!A1878="","",'Data Entry'!G1878)</f>
        <v/>
      </c>
      <c r="H1878" s="10">
        <f>IF('Data Entry'!A1878="","",'Data Entry'!H1878)</f>
        <v/>
      </c>
      <c r="I1878" s="10">
        <f>IF('Data Entry'!A1878="","",'Data Entry'!I1878)</f>
        <v/>
      </c>
      <c r="J1878" s="12">
        <f>IF('Data Entry'!A1878="","",IF('Data Entry'!D1878&lt;&gt;"",'Data Entry'!D1878,'Data Entry'!E1878))</f>
        <v/>
      </c>
      <c r="K1878" s="10">
        <f>IF('Data Entry'!A1878="","",IFERROR(SUMIFS($H$5:$H$2001,$J$5:$J$2001,$J1878,$B$5:$B$2001,$B1878,$A$5:$A$2001,(MAXIFS($A$5:$A$2001,$J$5:$J$2001,$J1878,$B$5:$B$2001,$B1878,$A$5:$A$2001,"&lt;"&amp;$A1878))),""))</f>
        <v/>
      </c>
      <c r="L1878" s="14">
        <f>IF(OR('Data Entry'!A1878="",$K1878=""),"",$H1878-$K1878)</f>
        <v/>
      </c>
      <c r="M1878" s="15">
        <f>IF(OR('Data Entry'!A1878="",$K1878="",$K1878=0),"",$L1878/$K1878)</f>
        <v/>
      </c>
      <c r="N1878" s="12">
        <f>IF('Data Entry'!A1878="","",IF($L1878="","New item",IF($L1878&gt;0,"UP",IF($L1878&lt;0,"down","same"))))</f>
        <v/>
      </c>
    </row>
    <row r="1879">
      <c r="A1879" s="11">
        <f>IF('Data Entry'!A1879="","",'Data Entry'!A1879)</f>
        <v/>
      </c>
      <c r="B1879" s="12">
        <f>IF('Data Entry'!A1879="","",'Data Entry'!B1879)</f>
        <v/>
      </c>
      <c r="C1879" s="12">
        <f>IF('Data Entry'!A1879="","",'Data Entry'!C1879)</f>
        <v/>
      </c>
      <c r="D1879" s="12">
        <f>IF('Data Entry'!A1879="","",'Data Entry'!D1879)</f>
        <v/>
      </c>
      <c r="E1879" s="12">
        <f>IF('Data Entry'!A1879="","",'Data Entry'!E1879)</f>
        <v/>
      </c>
      <c r="F1879" s="12">
        <f>IF('Data Entry'!A1879="","",'Data Entry'!F1879)</f>
        <v/>
      </c>
      <c r="G1879" s="13">
        <f>IF('Data Entry'!A1879="","",'Data Entry'!G1879)</f>
        <v/>
      </c>
      <c r="H1879" s="10">
        <f>IF('Data Entry'!A1879="","",'Data Entry'!H1879)</f>
        <v/>
      </c>
      <c r="I1879" s="10">
        <f>IF('Data Entry'!A1879="","",'Data Entry'!I1879)</f>
        <v/>
      </c>
      <c r="J1879" s="12">
        <f>IF('Data Entry'!A1879="","",IF('Data Entry'!D1879&lt;&gt;"",'Data Entry'!D1879,'Data Entry'!E1879))</f>
        <v/>
      </c>
      <c r="K1879" s="10">
        <f>IF('Data Entry'!A1879="","",IFERROR(SUMIFS($H$5:$H$2001,$J$5:$J$2001,$J1879,$B$5:$B$2001,$B1879,$A$5:$A$2001,(MAXIFS($A$5:$A$2001,$J$5:$J$2001,$J1879,$B$5:$B$2001,$B1879,$A$5:$A$2001,"&lt;"&amp;$A1879))),""))</f>
        <v/>
      </c>
      <c r="L1879" s="14">
        <f>IF(OR('Data Entry'!A1879="",$K1879=""),"",$H1879-$K1879)</f>
        <v/>
      </c>
      <c r="M1879" s="15">
        <f>IF(OR('Data Entry'!A1879="",$K1879="",$K1879=0),"",$L1879/$K1879)</f>
        <v/>
      </c>
      <c r="N1879" s="12">
        <f>IF('Data Entry'!A1879="","",IF($L1879="","New item",IF($L1879&gt;0,"UP",IF($L1879&lt;0,"down","same"))))</f>
        <v/>
      </c>
    </row>
    <row r="1880">
      <c r="A1880" s="11">
        <f>IF('Data Entry'!A1880="","",'Data Entry'!A1880)</f>
        <v/>
      </c>
      <c r="B1880" s="12">
        <f>IF('Data Entry'!A1880="","",'Data Entry'!B1880)</f>
        <v/>
      </c>
      <c r="C1880" s="12">
        <f>IF('Data Entry'!A1880="","",'Data Entry'!C1880)</f>
        <v/>
      </c>
      <c r="D1880" s="12">
        <f>IF('Data Entry'!A1880="","",'Data Entry'!D1880)</f>
        <v/>
      </c>
      <c r="E1880" s="12">
        <f>IF('Data Entry'!A1880="","",'Data Entry'!E1880)</f>
        <v/>
      </c>
      <c r="F1880" s="12">
        <f>IF('Data Entry'!A1880="","",'Data Entry'!F1880)</f>
        <v/>
      </c>
      <c r="G1880" s="13">
        <f>IF('Data Entry'!A1880="","",'Data Entry'!G1880)</f>
        <v/>
      </c>
      <c r="H1880" s="10">
        <f>IF('Data Entry'!A1880="","",'Data Entry'!H1880)</f>
        <v/>
      </c>
      <c r="I1880" s="10">
        <f>IF('Data Entry'!A1880="","",'Data Entry'!I1880)</f>
        <v/>
      </c>
      <c r="J1880" s="12">
        <f>IF('Data Entry'!A1880="","",IF('Data Entry'!D1880&lt;&gt;"",'Data Entry'!D1880,'Data Entry'!E1880))</f>
        <v/>
      </c>
      <c r="K1880" s="10">
        <f>IF('Data Entry'!A1880="","",IFERROR(SUMIFS($H$5:$H$2001,$J$5:$J$2001,$J1880,$B$5:$B$2001,$B1880,$A$5:$A$2001,(MAXIFS($A$5:$A$2001,$J$5:$J$2001,$J1880,$B$5:$B$2001,$B1880,$A$5:$A$2001,"&lt;"&amp;$A1880))),""))</f>
        <v/>
      </c>
      <c r="L1880" s="14">
        <f>IF(OR('Data Entry'!A1880="",$K1880=""),"",$H1880-$K1880)</f>
        <v/>
      </c>
      <c r="M1880" s="15">
        <f>IF(OR('Data Entry'!A1880="",$K1880="",$K1880=0),"",$L1880/$K1880)</f>
        <v/>
      </c>
      <c r="N1880" s="12">
        <f>IF('Data Entry'!A1880="","",IF($L1880="","New item",IF($L1880&gt;0,"UP",IF($L1880&lt;0,"down","same"))))</f>
        <v/>
      </c>
    </row>
    <row r="1881">
      <c r="A1881" s="11">
        <f>IF('Data Entry'!A1881="","",'Data Entry'!A1881)</f>
        <v/>
      </c>
      <c r="B1881" s="12">
        <f>IF('Data Entry'!A1881="","",'Data Entry'!B1881)</f>
        <v/>
      </c>
      <c r="C1881" s="12">
        <f>IF('Data Entry'!A1881="","",'Data Entry'!C1881)</f>
        <v/>
      </c>
      <c r="D1881" s="12">
        <f>IF('Data Entry'!A1881="","",'Data Entry'!D1881)</f>
        <v/>
      </c>
      <c r="E1881" s="12">
        <f>IF('Data Entry'!A1881="","",'Data Entry'!E1881)</f>
        <v/>
      </c>
      <c r="F1881" s="12">
        <f>IF('Data Entry'!A1881="","",'Data Entry'!F1881)</f>
        <v/>
      </c>
      <c r="G1881" s="13">
        <f>IF('Data Entry'!A1881="","",'Data Entry'!G1881)</f>
        <v/>
      </c>
      <c r="H1881" s="10">
        <f>IF('Data Entry'!A1881="","",'Data Entry'!H1881)</f>
        <v/>
      </c>
      <c r="I1881" s="10">
        <f>IF('Data Entry'!A1881="","",'Data Entry'!I1881)</f>
        <v/>
      </c>
      <c r="J1881" s="12">
        <f>IF('Data Entry'!A1881="","",IF('Data Entry'!D1881&lt;&gt;"",'Data Entry'!D1881,'Data Entry'!E1881))</f>
        <v/>
      </c>
      <c r="K1881" s="10">
        <f>IF('Data Entry'!A1881="","",IFERROR(SUMIFS($H$5:$H$2001,$J$5:$J$2001,$J1881,$B$5:$B$2001,$B1881,$A$5:$A$2001,(MAXIFS($A$5:$A$2001,$J$5:$J$2001,$J1881,$B$5:$B$2001,$B1881,$A$5:$A$2001,"&lt;"&amp;$A1881))),""))</f>
        <v/>
      </c>
      <c r="L1881" s="14">
        <f>IF(OR('Data Entry'!A1881="",$K1881=""),"",$H1881-$K1881)</f>
        <v/>
      </c>
      <c r="M1881" s="15">
        <f>IF(OR('Data Entry'!A1881="",$K1881="",$K1881=0),"",$L1881/$K1881)</f>
        <v/>
      </c>
      <c r="N1881" s="12">
        <f>IF('Data Entry'!A1881="","",IF($L1881="","New item",IF($L1881&gt;0,"UP",IF($L1881&lt;0,"down","same"))))</f>
        <v/>
      </c>
    </row>
    <row r="1882">
      <c r="A1882" s="11">
        <f>IF('Data Entry'!A1882="","",'Data Entry'!A1882)</f>
        <v/>
      </c>
      <c r="B1882" s="12">
        <f>IF('Data Entry'!A1882="","",'Data Entry'!B1882)</f>
        <v/>
      </c>
      <c r="C1882" s="12">
        <f>IF('Data Entry'!A1882="","",'Data Entry'!C1882)</f>
        <v/>
      </c>
      <c r="D1882" s="12">
        <f>IF('Data Entry'!A1882="","",'Data Entry'!D1882)</f>
        <v/>
      </c>
      <c r="E1882" s="12">
        <f>IF('Data Entry'!A1882="","",'Data Entry'!E1882)</f>
        <v/>
      </c>
      <c r="F1882" s="12">
        <f>IF('Data Entry'!A1882="","",'Data Entry'!F1882)</f>
        <v/>
      </c>
      <c r="G1882" s="13">
        <f>IF('Data Entry'!A1882="","",'Data Entry'!G1882)</f>
        <v/>
      </c>
      <c r="H1882" s="10">
        <f>IF('Data Entry'!A1882="","",'Data Entry'!H1882)</f>
        <v/>
      </c>
      <c r="I1882" s="10">
        <f>IF('Data Entry'!A1882="","",'Data Entry'!I1882)</f>
        <v/>
      </c>
      <c r="J1882" s="12">
        <f>IF('Data Entry'!A1882="","",IF('Data Entry'!D1882&lt;&gt;"",'Data Entry'!D1882,'Data Entry'!E1882))</f>
        <v/>
      </c>
      <c r="K1882" s="10">
        <f>IF('Data Entry'!A1882="","",IFERROR(SUMIFS($H$5:$H$2001,$J$5:$J$2001,$J1882,$B$5:$B$2001,$B1882,$A$5:$A$2001,(MAXIFS($A$5:$A$2001,$J$5:$J$2001,$J1882,$B$5:$B$2001,$B1882,$A$5:$A$2001,"&lt;"&amp;$A1882))),""))</f>
        <v/>
      </c>
      <c r="L1882" s="14">
        <f>IF(OR('Data Entry'!A1882="",$K1882=""),"",$H1882-$K1882)</f>
        <v/>
      </c>
      <c r="M1882" s="15">
        <f>IF(OR('Data Entry'!A1882="",$K1882="",$K1882=0),"",$L1882/$K1882)</f>
        <v/>
      </c>
      <c r="N1882" s="12">
        <f>IF('Data Entry'!A1882="","",IF($L1882="","New item",IF($L1882&gt;0,"UP",IF($L1882&lt;0,"down","same"))))</f>
        <v/>
      </c>
    </row>
    <row r="1883">
      <c r="A1883" s="11">
        <f>IF('Data Entry'!A1883="","",'Data Entry'!A1883)</f>
        <v/>
      </c>
      <c r="B1883" s="12">
        <f>IF('Data Entry'!A1883="","",'Data Entry'!B1883)</f>
        <v/>
      </c>
      <c r="C1883" s="12">
        <f>IF('Data Entry'!A1883="","",'Data Entry'!C1883)</f>
        <v/>
      </c>
      <c r="D1883" s="12">
        <f>IF('Data Entry'!A1883="","",'Data Entry'!D1883)</f>
        <v/>
      </c>
      <c r="E1883" s="12">
        <f>IF('Data Entry'!A1883="","",'Data Entry'!E1883)</f>
        <v/>
      </c>
      <c r="F1883" s="12">
        <f>IF('Data Entry'!A1883="","",'Data Entry'!F1883)</f>
        <v/>
      </c>
      <c r="G1883" s="13">
        <f>IF('Data Entry'!A1883="","",'Data Entry'!G1883)</f>
        <v/>
      </c>
      <c r="H1883" s="10">
        <f>IF('Data Entry'!A1883="","",'Data Entry'!H1883)</f>
        <v/>
      </c>
      <c r="I1883" s="10">
        <f>IF('Data Entry'!A1883="","",'Data Entry'!I1883)</f>
        <v/>
      </c>
      <c r="J1883" s="12">
        <f>IF('Data Entry'!A1883="","",IF('Data Entry'!D1883&lt;&gt;"",'Data Entry'!D1883,'Data Entry'!E1883))</f>
        <v/>
      </c>
      <c r="K1883" s="10">
        <f>IF('Data Entry'!A1883="","",IFERROR(SUMIFS($H$5:$H$2001,$J$5:$J$2001,$J1883,$B$5:$B$2001,$B1883,$A$5:$A$2001,(MAXIFS($A$5:$A$2001,$J$5:$J$2001,$J1883,$B$5:$B$2001,$B1883,$A$5:$A$2001,"&lt;"&amp;$A1883))),""))</f>
        <v/>
      </c>
      <c r="L1883" s="14">
        <f>IF(OR('Data Entry'!A1883="",$K1883=""),"",$H1883-$K1883)</f>
        <v/>
      </c>
      <c r="M1883" s="15">
        <f>IF(OR('Data Entry'!A1883="",$K1883="",$K1883=0),"",$L1883/$K1883)</f>
        <v/>
      </c>
      <c r="N1883" s="12">
        <f>IF('Data Entry'!A1883="","",IF($L1883="","New item",IF($L1883&gt;0,"UP",IF($L1883&lt;0,"down","same"))))</f>
        <v/>
      </c>
    </row>
    <row r="1884">
      <c r="A1884" s="11">
        <f>IF('Data Entry'!A1884="","",'Data Entry'!A1884)</f>
        <v/>
      </c>
      <c r="B1884" s="12">
        <f>IF('Data Entry'!A1884="","",'Data Entry'!B1884)</f>
        <v/>
      </c>
      <c r="C1884" s="12">
        <f>IF('Data Entry'!A1884="","",'Data Entry'!C1884)</f>
        <v/>
      </c>
      <c r="D1884" s="12">
        <f>IF('Data Entry'!A1884="","",'Data Entry'!D1884)</f>
        <v/>
      </c>
      <c r="E1884" s="12">
        <f>IF('Data Entry'!A1884="","",'Data Entry'!E1884)</f>
        <v/>
      </c>
      <c r="F1884" s="12">
        <f>IF('Data Entry'!A1884="","",'Data Entry'!F1884)</f>
        <v/>
      </c>
      <c r="G1884" s="13">
        <f>IF('Data Entry'!A1884="","",'Data Entry'!G1884)</f>
        <v/>
      </c>
      <c r="H1884" s="10">
        <f>IF('Data Entry'!A1884="","",'Data Entry'!H1884)</f>
        <v/>
      </c>
      <c r="I1884" s="10">
        <f>IF('Data Entry'!A1884="","",'Data Entry'!I1884)</f>
        <v/>
      </c>
      <c r="J1884" s="12">
        <f>IF('Data Entry'!A1884="","",IF('Data Entry'!D1884&lt;&gt;"",'Data Entry'!D1884,'Data Entry'!E1884))</f>
        <v/>
      </c>
      <c r="K1884" s="10">
        <f>IF('Data Entry'!A1884="","",IFERROR(SUMIFS($H$5:$H$2001,$J$5:$J$2001,$J1884,$B$5:$B$2001,$B1884,$A$5:$A$2001,(MAXIFS($A$5:$A$2001,$J$5:$J$2001,$J1884,$B$5:$B$2001,$B1884,$A$5:$A$2001,"&lt;"&amp;$A1884))),""))</f>
        <v/>
      </c>
      <c r="L1884" s="14">
        <f>IF(OR('Data Entry'!A1884="",$K1884=""),"",$H1884-$K1884)</f>
        <v/>
      </c>
      <c r="M1884" s="15">
        <f>IF(OR('Data Entry'!A1884="",$K1884="",$K1884=0),"",$L1884/$K1884)</f>
        <v/>
      </c>
      <c r="N1884" s="12">
        <f>IF('Data Entry'!A1884="","",IF($L1884="","New item",IF($L1884&gt;0,"UP",IF($L1884&lt;0,"down","same"))))</f>
        <v/>
      </c>
    </row>
    <row r="1885">
      <c r="A1885" s="11">
        <f>IF('Data Entry'!A1885="","",'Data Entry'!A1885)</f>
        <v/>
      </c>
      <c r="B1885" s="12">
        <f>IF('Data Entry'!A1885="","",'Data Entry'!B1885)</f>
        <v/>
      </c>
      <c r="C1885" s="12">
        <f>IF('Data Entry'!A1885="","",'Data Entry'!C1885)</f>
        <v/>
      </c>
      <c r="D1885" s="12">
        <f>IF('Data Entry'!A1885="","",'Data Entry'!D1885)</f>
        <v/>
      </c>
      <c r="E1885" s="12">
        <f>IF('Data Entry'!A1885="","",'Data Entry'!E1885)</f>
        <v/>
      </c>
      <c r="F1885" s="12">
        <f>IF('Data Entry'!A1885="","",'Data Entry'!F1885)</f>
        <v/>
      </c>
      <c r="G1885" s="13">
        <f>IF('Data Entry'!A1885="","",'Data Entry'!G1885)</f>
        <v/>
      </c>
      <c r="H1885" s="10">
        <f>IF('Data Entry'!A1885="","",'Data Entry'!H1885)</f>
        <v/>
      </c>
      <c r="I1885" s="10">
        <f>IF('Data Entry'!A1885="","",'Data Entry'!I1885)</f>
        <v/>
      </c>
      <c r="J1885" s="12">
        <f>IF('Data Entry'!A1885="","",IF('Data Entry'!D1885&lt;&gt;"",'Data Entry'!D1885,'Data Entry'!E1885))</f>
        <v/>
      </c>
      <c r="K1885" s="10">
        <f>IF('Data Entry'!A1885="","",IFERROR(SUMIFS($H$5:$H$2001,$J$5:$J$2001,$J1885,$B$5:$B$2001,$B1885,$A$5:$A$2001,(MAXIFS($A$5:$A$2001,$J$5:$J$2001,$J1885,$B$5:$B$2001,$B1885,$A$5:$A$2001,"&lt;"&amp;$A1885))),""))</f>
        <v/>
      </c>
      <c r="L1885" s="14">
        <f>IF(OR('Data Entry'!A1885="",$K1885=""),"",$H1885-$K1885)</f>
        <v/>
      </c>
      <c r="M1885" s="15">
        <f>IF(OR('Data Entry'!A1885="",$K1885="",$K1885=0),"",$L1885/$K1885)</f>
        <v/>
      </c>
      <c r="N1885" s="12">
        <f>IF('Data Entry'!A1885="","",IF($L1885="","New item",IF($L1885&gt;0,"UP",IF($L1885&lt;0,"down","same"))))</f>
        <v/>
      </c>
    </row>
    <row r="1886">
      <c r="A1886" s="11">
        <f>IF('Data Entry'!A1886="","",'Data Entry'!A1886)</f>
        <v/>
      </c>
      <c r="B1886" s="12">
        <f>IF('Data Entry'!A1886="","",'Data Entry'!B1886)</f>
        <v/>
      </c>
      <c r="C1886" s="12">
        <f>IF('Data Entry'!A1886="","",'Data Entry'!C1886)</f>
        <v/>
      </c>
      <c r="D1886" s="12">
        <f>IF('Data Entry'!A1886="","",'Data Entry'!D1886)</f>
        <v/>
      </c>
      <c r="E1886" s="12">
        <f>IF('Data Entry'!A1886="","",'Data Entry'!E1886)</f>
        <v/>
      </c>
      <c r="F1886" s="12">
        <f>IF('Data Entry'!A1886="","",'Data Entry'!F1886)</f>
        <v/>
      </c>
      <c r="G1886" s="13">
        <f>IF('Data Entry'!A1886="","",'Data Entry'!G1886)</f>
        <v/>
      </c>
      <c r="H1886" s="10">
        <f>IF('Data Entry'!A1886="","",'Data Entry'!H1886)</f>
        <v/>
      </c>
      <c r="I1886" s="10">
        <f>IF('Data Entry'!A1886="","",'Data Entry'!I1886)</f>
        <v/>
      </c>
      <c r="J1886" s="12">
        <f>IF('Data Entry'!A1886="","",IF('Data Entry'!D1886&lt;&gt;"",'Data Entry'!D1886,'Data Entry'!E1886))</f>
        <v/>
      </c>
      <c r="K1886" s="10">
        <f>IF('Data Entry'!A1886="","",IFERROR(SUMIFS($H$5:$H$2001,$J$5:$J$2001,$J1886,$B$5:$B$2001,$B1886,$A$5:$A$2001,(MAXIFS($A$5:$A$2001,$J$5:$J$2001,$J1886,$B$5:$B$2001,$B1886,$A$5:$A$2001,"&lt;"&amp;$A1886))),""))</f>
        <v/>
      </c>
      <c r="L1886" s="14">
        <f>IF(OR('Data Entry'!A1886="",$K1886=""),"",$H1886-$K1886)</f>
        <v/>
      </c>
      <c r="M1886" s="15">
        <f>IF(OR('Data Entry'!A1886="",$K1886="",$K1886=0),"",$L1886/$K1886)</f>
        <v/>
      </c>
      <c r="N1886" s="12">
        <f>IF('Data Entry'!A1886="","",IF($L1886="","New item",IF($L1886&gt;0,"UP",IF($L1886&lt;0,"down","same"))))</f>
        <v/>
      </c>
    </row>
    <row r="1887">
      <c r="A1887" s="11">
        <f>IF('Data Entry'!A1887="","",'Data Entry'!A1887)</f>
        <v/>
      </c>
      <c r="B1887" s="12">
        <f>IF('Data Entry'!A1887="","",'Data Entry'!B1887)</f>
        <v/>
      </c>
      <c r="C1887" s="12">
        <f>IF('Data Entry'!A1887="","",'Data Entry'!C1887)</f>
        <v/>
      </c>
      <c r="D1887" s="12">
        <f>IF('Data Entry'!A1887="","",'Data Entry'!D1887)</f>
        <v/>
      </c>
      <c r="E1887" s="12">
        <f>IF('Data Entry'!A1887="","",'Data Entry'!E1887)</f>
        <v/>
      </c>
      <c r="F1887" s="12">
        <f>IF('Data Entry'!A1887="","",'Data Entry'!F1887)</f>
        <v/>
      </c>
      <c r="G1887" s="13">
        <f>IF('Data Entry'!A1887="","",'Data Entry'!G1887)</f>
        <v/>
      </c>
      <c r="H1887" s="10">
        <f>IF('Data Entry'!A1887="","",'Data Entry'!H1887)</f>
        <v/>
      </c>
      <c r="I1887" s="10">
        <f>IF('Data Entry'!A1887="","",'Data Entry'!I1887)</f>
        <v/>
      </c>
      <c r="J1887" s="12">
        <f>IF('Data Entry'!A1887="","",IF('Data Entry'!D1887&lt;&gt;"",'Data Entry'!D1887,'Data Entry'!E1887))</f>
        <v/>
      </c>
      <c r="K1887" s="10">
        <f>IF('Data Entry'!A1887="","",IFERROR(SUMIFS($H$5:$H$2001,$J$5:$J$2001,$J1887,$B$5:$B$2001,$B1887,$A$5:$A$2001,(MAXIFS($A$5:$A$2001,$J$5:$J$2001,$J1887,$B$5:$B$2001,$B1887,$A$5:$A$2001,"&lt;"&amp;$A1887))),""))</f>
        <v/>
      </c>
      <c r="L1887" s="14">
        <f>IF(OR('Data Entry'!A1887="",$K1887=""),"",$H1887-$K1887)</f>
        <v/>
      </c>
      <c r="M1887" s="15">
        <f>IF(OR('Data Entry'!A1887="",$K1887="",$K1887=0),"",$L1887/$K1887)</f>
        <v/>
      </c>
      <c r="N1887" s="12">
        <f>IF('Data Entry'!A1887="","",IF($L1887="","New item",IF($L1887&gt;0,"UP",IF($L1887&lt;0,"down","same"))))</f>
        <v/>
      </c>
    </row>
    <row r="1888">
      <c r="A1888" s="11">
        <f>IF('Data Entry'!A1888="","",'Data Entry'!A1888)</f>
        <v/>
      </c>
      <c r="B1888" s="12">
        <f>IF('Data Entry'!A1888="","",'Data Entry'!B1888)</f>
        <v/>
      </c>
      <c r="C1888" s="12">
        <f>IF('Data Entry'!A1888="","",'Data Entry'!C1888)</f>
        <v/>
      </c>
      <c r="D1888" s="12">
        <f>IF('Data Entry'!A1888="","",'Data Entry'!D1888)</f>
        <v/>
      </c>
      <c r="E1888" s="12">
        <f>IF('Data Entry'!A1888="","",'Data Entry'!E1888)</f>
        <v/>
      </c>
      <c r="F1888" s="12">
        <f>IF('Data Entry'!A1888="","",'Data Entry'!F1888)</f>
        <v/>
      </c>
      <c r="G1888" s="13">
        <f>IF('Data Entry'!A1888="","",'Data Entry'!G1888)</f>
        <v/>
      </c>
      <c r="H1888" s="10">
        <f>IF('Data Entry'!A1888="","",'Data Entry'!H1888)</f>
        <v/>
      </c>
      <c r="I1888" s="10">
        <f>IF('Data Entry'!A1888="","",'Data Entry'!I1888)</f>
        <v/>
      </c>
      <c r="J1888" s="12">
        <f>IF('Data Entry'!A1888="","",IF('Data Entry'!D1888&lt;&gt;"",'Data Entry'!D1888,'Data Entry'!E1888))</f>
        <v/>
      </c>
      <c r="K1888" s="10">
        <f>IF('Data Entry'!A1888="","",IFERROR(SUMIFS($H$5:$H$2001,$J$5:$J$2001,$J1888,$B$5:$B$2001,$B1888,$A$5:$A$2001,(MAXIFS($A$5:$A$2001,$J$5:$J$2001,$J1888,$B$5:$B$2001,$B1888,$A$5:$A$2001,"&lt;"&amp;$A1888))),""))</f>
        <v/>
      </c>
      <c r="L1888" s="14">
        <f>IF(OR('Data Entry'!A1888="",$K1888=""),"",$H1888-$K1888)</f>
        <v/>
      </c>
      <c r="M1888" s="15">
        <f>IF(OR('Data Entry'!A1888="",$K1888="",$K1888=0),"",$L1888/$K1888)</f>
        <v/>
      </c>
      <c r="N1888" s="12">
        <f>IF('Data Entry'!A1888="","",IF($L1888="","New item",IF($L1888&gt;0,"UP",IF($L1888&lt;0,"down","same"))))</f>
        <v/>
      </c>
    </row>
    <row r="1889">
      <c r="A1889" s="11">
        <f>IF('Data Entry'!A1889="","",'Data Entry'!A1889)</f>
        <v/>
      </c>
      <c r="B1889" s="12">
        <f>IF('Data Entry'!A1889="","",'Data Entry'!B1889)</f>
        <v/>
      </c>
      <c r="C1889" s="12">
        <f>IF('Data Entry'!A1889="","",'Data Entry'!C1889)</f>
        <v/>
      </c>
      <c r="D1889" s="12">
        <f>IF('Data Entry'!A1889="","",'Data Entry'!D1889)</f>
        <v/>
      </c>
      <c r="E1889" s="12">
        <f>IF('Data Entry'!A1889="","",'Data Entry'!E1889)</f>
        <v/>
      </c>
      <c r="F1889" s="12">
        <f>IF('Data Entry'!A1889="","",'Data Entry'!F1889)</f>
        <v/>
      </c>
      <c r="G1889" s="13">
        <f>IF('Data Entry'!A1889="","",'Data Entry'!G1889)</f>
        <v/>
      </c>
      <c r="H1889" s="10">
        <f>IF('Data Entry'!A1889="","",'Data Entry'!H1889)</f>
        <v/>
      </c>
      <c r="I1889" s="10">
        <f>IF('Data Entry'!A1889="","",'Data Entry'!I1889)</f>
        <v/>
      </c>
      <c r="J1889" s="12">
        <f>IF('Data Entry'!A1889="","",IF('Data Entry'!D1889&lt;&gt;"",'Data Entry'!D1889,'Data Entry'!E1889))</f>
        <v/>
      </c>
      <c r="K1889" s="10">
        <f>IF('Data Entry'!A1889="","",IFERROR(SUMIFS($H$5:$H$2001,$J$5:$J$2001,$J1889,$B$5:$B$2001,$B1889,$A$5:$A$2001,(MAXIFS($A$5:$A$2001,$J$5:$J$2001,$J1889,$B$5:$B$2001,$B1889,$A$5:$A$2001,"&lt;"&amp;$A1889))),""))</f>
        <v/>
      </c>
      <c r="L1889" s="14">
        <f>IF(OR('Data Entry'!A1889="",$K1889=""),"",$H1889-$K1889)</f>
        <v/>
      </c>
      <c r="M1889" s="15">
        <f>IF(OR('Data Entry'!A1889="",$K1889="",$K1889=0),"",$L1889/$K1889)</f>
        <v/>
      </c>
      <c r="N1889" s="12">
        <f>IF('Data Entry'!A1889="","",IF($L1889="","New item",IF($L1889&gt;0,"UP",IF($L1889&lt;0,"down","same"))))</f>
        <v/>
      </c>
    </row>
    <row r="1890">
      <c r="A1890" s="11">
        <f>IF('Data Entry'!A1890="","",'Data Entry'!A1890)</f>
        <v/>
      </c>
      <c r="B1890" s="12">
        <f>IF('Data Entry'!A1890="","",'Data Entry'!B1890)</f>
        <v/>
      </c>
      <c r="C1890" s="12">
        <f>IF('Data Entry'!A1890="","",'Data Entry'!C1890)</f>
        <v/>
      </c>
      <c r="D1890" s="12">
        <f>IF('Data Entry'!A1890="","",'Data Entry'!D1890)</f>
        <v/>
      </c>
      <c r="E1890" s="12">
        <f>IF('Data Entry'!A1890="","",'Data Entry'!E1890)</f>
        <v/>
      </c>
      <c r="F1890" s="12">
        <f>IF('Data Entry'!A1890="","",'Data Entry'!F1890)</f>
        <v/>
      </c>
      <c r="G1890" s="13">
        <f>IF('Data Entry'!A1890="","",'Data Entry'!G1890)</f>
        <v/>
      </c>
      <c r="H1890" s="10">
        <f>IF('Data Entry'!A1890="","",'Data Entry'!H1890)</f>
        <v/>
      </c>
      <c r="I1890" s="10">
        <f>IF('Data Entry'!A1890="","",'Data Entry'!I1890)</f>
        <v/>
      </c>
      <c r="J1890" s="12">
        <f>IF('Data Entry'!A1890="","",IF('Data Entry'!D1890&lt;&gt;"",'Data Entry'!D1890,'Data Entry'!E1890))</f>
        <v/>
      </c>
      <c r="K1890" s="10">
        <f>IF('Data Entry'!A1890="","",IFERROR(SUMIFS($H$5:$H$2001,$J$5:$J$2001,$J1890,$B$5:$B$2001,$B1890,$A$5:$A$2001,(MAXIFS($A$5:$A$2001,$J$5:$J$2001,$J1890,$B$5:$B$2001,$B1890,$A$5:$A$2001,"&lt;"&amp;$A1890))),""))</f>
        <v/>
      </c>
      <c r="L1890" s="14">
        <f>IF(OR('Data Entry'!A1890="",$K1890=""),"",$H1890-$K1890)</f>
        <v/>
      </c>
      <c r="M1890" s="15">
        <f>IF(OR('Data Entry'!A1890="",$K1890="",$K1890=0),"",$L1890/$K1890)</f>
        <v/>
      </c>
      <c r="N1890" s="12">
        <f>IF('Data Entry'!A1890="","",IF($L1890="","New item",IF($L1890&gt;0,"UP",IF($L1890&lt;0,"down","same"))))</f>
        <v/>
      </c>
    </row>
    <row r="1891">
      <c r="A1891" s="11">
        <f>IF('Data Entry'!A1891="","",'Data Entry'!A1891)</f>
        <v/>
      </c>
      <c r="B1891" s="12">
        <f>IF('Data Entry'!A1891="","",'Data Entry'!B1891)</f>
        <v/>
      </c>
      <c r="C1891" s="12">
        <f>IF('Data Entry'!A1891="","",'Data Entry'!C1891)</f>
        <v/>
      </c>
      <c r="D1891" s="12">
        <f>IF('Data Entry'!A1891="","",'Data Entry'!D1891)</f>
        <v/>
      </c>
      <c r="E1891" s="12">
        <f>IF('Data Entry'!A1891="","",'Data Entry'!E1891)</f>
        <v/>
      </c>
      <c r="F1891" s="12">
        <f>IF('Data Entry'!A1891="","",'Data Entry'!F1891)</f>
        <v/>
      </c>
      <c r="G1891" s="13">
        <f>IF('Data Entry'!A1891="","",'Data Entry'!G1891)</f>
        <v/>
      </c>
      <c r="H1891" s="10">
        <f>IF('Data Entry'!A1891="","",'Data Entry'!H1891)</f>
        <v/>
      </c>
      <c r="I1891" s="10">
        <f>IF('Data Entry'!A1891="","",'Data Entry'!I1891)</f>
        <v/>
      </c>
      <c r="J1891" s="12">
        <f>IF('Data Entry'!A1891="","",IF('Data Entry'!D1891&lt;&gt;"",'Data Entry'!D1891,'Data Entry'!E1891))</f>
        <v/>
      </c>
      <c r="K1891" s="10">
        <f>IF('Data Entry'!A1891="","",IFERROR(SUMIFS($H$5:$H$2001,$J$5:$J$2001,$J1891,$B$5:$B$2001,$B1891,$A$5:$A$2001,(MAXIFS($A$5:$A$2001,$J$5:$J$2001,$J1891,$B$5:$B$2001,$B1891,$A$5:$A$2001,"&lt;"&amp;$A1891))),""))</f>
        <v/>
      </c>
      <c r="L1891" s="14">
        <f>IF(OR('Data Entry'!A1891="",$K1891=""),"",$H1891-$K1891)</f>
        <v/>
      </c>
      <c r="M1891" s="15">
        <f>IF(OR('Data Entry'!A1891="",$K1891="",$K1891=0),"",$L1891/$K1891)</f>
        <v/>
      </c>
      <c r="N1891" s="12">
        <f>IF('Data Entry'!A1891="","",IF($L1891="","New item",IF($L1891&gt;0,"UP",IF($L1891&lt;0,"down","same"))))</f>
        <v/>
      </c>
    </row>
    <row r="1892">
      <c r="A1892" s="11">
        <f>IF('Data Entry'!A1892="","",'Data Entry'!A1892)</f>
        <v/>
      </c>
      <c r="B1892" s="12">
        <f>IF('Data Entry'!A1892="","",'Data Entry'!B1892)</f>
        <v/>
      </c>
      <c r="C1892" s="12">
        <f>IF('Data Entry'!A1892="","",'Data Entry'!C1892)</f>
        <v/>
      </c>
      <c r="D1892" s="12">
        <f>IF('Data Entry'!A1892="","",'Data Entry'!D1892)</f>
        <v/>
      </c>
      <c r="E1892" s="12">
        <f>IF('Data Entry'!A1892="","",'Data Entry'!E1892)</f>
        <v/>
      </c>
      <c r="F1892" s="12">
        <f>IF('Data Entry'!A1892="","",'Data Entry'!F1892)</f>
        <v/>
      </c>
      <c r="G1892" s="13">
        <f>IF('Data Entry'!A1892="","",'Data Entry'!G1892)</f>
        <v/>
      </c>
      <c r="H1892" s="10">
        <f>IF('Data Entry'!A1892="","",'Data Entry'!H1892)</f>
        <v/>
      </c>
      <c r="I1892" s="10">
        <f>IF('Data Entry'!A1892="","",'Data Entry'!I1892)</f>
        <v/>
      </c>
      <c r="J1892" s="12">
        <f>IF('Data Entry'!A1892="","",IF('Data Entry'!D1892&lt;&gt;"",'Data Entry'!D1892,'Data Entry'!E1892))</f>
        <v/>
      </c>
      <c r="K1892" s="10">
        <f>IF('Data Entry'!A1892="","",IFERROR(SUMIFS($H$5:$H$2001,$J$5:$J$2001,$J1892,$B$5:$B$2001,$B1892,$A$5:$A$2001,(MAXIFS($A$5:$A$2001,$J$5:$J$2001,$J1892,$B$5:$B$2001,$B1892,$A$5:$A$2001,"&lt;"&amp;$A1892))),""))</f>
        <v/>
      </c>
      <c r="L1892" s="14">
        <f>IF(OR('Data Entry'!A1892="",$K1892=""),"",$H1892-$K1892)</f>
        <v/>
      </c>
      <c r="M1892" s="15">
        <f>IF(OR('Data Entry'!A1892="",$K1892="",$K1892=0),"",$L1892/$K1892)</f>
        <v/>
      </c>
      <c r="N1892" s="12">
        <f>IF('Data Entry'!A1892="","",IF($L1892="","New item",IF($L1892&gt;0,"UP",IF($L1892&lt;0,"down","same"))))</f>
        <v/>
      </c>
    </row>
    <row r="1893">
      <c r="A1893" s="11">
        <f>IF('Data Entry'!A1893="","",'Data Entry'!A1893)</f>
        <v/>
      </c>
      <c r="B1893" s="12">
        <f>IF('Data Entry'!A1893="","",'Data Entry'!B1893)</f>
        <v/>
      </c>
      <c r="C1893" s="12">
        <f>IF('Data Entry'!A1893="","",'Data Entry'!C1893)</f>
        <v/>
      </c>
      <c r="D1893" s="12">
        <f>IF('Data Entry'!A1893="","",'Data Entry'!D1893)</f>
        <v/>
      </c>
      <c r="E1893" s="12">
        <f>IF('Data Entry'!A1893="","",'Data Entry'!E1893)</f>
        <v/>
      </c>
      <c r="F1893" s="12">
        <f>IF('Data Entry'!A1893="","",'Data Entry'!F1893)</f>
        <v/>
      </c>
      <c r="G1893" s="13">
        <f>IF('Data Entry'!A1893="","",'Data Entry'!G1893)</f>
        <v/>
      </c>
      <c r="H1893" s="10">
        <f>IF('Data Entry'!A1893="","",'Data Entry'!H1893)</f>
        <v/>
      </c>
      <c r="I1893" s="10">
        <f>IF('Data Entry'!A1893="","",'Data Entry'!I1893)</f>
        <v/>
      </c>
      <c r="J1893" s="12">
        <f>IF('Data Entry'!A1893="","",IF('Data Entry'!D1893&lt;&gt;"",'Data Entry'!D1893,'Data Entry'!E1893))</f>
        <v/>
      </c>
      <c r="K1893" s="10">
        <f>IF('Data Entry'!A1893="","",IFERROR(SUMIFS($H$5:$H$2001,$J$5:$J$2001,$J1893,$B$5:$B$2001,$B1893,$A$5:$A$2001,(MAXIFS($A$5:$A$2001,$J$5:$J$2001,$J1893,$B$5:$B$2001,$B1893,$A$5:$A$2001,"&lt;"&amp;$A1893))),""))</f>
        <v/>
      </c>
      <c r="L1893" s="14">
        <f>IF(OR('Data Entry'!A1893="",$K1893=""),"",$H1893-$K1893)</f>
        <v/>
      </c>
      <c r="M1893" s="15">
        <f>IF(OR('Data Entry'!A1893="",$K1893="",$K1893=0),"",$L1893/$K1893)</f>
        <v/>
      </c>
      <c r="N1893" s="12">
        <f>IF('Data Entry'!A1893="","",IF($L1893="","New item",IF($L1893&gt;0,"UP",IF($L1893&lt;0,"down","same"))))</f>
        <v/>
      </c>
    </row>
    <row r="1894">
      <c r="A1894" s="11">
        <f>IF('Data Entry'!A1894="","",'Data Entry'!A1894)</f>
        <v/>
      </c>
      <c r="B1894" s="12">
        <f>IF('Data Entry'!A1894="","",'Data Entry'!B1894)</f>
        <v/>
      </c>
      <c r="C1894" s="12">
        <f>IF('Data Entry'!A1894="","",'Data Entry'!C1894)</f>
        <v/>
      </c>
      <c r="D1894" s="12">
        <f>IF('Data Entry'!A1894="","",'Data Entry'!D1894)</f>
        <v/>
      </c>
      <c r="E1894" s="12">
        <f>IF('Data Entry'!A1894="","",'Data Entry'!E1894)</f>
        <v/>
      </c>
      <c r="F1894" s="12">
        <f>IF('Data Entry'!A1894="","",'Data Entry'!F1894)</f>
        <v/>
      </c>
      <c r="G1894" s="13">
        <f>IF('Data Entry'!A1894="","",'Data Entry'!G1894)</f>
        <v/>
      </c>
      <c r="H1894" s="10">
        <f>IF('Data Entry'!A1894="","",'Data Entry'!H1894)</f>
        <v/>
      </c>
      <c r="I1894" s="10">
        <f>IF('Data Entry'!A1894="","",'Data Entry'!I1894)</f>
        <v/>
      </c>
      <c r="J1894" s="12">
        <f>IF('Data Entry'!A1894="","",IF('Data Entry'!D1894&lt;&gt;"",'Data Entry'!D1894,'Data Entry'!E1894))</f>
        <v/>
      </c>
      <c r="K1894" s="10">
        <f>IF('Data Entry'!A1894="","",IFERROR(SUMIFS($H$5:$H$2001,$J$5:$J$2001,$J1894,$B$5:$B$2001,$B1894,$A$5:$A$2001,(MAXIFS($A$5:$A$2001,$J$5:$J$2001,$J1894,$B$5:$B$2001,$B1894,$A$5:$A$2001,"&lt;"&amp;$A1894))),""))</f>
        <v/>
      </c>
      <c r="L1894" s="14">
        <f>IF(OR('Data Entry'!A1894="",$K1894=""),"",$H1894-$K1894)</f>
        <v/>
      </c>
      <c r="M1894" s="15">
        <f>IF(OR('Data Entry'!A1894="",$K1894="",$K1894=0),"",$L1894/$K1894)</f>
        <v/>
      </c>
      <c r="N1894" s="12">
        <f>IF('Data Entry'!A1894="","",IF($L1894="","New item",IF($L1894&gt;0,"UP",IF($L1894&lt;0,"down","same"))))</f>
        <v/>
      </c>
    </row>
    <row r="1895">
      <c r="A1895" s="11">
        <f>IF('Data Entry'!A1895="","",'Data Entry'!A1895)</f>
        <v/>
      </c>
      <c r="B1895" s="12">
        <f>IF('Data Entry'!A1895="","",'Data Entry'!B1895)</f>
        <v/>
      </c>
      <c r="C1895" s="12">
        <f>IF('Data Entry'!A1895="","",'Data Entry'!C1895)</f>
        <v/>
      </c>
      <c r="D1895" s="12">
        <f>IF('Data Entry'!A1895="","",'Data Entry'!D1895)</f>
        <v/>
      </c>
      <c r="E1895" s="12">
        <f>IF('Data Entry'!A1895="","",'Data Entry'!E1895)</f>
        <v/>
      </c>
      <c r="F1895" s="12">
        <f>IF('Data Entry'!A1895="","",'Data Entry'!F1895)</f>
        <v/>
      </c>
      <c r="G1895" s="13">
        <f>IF('Data Entry'!A1895="","",'Data Entry'!G1895)</f>
        <v/>
      </c>
      <c r="H1895" s="10">
        <f>IF('Data Entry'!A1895="","",'Data Entry'!H1895)</f>
        <v/>
      </c>
      <c r="I1895" s="10">
        <f>IF('Data Entry'!A1895="","",'Data Entry'!I1895)</f>
        <v/>
      </c>
      <c r="J1895" s="12">
        <f>IF('Data Entry'!A1895="","",IF('Data Entry'!D1895&lt;&gt;"",'Data Entry'!D1895,'Data Entry'!E1895))</f>
        <v/>
      </c>
      <c r="K1895" s="10">
        <f>IF('Data Entry'!A1895="","",IFERROR(SUMIFS($H$5:$H$2001,$J$5:$J$2001,$J1895,$B$5:$B$2001,$B1895,$A$5:$A$2001,(MAXIFS($A$5:$A$2001,$J$5:$J$2001,$J1895,$B$5:$B$2001,$B1895,$A$5:$A$2001,"&lt;"&amp;$A1895))),""))</f>
        <v/>
      </c>
      <c r="L1895" s="14">
        <f>IF(OR('Data Entry'!A1895="",$K1895=""),"",$H1895-$K1895)</f>
        <v/>
      </c>
      <c r="M1895" s="15">
        <f>IF(OR('Data Entry'!A1895="",$K1895="",$K1895=0),"",$L1895/$K1895)</f>
        <v/>
      </c>
      <c r="N1895" s="12">
        <f>IF('Data Entry'!A1895="","",IF($L1895="","New item",IF($L1895&gt;0,"UP",IF($L1895&lt;0,"down","same"))))</f>
        <v/>
      </c>
    </row>
    <row r="1896">
      <c r="A1896" s="11">
        <f>IF('Data Entry'!A1896="","",'Data Entry'!A1896)</f>
        <v/>
      </c>
      <c r="B1896" s="12">
        <f>IF('Data Entry'!A1896="","",'Data Entry'!B1896)</f>
        <v/>
      </c>
      <c r="C1896" s="12">
        <f>IF('Data Entry'!A1896="","",'Data Entry'!C1896)</f>
        <v/>
      </c>
      <c r="D1896" s="12">
        <f>IF('Data Entry'!A1896="","",'Data Entry'!D1896)</f>
        <v/>
      </c>
      <c r="E1896" s="12">
        <f>IF('Data Entry'!A1896="","",'Data Entry'!E1896)</f>
        <v/>
      </c>
      <c r="F1896" s="12">
        <f>IF('Data Entry'!A1896="","",'Data Entry'!F1896)</f>
        <v/>
      </c>
      <c r="G1896" s="13">
        <f>IF('Data Entry'!A1896="","",'Data Entry'!G1896)</f>
        <v/>
      </c>
      <c r="H1896" s="10">
        <f>IF('Data Entry'!A1896="","",'Data Entry'!H1896)</f>
        <v/>
      </c>
      <c r="I1896" s="10">
        <f>IF('Data Entry'!A1896="","",'Data Entry'!I1896)</f>
        <v/>
      </c>
      <c r="J1896" s="12">
        <f>IF('Data Entry'!A1896="","",IF('Data Entry'!D1896&lt;&gt;"",'Data Entry'!D1896,'Data Entry'!E1896))</f>
        <v/>
      </c>
      <c r="K1896" s="10">
        <f>IF('Data Entry'!A1896="","",IFERROR(SUMIFS($H$5:$H$2001,$J$5:$J$2001,$J1896,$B$5:$B$2001,$B1896,$A$5:$A$2001,(MAXIFS($A$5:$A$2001,$J$5:$J$2001,$J1896,$B$5:$B$2001,$B1896,$A$5:$A$2001,"&lt;"&amp;$A1896))),""))</f>
        <v/>
      </c>
      <c r="L1896" s="14">
        <f>IF(OR('Data Entry'!A1896="",$K1896=""),"",$H1896-$K1896)</f>
        <v/>
      </c>
      <c r="M1896" s="15">
        <f>IF(OR('Data Entry'!A1896="",$K1896="",$K1896=0),"",$L1896/$K1896)</f>
        <v/>
      </c>
      <c r="N1896" s="12">
        <f>IF('Data Entry'!A1896="","",IF($L1896="","New item",IF($L1896&gt;0,"UP",IF($L1896&lt;0,"down","same"))))</f>
        <v/>
      </c>
    </row>
    <row r="1897">
      <c r="A1897" s="11">
        <f>IF('Data Entry'!A1897="","",'Data Entry'!A1897)</f>
        <v/>
      </c>
      <c r="B1897" s="12">
        <f>IF('Data Entry'!A1897="","",'Data Entry'!B1897)</f>
        <v/>
      </c>
      <c r="C1897" s="12">
        <f>IF('Data Entry'!A1897="","",'Data Entry'!C1897)</f>
        <v/>
      </c>
      <c r="D1897" s="12">
        <f>IF('Data Entry'!A1897="","",'Data Entry'!D1897)</f>
        <v/>
      </c>
      <c r="E1897" s="12">
        <f>IF('Data Entry'!A1897="","",'Data Entry'!E1897)</f>
        <v/>
      </c>
      <c r="F1897" s="12">
        <f>IF('Data Entry'!A1897="","",'Data Entry'!F1897)</f>
        <v/>
      </c>
      <c r="G1897" s="13">
        <f>IF('Data Entry'!A1897="","",'Data Entry'!G1897)</f>
        <v/>
      </c>
      <c r="H1897" s="10">
        <f>IF('Data Entry'!A1897="","",'Data Entry'!H1897)</f>
        <v/>
      </c>
      <c r="I1897" s="10">
        <f>IF('Data Entry'!A1897="","",'Data Entry'!I1897)</f>
        <v/>
      </c>
      <c r="J1897" s="12">
        <f>IF('Data Entry'!A1897="","",IF('Data Entry'!D1897&lt;&gt;"",'Data Entry'!D1897,'Data Entry'!E1897))</f>
        <v/>
      </c>
      <c r="K1897" s="10">
        <f>IF('Data Entry'!A1897="","",IFERROR(SUMIFS($H$5:$H$2001,$J$5:$J$2001,$J1897,$B$5:$B$2001,$B1897,$A$5:$A$2001,(MAXIFS($A$5:$A$2001,$J$5:$J$2001,$J1897,$B$5:$B$2001,$B1897,$A$5:$A$2001,"&lt;"&amp;$A1897))),""))</f>
        <v/>
      </c>
      <c r="L1897" s="14">
        <f>IF(OR('Data Entry'!A1897="",$K1897=""),"",$H1897-$K1897)</f>
        <v/>
      </c>
      <c r="M1897" s="15">
        <f>IF(OR('Data Entry'!A1897="",$K1897="",$K1897=0),"",$L1897/$K1897)</f>
        <v/>
      </c>
      <c r="N1897" s="12">
        <f>IF('Data Entry'!A1897="","",IF($L1897="","New item",IF($L1897&gt;0,"UP",IF($L1897&lt;0,"down","same"))))</f>
        <v/>
      </c>
    </row>
    <row r="1898">
      <c r="A1898" s="11">
        <f>IF('Data Entry'!A1898="","",'Data Entry'!A1898)</f>
        <v/>
      </c>
      <c r="B1898" s="12">
        <f>IF('Data Entry'!A1898="","",'Data Entry'!B1898)</f>
        <v/>
      </c>
      <c r="C1898" s="12">
        <f>IF('Data Entry'!A1898="","",'Data Entry'!C1898)</f>
        <v/>
      </c>
      <c r="D1898" s="12">
        <f>IF('Data Entry'!A1898="","",'Data Entry'!D1898)</f>
        <v/>
      </c>
      <c r="E1898" s="12">
        <f>IF('Data Entry'!A1898="","",'Data Entry'!E1898)</f>
        <v/>
      </c>
      <c r="F1898" s="12">
        <f>IF('Data Entry'!A1898="","",'Data Entry'!F1898)</f>
        <v/>
      </c>
      <c r="G1898" s="13">
        <f>IF('Data Entry'!A1898="","",'Data Entry'!G1898)</f>
        <v/>
      </c>
      <c r="H1898" s="10">
        <f>IF('Data Entry'!A1898="","",'Data Entry'!H1898)</f>
        <v/>
      </c>
      <c r="I1898" s="10">
        <f>IF('Data Entry'!A1898="","",'Data Entry'!I1898)</f>
        <v/>
      </c>
      <c r="J1898" s="12">
        <f>IF('Data Entry'!A1898="","",IF('Data Entry'!D1898&lt;&gt;"",'Data Entry'!D1898,'Data Entry'!E1898))</f>
        <v/>
      </c>
      <c r="K1898" s="10">
        <f>IF('Data Entry'!A1898="","",IFERROR(SUMIFS($H$5:$H$2001,$J$5:$J$2001,$J1898,$B$5:$B$2001,$B1898,$A$5:$A$2001,(MAXIFS($A$5:$A$2001,$J$5:$J$2001,$J1898,$B$5:$B$2001,$B1898,$A$5:$A$2001,"&lt;"&amp;$A1898))),""))</f>
        <v/>
      </c>
      <c r="L1898" s="14">
        <f>IF(OR('Data Entry'!A1898="",$K1898=""),"",$H1898-$K1898)</f>
        <v/>
      </c>
      <c r="M1898" s="15">
        <f>IF(OR('Data Entry'!A1898="",$K1898="",$K1898=0),"",$L1898/$K1898)</f>
        <v/>
      </c>
      <c r="N1898" s="12">
        <f>IF('Data Entry'!A1898="","",IF($L1898="","New item",IF($L1898&gt;0,"UP",IF($L1898&lt;0,"down","same"))))</f>
        <v/>
      </c>
    </row>
    <row r="1899">
      <c r="A1899" s="11">
        <f>IF('Data Entry'!A1899="","",'Data Entry'!A1899)</f>
        <v/>
      </c>
      <c r="B1899" s="12">
        <f>IF('Data Entry'!A1899="","",'Data Entry'!B1899)</f>
        <v/>
      </c>
      <c r="C1899" s="12">
        <f>IF('Data Entry'!A1899="","",'Data Entry'!C1899)</f>
        <v/>
      </c>
      <c r="D1899" s="12">
        <f>IF('Data Entry'!A1899="","",'Data Entry'!D1899)</f>
        <v/>
      </c>
      <c r="E1899" s="12">
        <f>IF('Data Entry'!A1899="","",'Data Entry'!E1899)</f>
        <v/>
      </c>
      <c r="F1899" s="12">
        <f>IF('Data Entry'!A1899="","",'Data Entry'!F1899)</f>
        <v/>
      </c>
      <c r="G1899" s="13">
        <f>IF('Data Entry'!A1899="","",'Data Entry'!G1899)</f>
        <v/>
      </c>
      <c r="H1899" s="10">
        <f>IF('Data Entry'!A1899="","",'Data Entry'!H1899)</f>
        <v/>
      </c>
      <c r="I1899" s="10">
        <f>IF('Data Entry'!A1899="","",'Data Entry'!I1899)</f>
        <v/>
      </c>
      <c r="J1899" s="12">
        <f>IF('Data Entry'!A1899="","",IF('Data Entry'!D1899&lt;&gt;"",'Data Entry'!D1899,'Data Entry'!E1899))</f>
        <v/>
      </c>
      <c r="K1899" s="10">
        <f>IF('Data Entry'!A1899="","",IFERROR(SUMIFS($H$5:$H$2001,$J$5:$J$2001,$J1899,$B$5:$B$2001,$B1899,$A$5:$A$2001,(MAXIFS($A$5:$A$2001,$J$5:$J$2001,$J1899,$B$5:$B$2001,$B1899,$A$5:$A$2001,"&lt;"&amp;$A1899))),""))</f>
        <v/>
      </c>
      <c r="L1899" s="14">
        <f>IF(OR('Data Entry'!A1899="",$K1899=""),"",$H1899-$K1899)</f>
        <v/>
      </c>
      <c r="M1899" s="15">
        <f>IF(OR('Data Entry'!A1899="",$K1899="",$K1899=0),"",$L1899/$K1899)</f>
        <v/>
      </c>
      <c r="N1899" s="12">
        <f>IF('Data Entry'!A1899="","",IF($L1899="","New item",IF($L1899&gt;0,"UP",IF($L1899&lt;0,"down","same"))))</f>
        <v/>
      </c>
    </row>
    <row r="1900">
      <c r="A1900" s="11">
        <f>IF('Data Entry'!A1900="","",'Data Entry'!A1900)</f>
        <v/>
      </c>
      <c r="B1900" s="12">
        <f>IF('Data Entry'!A1900="","",'Data Entry'!B1900)</f>
        <v/>
      </c>
      <c r="C1900" s="12">
        <f>IF('Data Entry'!A1900="","",'Data Entry'!C1900)</f>
        <v/>
      </c>
      <c r="D1900" s="12">
        <f>IF('Data Entry'!A1900="","",'Data Entry'!D1900)</f>
        <v/>
      </c>
      <c r="E1900" s="12">
        <f>IF('Data Entry'!A1900="","",'Data Entry'!E1900)</f>
        <v/>
      </c>
      <c r="F1900" s="12">
        <f>IF('Data Entry'!A1900="","",'Data Entry'!F1900)</f>
        <v/>
      </c>
      <c r="G1900" s="13">
        <f>IF('Data Entry'!A1900="","",'Data Entry'!G1900)</f>
        <v/>
      </c>
      <c r="H1900" s="10">
        <f>IF('Data Entry'!A1900="","",'Data Entry'!H1900)</f>
        <v/>
      </c>
      <c r="I1900" s="10">
        <f>IF('Data Entry'!A1900="","",'Data Entry'!I1900)</f>
        <v/>
      </c>
      <c r="J1900" s="12">
        <f>IF('Data Entry'!A1900="","",IF('Data Entry'!D1900&lt;&gt;"",'Data Entry'!D1900,'Data Entry'!E1900))</f>
        <v/>
      </c>
      <c r="K1900" s="10">
        <f>IF('Data Entry'!A1900="","",IFERROR(SUMIFS($H$5:$H$2001,$J$5:$J$2001,$J1900,$B$5:$B$2001,$B1900,$A$5:$A$2001,(MAXIFS($A$5:$A$2001,$J$5:$J$2001,$J1900,$B$5:$B$2001,$B1900,$A$5:$A$2001,"&lt;"&amp;$A1900))),""))</f>
        <v/>
      </c>
      <c r="L1900" s="14">
        <f>IF(OR('Data Entry'!A1900="",$K1900=""),"",$H1900-$K1900)</f>
        <v/>
      </c>
      <c r="M1900" s="15">
        <f>IF(OR('Data Entry'!A1900="",$K1900="",$K1900=0),"",$L1900/$K1900)</f>
        <v/>
      </c>
      <c r="N1900" s="12">
        <f>IF('Data Entry'!A1900="","",IF($L1900="","New item",IF($L1900&gt;0,"UP",IF($L1900&lt;0,"down","same"))))</f>
        <v/>
      </c>
    </row>
    <row r="1901">
      <c r="A1901" s="11">
        <f>IF('Data Entry'!A1901="","",'Data Entry'!A1901)</f>
        <v/>
      </c>
      <c r="B1901" s="12">
        <f>IF('Data Entry'!A1901="","",'Data Entry'!B1901)</f>
        <v/>
      </c>
      <c r="C1901" s="12">
        <f>IF('Data Entry'!A1901="","",'Data Entry'!C1901)</f>
        <v/>
      </c>
      <c r="D1901" s="12">
        <f>IF('Data Entry'!A1901="","",'Data Entry'!D1901)</f>
        <v/>
      </c>
      <c r="E1901" s="12">
        <f>IF('Data Entry'!A1901="","",'Data Entry'!E1901)</f>
        <v/>
      </c>
      <c r="F1901" s="12">
        <f>IF('Data Entry'!A1901="","",'Data Entry'!F1901)</f>
        <v/>
      </c>
      <c r="G1901" s="13">
        <f>IF('Data Entry'!A1901="","",'Data Entry'!G1901)</f>
        <v/>
      </c>
      <c r="H1901" s="10">
        <f>IF('Data Entry'!A1901="","",'Data Entry'!H1901)</f>
        <v/>
      </c>
      <c r="I1901" s="10">
        <f>IF('Data Entry'!A1901="","",'Data Entry'!I1901)</f>
        <v/>
      </c>
      <c r="J1901" s="12">
        <f>IF('Data Entry'!A1901="","",IF('Data Entry'!D1901&lt;&gt;"",'Data Entry'!D1901,'Data Entry'!E1901))</f>
        <v/>
      </c>
      <c r="K1901" s="10">
        <f>IF('Data Entry'!A1901="","",IFERROR(SUMIFS($H$5:$H$2001,$J$5:$J$2001,$J1901,$B$5:$B$2001,$B1901,$A$5:$A$2001,(MAXIFS($A$5:$A$2001,$J$5:$J$2001,$J1901,$B$5:$B$2001,$B1901,$A$5:$A$2001,"&lt;"&amp;$A1901))),""))</f>
        <v/>
      </c>
      <c r="L1901" s="14">
        <f>IF(OR('Data Entry'!A1901="",$K1901=""),"",$H1901-$K1901)</f>
        <v/>
      </c>
      <c r="M1901" s="15">
        <f>IF(OR('Data Entry'!A1901="",$K1901="",$K1901=0),"",$L1901/$K1901)</f>
        <v/>
      </c>
      <c r="N1901" s="12">
        <f>IF('Data Entry'!A1901="","",IF($L1901="","New item",IF($L1901&gt;0,"UP",IF($L1901&lt;0,"down","same"))))</f>
        <v/>
      </c>
    </row>
    <row r="1902">
      <c r="A1902" s="11">
        <f>IF('Data Entry'!A1902="","",'Data Entry'!A1902)</f>
        <v/>
      </c>
      <c r="B1902" s="12">
        <f>IF('Data Entry'!A1902="","",'Data Entry'!B1902)</f>
        <v/>
      </c>
      <c r="C1902" s="12">
        <f>IF('Data Entry'!A1902="","",'Data Entry'!C1902)</f>
        <v/>
      </c>
      <c r="D1902" s="12">
        <f>IF('Data Entry'!A1902="","",'Data Entry'!D1902)</f>
        <v/>
      </c>
      <c r="E1902" s="12">
        <f>IF('Data Entry'!A1902="","",'Data Entry'!E1902)</f>
        <v/>
      </c>
      <c r="F1902" s="12">
        <f>IF('Data Entry'!A1902="","",'Data Entry'!F1902)</f>
        <v/>
      </c>
      <c r="G1902" s="13">
        <f>IF('Data Entry'!A1902="","",'Data Entry'!G1902)</f>
        <v/>
      </c>
      <c r="H1902" s="10">
        <f>IF('Data Entry'!A1902="","",'Data Entry'!H1902)</f>
        <v/>
      </c>
      <c r="I1902" s="10">
        <f>IF('Data Entry'!A1902="","",'Data Entry'!I1902)</f>
        <v/>
      </c>
      <c r="J1902" s="12">
        <f>IF('Data Entry'!A1902="","",IF('Data Entry'!D1902&lt;&gt;"",'Data Entry'!D1902,'Data Entry'!E1902))</f>
        <v/>
      </c>
      <c r="K1902" s="10">
        <f>IF('Data Entry'!A1902="","",IFERROR(SUMIFS($H$5:$H$2001,$J$5:$J$2001,$J1902,$B$5:$B$2001,$B1902,$A$5:$A$2001,(MAXIFS($A$5:$A$2001,$J$5:$J$2001,$J1902,$B$5:$B$2001,$B1902,$A$5:$A$2001,"&lt;"&amp;$A1902))),""))</f>
        <v/>
      </c>
      <c r="L1902" s="14">
        <f>IF(OR('Data Entry'!A1902="",$K1902=""),"",$H1902-$K1902)</f>
        <v/>
      </c>
      <c r="M1902" s="15">
        <f>IF(OR('Data Entry'!A1902="",$K1902="",$K1902=0),"",$L1902/$K1902)</f>
        <v/>
      </c>
      <c r="N1902" s="12">
        <f>IF('Data Entry'!A1902="","",IF($L1902="","New item",IF($L1902&gt;0,"UP",IF($L1902&lt;0,"down","same"))))</f>
        <v/>
      </c>
    </row>
    <row r="1903">
      <c r="A1903" s="11">
        <f>IF('Data Entry'!A1903="","",'Data Entry'!A1903)</f>
        <v/>
      </c>
      <c r="B1903" s="12">
        <f>IF('Data Entry'!A1903="","",'Data Entry'!B1903)</f>
        <v/>
      </c>
      <c r="C1903" s="12">
        <f>IF('Data Entry'!A1903="","",'Data Entry'!C1903)</f>
        <v/>
      </c>
      <c r="D1903" s="12">
        <f>IF('Data Entry'!A1903="","",'Data Entry'!D1903)</f>
        <v/>
      </c>
      <c r="E1903" s="12">
        <f>IF('Data Entry'!A1903="","",'Data Entry'!E1903)</f>
        <v/>
      </c>
      <c r="F1903" s="12">
        <f>IF('Data Entry'!A1903="","",'Data Entry'!F1903)</f>
        <v/>
      </c>
      <c r="G1903" s="13">
        <f>IF('Data Entry'!A1903="","",'Data Entry'!G1903)</f>
        <v/>
      </c>
      <c r="H1903" s="10">
        <f>IF('Data Entry'!A1903="","",'Data Entry'!H1903)</f>
        <v/>
      </c>
      <c r="I1903" s="10">
        <f>IF('Data Entry'!A1903="","",'Data Entry'!I1903)</f>
        <v/>
      </c>
      <c r="J1903" s="12">
        <f>IF('Data Entry'!A1903="","",IF('Data Entry'!D1903&lt;&gt;"",'Data Entry'!D1903,'Data Entry'!E1903))</f>
        <v/>
      </c>
      <c r="K1903" s="10">
        <f>IF('Data Entry'!A1903="","",IFERROR(SUMIFS($H$5:$H$2001,$J$5:$J$2001,$J1903,$B$5:$B$2001,$B1903,$A$5:$A$2001,(MAXIFS($A$5:$A$2001,$J$5:$J$2001,$J1903,$B$5:$B$2001,$B1903,$A$5:$A$2001,"&lt;"&amp;$A1903))),""))</f>
        <v/>
      </c>
      <c r="L1903" s="14">
        <f>IF(OR('Data Entry'!A1903="",$K1903=""),"",$H1903-$K1903)</f>
        <v/>
      </c>
      <c r="M1903" s="15">
        <f>IF(OR('Data Entry'!A1903="",$K1903="",$K1903=0),"",$L1903/$K1903)</f>
        <v/>
      </c>
      <c r="N1903" s="12">
        <f>IF('Data Entry'!A1903="","",IF($L1903="","New item",IF($L1903&gt;0,"UP",IF($L1903&lt;0,"down","same"))))</f>
        <v/>
      </c>
    </row>
    <row r="1904">
      <c r="A1904" s="11">
        <f>IF('Data Entry'!A1904="","",'Data Entry'!A1904)</f>
        <v/>
      </c>
      <c r="B1904" s="12">
        <f>IF('Data Entry'!A1904="","",'Data Entry'!B1904)</f>
        <v/>
      </c>
      <c r="C1904" s="12">
        <f>IF('Data Entry'!A1904="","",'Data Entry'!C1904)</f>
        <v/>
      </c>
      <c r="D1904" s="12">
        <f>IF('Data Entry'!A1904="","",'Data Entry'!D1904)</f>
        <v/>
      </c>
      <c r="E1904" s="12">
        <f>IF('Data Entry'!A1904="","",'Data Entry'!E1904)</f>
        <v/>
      </c>
      <c r="F1904" s="12">
        <f>IF('Data Entry'!A1904="","",'Data Entry'!F1904)</f>
        <v/>
      </c>
      <c r="G1904" s="13">
        <f>IF('Data Entry'!A1904="","",'Data Entry'!G1904)</f>
        <v/>
      </c>
      <c r="H1904" s="10">
        <f>IF('Data Entry'!A1904="","",'Data Entry'!H1904)</f>
        <v/>
      </c>
      <c r="I1904" s="10">
        <f>IF('Data Entry'!A1904="","",'Data Entry'!I1904)</f>
        <v/>
      </c>
      <c r="J1904" s="12">
        <f>IF('Data Entry'!A1904="","",IF('Data Entry'!D1904&lt;&gt;"",'Data Entry'!D1904,'Data Entry'!E1904))</f>
        <v/>
      </c>
      <c r="K1904" s="10">
        <f>IF('Data Entry'!A1904="","",IFERROR(SUMIFS($H$5:$H$2001,$J$5:$J$2001,$J1904,$B$5:$B$2001,$B1904,$A$5:$A$2001,(MAXIFS($A$5:$A$2001,$J$5:$J$2001,$J1904,$B$5:$B$2001,$B1904,$A$5:$A$2001,"&lt;"&amp;$A1904))),""))</f>
        <v/>
      </c>
      <c r="L1904" s="14">
        <f>IF(OR('Data Entry'!A1904="",$K1904=""),"",$H1904-$K1904)</f>
        <v/>
      </c>
      <c r="M1904" s="15">
        <f>IF(OR('Data Entry'!A1904="",$K1904="",$K1904=0),"",$L1904/$K1904)</f>
        <v/>
      </c>
      <c r="N1904" s="12">
        <f>IF('Data Entry'!A1904="","",IF($L1904="","New item",IF($L1904&gt;0,"UP",IF($L1904&lt;0,"down","same"))))</f>
        <v/>
      </c>
    </row>
    <row r="1905">
      <c r="A1905" s="11">
        <f>IF('Data Entry'!A1905="","",'Data Entry'!A1905)</f>
        <v/>
      </c>
      <c r="B1905" s="12">
        <f>IF('Data Entry'!A1905="","",'Data Entry'!B1905)</f>
        <v/>
      </c>
      <c r="C1905" s="12">
        <f>IF('Data Entry'!A1905="","",'Data Entry'!C1905)</f>
        <v/>
      </c>
      <c r="D1905" s="12">
        <f>IF('Data Entry'!A1905="","",'Data Entry'!D1905)</f>
        <v/>
      </c>
      <c r="E1905" s="12">
        <f>IF('Data Entry'!A1905="","",'Data Entry'!E1905)</f>
        <v/>
      </c>
      <c r="F1905" s="12">
        <f>IF('Data Entry'!A1905="","",'Data Entry'!F1905)</f>
        <v/>
      </c>
      <c r="G1905" s="13">
        <f>IF('Data Entry'!A1905="","",'Data Entry'!G1905)</f>
        <v/>
      </c>
      <c r="H1905" s="10">
        <f>IF('Data Entry'!A1905="","",'Data Entry'!H1905)</f>
        <v/>
      </c>
      <c r="I1905" s="10">
        <f>IF('Data Entry'!A1905="","",'Data Entry'!I1905)</f>
        <v/>
      </c>
      <c r="J1905" s="12">
        <f>IF('Data Entry'!A1905="","",IF('Data Entry'!D1905&lt;&gt;"",'Data Entry'!D1905,'Data Entry'!E1905))</f>
        <v/>
      </c>
      <c r="K1905" s="10">
        <f>IF('Data Entry'!A1905="","",IFERROR(SUMIFS($H$5:$H$2001,$J$5:$J$2001,$J1905,$B$5:$B$2001,$B1905,$A$5:$A$2001,(MAXIFS($A$5:$A$2001,$J$5:$J$2001,$J1905,$B$5:$B$2001,$B1905,$A$5:$A$2001,"&lt;"&amp;$A1905))),""))</f>
        <v/>
      </c>
      <c r="L1905" s="14">
        <f>IF(OR('Data Entry'!A1905="",$K1905=""),"",$H1905-$K1905)</f>
        <v/>
      </c>
      <c r="M1905" s="15">
        <f>IF(OR('Data Entry'!A1905="",$K1905="",$K1905=0),"",$L1905/$K1905)</f>
        <v/>
      </c>
      <c r="N1905" s="12">
        <f>IF('Data Entry'!A1905="","",IF($L1905="","New item",IF($L1905&gt;0,"UP",IF($L1905&lt;0,"down","same"))))</f>
        <v/>
      </c>
    </row>
    <row r="1906">
      <c r="A1906" s="11">
        <f>IF('Data Entry'!A1906="","",'Data Entry'!A1906)</f>
        <v/>
      </c>
      <c r="B1906" s="12">
        <f>IF('Data Entry'!A1906="","",'Data Entry'!B1906)</f>
        <v/>
      </c>
      <c r="C1906" s="12">
        <f>IF('Data Entry'!A1906="","",'Data Entry'!C1906)</f>
        <v/>
      </c>
      <c r="D1906" s="12">
        <f>IF('Data Entry'!A1906="","",'Data Entry'!D1906)</f>
        <v/>
      </c>
      <c r="E1906" s="12">
        <f>IF('Data Entry'!A1906="","",'Data Entry'!E1906)</f>
        <v/>
      </c>
      <c r="F1906" s="12">
        <f>IF('Data Entry'!A1906="","",'Data Entry'!F1906)</f>
        <v/>
      </c>
      <c r="G1906" s="13">
        <f>IF('Data Entry'!A1906="","",'Data Entry'!G1906)</f>
        <v/>
      </c>
      <c r="H1906" s="10">
        <f>IF('Data Entry'!A1906="","",'Data Entry'!H1906)</f>
        <v/>
      </c>
      <c r="I1906" s="10">
        <f>IF('Data Entry'!A1906="","",'Data Entry'!I1906)</f>
        <v/>
      </c>
      <c r="J1906" s="12">
        <f>IF('Data Entry'!A1906="","",IF('Data Entry'!D1906&lt;&gt;"",'Data Entry'!D1906,'Data Entry'!E1906))</f>
        <v/>
      </c>
      <c r="K1906" s="10">
        <f>IF('Data Entry'!A1906="","",IFERROR(SUMIFS($H$5:$H$2001,$J$5:$J$2001,$J1906,$B$5:$B$2001,$B1906,$A$5:$A$2001,(MAXIFS($A$5:$A$2001,$J$5:$J$2001,$J1906,$B$5:$B$2001,$B1906,$A$5:$A$2001,"&lt;"&amp;$A1906))),""))</f>
        <v/>
      </c>
      <c r="L1906" s="14">
        <f>IF(OR('Data Entry'!A1906="",$K1906=""),"",$H1906-$K1906)</f>
        <v/>
      </c>
      <c r="M1906" s="15">
        <f>IF(OR('Data Entry'!A1906="",$K1906="",$K1906=0),"",$L1906/$K1906)</f>
        <v/>
      </c>
      <c r="N1906" s="12">
        <f>IF('Data Entry'!A1906="","",IF($L1906="","New item",IF($L1906&gt;0,"UP",IF($L1906&lt;0,"down","same"))))</f>
        <v/>
      </c>
    </row>
    <row r="1907">
      <c r="A1907" s="11">
        <f>IF('Data Entry'!A1907="","",'Data Entry'!A1907)</f>
        <v/>
      </c>
      <c r="B1907" s="12">
        <f>IF('Data Entry'!A1907="","",'Data Entry'!B1907)</f>
        <v/>
      </c>
      <c r="C1907" s="12">
        <f>IF('Data Entry'!A1907="","",'Data Entry'!C1907)</f>
        <v/>
      </c>
      <c r="D1907" s="12">
        <f>IF('Data Entry'!A1907="","",'Data Entry'!D1907)</f>
        <v/>
      </c>
      <c r="E1907" s="12">
        <f>IF('Data Entry'!A1907="","",'Data Entry'!E1907)</f>
        <v/>
      </c>
      <c r="F1907" s="12">
        <f>IF('Data Entry'!A1907="","",'Data Entry'!F1907)</f>
        <v/>
      </c>
      <c r="G1907" s="13">
        <f>IF('Data Entry'!A1907="","",'Data Entry'!G1907)</f>
        <v/>
      </c>
      <c r="H1907" s="10">
        <f>IF('Data Entry'!A1907="","",'Data Entry'!H1907)</f>
        <v/>
      </c>
      <c r="I1907" s="10">
        <f>IF('Data Entry'!A1907="","",'Data Entry'!I1907)</f>
        <v/>
      </c>
      <c r="J1907" s="12">
        <f>IF('Data Entry'!A1907="","",IF('Data Entry'!D1907&lt;&gt;"",'Data Entry'!D1907,'Data Entry'!E1907))</f>
        <v/>
      </c>
      <c r="K1907" s="10">
        <f>IF('Data Entry'!A1907="","",IFERROR(SUMIFS($H$5:$H$2001,$J$5:$J$2001,$J1907,$B$5:$B$2001,$B1907,$A$5:$A$2001,(MAXIFS($A$5:$A$2001,$J$5:$J$2001,$J1907,$B$5:$B$2001,$B1907,$A$5:$A$2001,"&lt;"&amp;$A1907))),""))</f>
        <v/>
      </c>
      <c r="L1907" s="14">
        <f>IF(OR('Data Entry'!A1907="",$K1907=""),"",$H1907-$K1907)</f>
        <v/>
      </c>
      <c r="M1907" s="15">
        <f>IF(OR('Data Entry'!A1907="",$K1907="",$K1907=0),"",$L1907/$K1907)</f>
        <v/>
      </c>
      <c r="N1907" s="12">
        <f>IF('Data Entry'!A1907="","",IF($L1907="","New item",IF($L1907&gt;0,"UP",IF($L1907&lt;0,"down","same"))))</f>
        <v/>
      </c>
    </row>
    <row r="1908">
      <c r="A1908" s="11">
        <f>IF('Data Entry'!A1908="","",'Data Entry'!A1908)</f>
        <v/>
      </c>
      <c r="B1908" s="12">
        <f>IF('Data Entry'!A1908="","",'Data Entry'!B1908)</f>
        <v/>
      </c>
      <c r="C1908" s="12">
        <f>IF('Data Entry'!A1908="","",'Data Entry'!C1908)</f>
        <v/>
      </c>
      <c r="D1908" s="12">
        <f>IF('Data Entry'!A1908="","",'Data Entry'!D1908)</f>
        <v/>
      </c>
      <c r="E1908" s="12">
        <f>IF('Data Entry'!A1908="","",'Data Entry'!E1908)</f>
        <v/>
      </c>
      <c r="F1908" s="12">
        <f>IF('Data Entry'!A1908="","",'Data Entry'!F1908)</f>
        <v/>
      </c>
      <c r="G1908" s="13">
        <f>IF('Data Entry'!A1908="","",'Data Entry'!G1908)</f>
        <v/>
      </c>
      <c r="H1908" s="10">
        <f>IF('Data Entry'!A1908="","",'Data Entry'!H1908)</f>
        <v/>
      </c>
      <c r="I1908" s="10">
        <f>IF('Data Entry'!A1908="","",'Data Entry'!I1908)</f>
        <v/>
      </c>
      <c r="J1908" s="12">
        <f>IF('Data Entry'!A1908="","",IF('Data Entry'!D1908&lt;&gt;"",'Data Entry'!D1908,'Data Entry'!E1908))</f>
        <v/>
      </c>
      <c r="K1908" s="10">
        <f>IF('Data Entry'!A1908="","",IFERROR(SUMIFS($H$5:$H$2001,$J$5:$J$2001,$J1908,$B$5:$B$2001,$B1908,$A$5:$A$2001,(MAXIFS($A$5:$A$2001,$J$5:$J$2001,$J1908,$B$5:$B$2001,$B1908,$A$5:$A$2001,"&lt;"&amp;$A1908))),""))</f>
        <v/>
      </c>
      <c r="L1908" s="14">
        <f>IF(OR('Data Entry'!A1908="",$K1908=""),"",$H1908-$K1908)</f>
        <v/>
      </c>
      <c r="M1908" s="15">
        <f>IF(OR('Data Entry'!A1908="",$K1908="",$K1908=0),"",$L1908/$K1908)</f>
        <v/>
      </c>
      <c r="N1908" s="12">
        <f>IF('Data Entry'!A1908="","",IF($L1908="","New item",IF($L1908&gt;0,"UP",IF($L1908&lt;0,"down","same"))))</f>
        <v/>
      </c>
    </row>
    <row r="1909">
      <c r="A1909" s="11">
        <f>IF('Data Entry'!A1909="","",'Data Entry'!A1909)</f>
        <v/>
      </c>
      <c r="B1909" s="12">
        <f>IF('Data Entry'!A1909="","",'Data Entry'!B1909)</f>
        <v/>
      </c>
      <c r="C1909" s="12">
        <f>IF('Data Entry'!A1909="","",'Data Entry'!C1909)</f>
        <v/>
      </c>
      <c r="D1909" s="12">
        <f>IF('Data Entry'!A1909="","",'Data Entry'!D1909)</f>
        <v/>
      </c>
      <c r="E1909" s="12">
        <f>IF('Data Entry'!A1909="","",'Data Entry'!E1909)</f>
        <v/>
      </c>
      <c r="F1909" s="12">
        <f>IF('Data Entry'!A1909="","",'Data Entry'!F1909)</f>
        <v/>
      </c>
      <c r="G1909" s="13">
        <f>IF('Data Entry'!A1909="","",'Data Entry'!G1909)</f>
        <v/>
      </c>
      <c r="H1909" s="10">
        <f>IF('Data Entry'!A1909="","",'Data Entry'!H1909)</f>
        <v/>
      </c>
      <c r="I1909" s="10">
        <f>IF('Data Entry'!A1909="","",'Data Entry'!I1909)</f>
        <v/>
      </c>
      <c r="J1909" s="12">
        <f>IF('Data Entry'!A1909="","",IF('Data Entry'!D1909&lt;&gt;"",'Data Entry'!D1909,'Data Entry'!E1909))</f>
        <v/>
      </c>
      <c r="K1909" s="10">
        <f>IF('Data Entry'!A1909="","",IFERROR(SUMIFS($H$5:$H$2001,$J$5:$J$2001,$J1909,$B$5:$B$2001,$B1909,$A$5:$A$2001,(MAXIFS($A$5:$A$2001,$J$5:$J$2001,$J1909,$B$5:$B$2001,$B1909,$A$5:$A$2001,"&lt;"&amp;$A1909))),""))</f>
        <v/>
      </c>
      <c r="L1909" s="14">
        <f>IF(OR('Data Entry'!A1909="",$K1909=""),"",$H1909-$K1909)</f>
        <v/>
      </c>
      <c r="M1909" s="15">
        <f>IF(OR('Data Entry'!A1909="",$K1909="",$K1909=0),"",$L1909/$K1909)</f>
        <v/>
      </c>
      <c r="N1909" s="12">
        <f>IF('Data Entry'!A1909="","",IF($L1909="","New item",IF($L1909&gt;0,"UP",IF($L1909&lt;0,"down","same"))))</f>
        <v/>
      </c>
    </row>
    <row r="1910">
      <c r="A1910" s="11">
        <f>IF('Data Entry'!A1910="","",'Data Entry'!A1910)</f>
        <v/>
      </c>
      <c r="B1910" s="12">
        <f>IF('Data Entry'!A1910="","",'Data Entry'!B1910)</f>
        <v/>
      </c>
      <c r="C1910" s="12">
        <f>IF('Data Entry'!A1910="","",'Data Entry'!C1910)</f>
        <v/>
      </c>
      <c r="D1910" s="12">
        <f>IF('Data Entry'!A1910="","",'Data Entry'!D1910)</f>
        <v/>
      </c>
      <c r="E1910" s="12">
        <f>IF('Data Entry'!A1910="","",'Data Entry'!E1910)</f>
        <v/>
      </c>
      <c r="F1910" s="12">
        <f>IF('Data Entry'!A1910="","",'Data Entry'!F1910)</f>
        <v/>
      </c>
      <c r="G1910" s="13">
        <f>IF('Data Entry'!A1910="","",'Data Entry'!G1910)</f>
        <v/>
      </c>
      <c r="H1910" s="10">
        <f>IF('Data Entry'!A1910="","",'Data Entry'!H1910)</f>
        <v/>
      </c>
      <c r="I1910" s="10">
        <f>IF('Data Entry'!A1910="","",'Data Entry'!I1910)</f>
        <v/>
      </c>
      <c r="J1910" s="12">
        <f>IF('Data Entry'!A1910="","",IF('Data Entry'!D1910&lt;&gt;"",'Data Entry'!D1910,'Data Entry'!E1910))</f>
        <v/>
      </c>
      <c r="K1910" s="10">
        <f>IF('Data Entry'!A1910="","",IFERROR(SUMIFS($H$5:$H$2001,$J$5:$J$2001,$J1910,$B$5:$B$2001,$B1910,$A$5:$A$2001,(MAXIFS($A$5:$A$2001,$J$5:$J$2001,$J1910,$B$5:$B$2001,$B1910,$A$5:$A$2001,"&lt;"&amp;$A1910))),""))</f>
        <v/>
      </c>
      <c r="L1910" s="14">
        <f>IF(OR('Data Entry'!A1910="",$K1910=""),"",$H1910-$K1910)</f>
        <v/>
      </c>
      <c r="M1910" s="15">
        <f>IF(OR('Data Entry'!A1910="",$K1910="",$K1910=0),"",$L1910/$K1910)</f>
        <v/>
      </c>
      <c r="N1910" s="12">
        <f>IF('Data Entry'!A1910="","",IF($L1910="","New item",IF($L1910&gt;0,"UP",IF($L1910&lt;0,"down","same"))))</f>
        <v/>
      </c>
    </row>
    <row r="1911">
      <c r="A1911" s="11">
        <f>IF('Data Entry'!A1911="","",'Data Entry'!A1911)</f>
        <v/>
      </c>
      <c r="B1911" s="12">
        <f>IF('Data Entry'!A1911="","",'Data Entry'!B1911)</f>
        <v/>
      </c>
      <c r="C1911" s="12">
        <f>IF('Data Entry'!A1911="","",'Data Entry'!C1911)</f>
        <v/>
      </c>
      <c r="D1911" s="12">
        <f>IF('Data Entry'!A1911="","",'Data Entry'!D1911)</f>
        <v/>
      </c>
      <c r="E1911" s="12">
        <f>IF('Data Entry'!A1911="","",'Data Entry'!E1911)</f>
        <v/>
      </c>
      <c r="F1911" s="12">
        <f>IF('Data Entry'!A1911="","",'Data Entry'!F1911)</f>
        <v/>
      </c>
      <c r="G1911" s="13">
        <f>IF('Data Entry'!A1911="","",'Data Entry'!G1911)</f>
        <v/>
      </c>
      <c r="H1911" s="10">
        <f>IF('Data Entry'!A1911="","",'Data Entry'!H1911)</f>
        <v/>
      </c>
      <c r="I1911" s="10">
        <f>IF('Data Entry'!A1911="","",'Data Entry'!I1911)</f>
        <v/>
      </c>
      <c r="J1911" s="12">
        <f>IF('Data Entry'!A1911="","",IF('Data Entry'!D1911&lt;&gt;"",'Data Entry'!D1911,'Data Entry'!E1911))</f>
        <v/>
      </c>
      <c r="K1911" s="10">
        <f>IF('Data Entry'!A1911="","",IFERROR(SUMIFS($H$5:$H$2001,$J$5:$J$2001,$J1911,$B$5:$B$2001,$B1911,$A$5:$A$2001,(MAXIFS($A$5:$A$2001,$J$5:$J$2001,$J1911,$B$5:$B$2001,$B1911,$A$5:$A$2001,"&lt;"&amp;$A1911))),""))</f>
        <v/>
      </c>
      <c r="L1911" s="14">
        <f>IF(OR('Data Entry'!A1911="",$K1911=""),"",$H1911-$K1911)</f>
        <v/>
      </c>
      <c r="M1911" s="15">
        <f>IF(OR('Data Entry'!A1911="",$K1911="",$K1911=0),"",$L1911/$K1911)</f>
        <v/>
      </c>
      <c r="N1911" s="12">
        <f>IF('Data Entry'!A1911="","",IF($L1911="","New item",IF($L1911&gt;0,"UP",IF($L1911&lt;0,"down","same"))))</f>
        <v/>
      </c>
    </row>
    <row r="1912">
      <c r="A1912" s="11">
        <f>IF('Data Entry'!A1912="","",'Data Entry'!A1912)</f>
        <v/>
      </c>
      <c r="B1912" s="12">
        <f>IF('Data Entry'!A1912="","",'Data Entry'!B1912)</f>
        <v/>
      </c>
      <c r="C1912" s="12">
        <f>IF('Data Entry'!A1912="","",'Data Entry'!C1912)</f>
        <v/>
      </c>
      <c r="D1912" s="12">
        <f>IF('Data Entry'!A1912="","",'Data Entry'!D1912)</f>
        <v/>
      </c>
      <c r="E1912" s="12">
        <f>IF('Data Entry'!A1912="","",'Data Entry'!E1912)</f>
        <v/>
      </c>
      <c r="F1912" s="12">
        <f>IF('Data Entry'!A1912="","",'Data Entry'!F1912)</f>
        <v/>
      </c>
      <c r="G1912" s="13">
        <f>IF('Data Entry'!A1912="","",'Data Entry'!G1912)</f>
        <v/>
      </c>
      <c r="H1912" s="10">
        <f>IF('Data Entry'!A1912="","",'Data Entry'!H1912)</f>
        <v/>
      </c>
      <c r="I1912" s="10">
        <f>IF('Data Entry'!A1912="","",'Data Entry'!I1912)</f>
        <v/>
      </c>
      <c r="J1912" s="12">
        <f>IF('Data Entry'!A1912="","",IF('Data Entry'!D1912&lt;&gt;"",'Data Entry'!D1912,'Data Entry'!E1912))</f>
        <v/>
      </c>
      <c r="K1912" s="10">
        <f>IF('Data Entry'!A1912="","",IFERROR(SUMIFS($H$5:$H$2001,$J$5:$J$2001,$J1912,$B$5:$B$2001,$B1912,$A$5:$A$2001,(MAXIFS($A$5:$A$2001,$J$5:$J$2001,$J1912,$B$5:$B$2001,$B1912,$A$5:$A$2001,"&lt;"&amp;$A1912))),""))</f>
        <v/>
      </c>
      <c r="L1912" s="14">
        <f>IF(OR('Data Entry'!A1912="",$K1912=""),"",$H1912-$K1912)</f>
        <v/>
      </c>
      <c r="M1912" s="15">
        <f>IF(OR('Data Entry'!A1912="",$K1912="",$K1912=0),"",$L1912/$K1912)</f>
        <v/>
      </c>
      <c r="N1912" s="12">
        <f>IF('Data Entry'!A1912="","",IF($L1912="","New item",IF($L1912&gt;0,"UP",IF($L1912&lt;0,"down","same"))))</f>
        <v/>
      </c>
    </row>
    <row r="1913">
      <c r="A1913" s="11">
        <f>IF('Data Entry'!A1913="","",'Data Entry'!A1913)</f>
        <v/>
      </c>
      <c r="B1913" s="12">
        <f>IF('Data Entry'!A1913="","",'Data Entry'!B1913)</f>
        <v/>
      </c>
      <c r="C1913" s="12">
        <f>IF('Data Entry'!A1913="","",'Data Entry'!C1913)</f>
        <v/>
      </c>
      <c r="D1913" s="12">
        <f>IF('Data Entry'!A1913="","",'Data Entry'!D1913)</f>
        <v/>
      </c>
      <c r="E1913" s="12">
        <f>IF('Data Entry'!A1913="","",'Data Entry'!E1913)</f>
        <v/>
      </c>
      <c r="F1913" s="12">
        <f>IF('Data Entry'!A1913="","",'Data Entry'!F1913)</f>
        <v/>
      </c>
      <c r="G1913" s="13">
        <f>IF('Data Entry'!A1913="","",'Data Entry'!G1913)</f>
        <v/>
      </c>
      <c r="H1913" s="10">
        <f>IF('Data Entry'!A1913="","",'Data Entry'!H1913)</f>
        <v/>
      </c>
      <c r="I1913" s="10">
        <f>IF('Data Entry'!A1913="","",'Data Entry'!I1913)</f>
        <v/>
      </c>
      <c r="J1913" s="12">
        <f>IF('Data Entry'!A1913="","",IF('Data Entry'!D1913&lt;&gt;"",'Data Entry'!D1913,'Data Entry'!E1913))</f>
        <v/>
      </c>
      <c r="K1913" s="10">
        <f>IF('Data Entry'!A1913="","",IFERROR(SUMIFS($H$5:$H$2001,$J$5:$J$2001,$J1913,$B$5:$B$2001,$B1913,$A$5:$A$2001,(MAXIFS($A$5:$A$2001,$J$5:$J$2001,$J1913,$B$5:$B$2001,$B1913,$A$5:$A$2001,"&lt;"&amp;$A1913))),""))</f>
        <v/>
      </c>
      <c r="L1913" s="14">
        <f>IF(OR('Data Entry'!A1913="",$K1913=""),"",$H1913-$K1913)</f>
        <v/>
      </c>
      <c r="M1913" s="15">
        <f>IF(OR('Data Entry'!A1913="",$K1913="",$K1913=0),"",$L1913/$K1913)</f>
        <v/>
      </c>
      <c r="N1913" s="12">
        <f>IF('Data Entry'!A1913="","",IF($L1913="","New item",IF($L1913&gt;0,"UP",IF($L1913&lt;0,"down","same"))))</f>
        <v/>
      </c>
    </row>
    <row r="1914">
      <c r="A1914" s="11">
        <f>IF('Data Entry'!A1914="","",'Data Entry'!A1914)</f>
        <v/>
      </c>
      <c r="B1914" s="12">
        <f>IF('Data Entry'!A1914="","",'Data Entry'!B1914)</f>
        <v/>
      </c>
      <c r="C1914" s="12">
        <f>IF('Data Entry'!A1914="","",'Data Entry'!C1914)</f>
        <v/>
      </c>
      <c r="D1914" s="12">
        <f>IF('Data Entry'!A1914="","",'Data Entry'!D1914)</f>
        <v/>
      </c>
      <c r="E1914" s="12">
        <f>IF('Data Entry'!A1914="","",'Data Entry'!E1914)</f>
        <v/>
      </c>
      <c r="F1914" s="12">
        <f>IF('Data Entry'!A1914="","",'Data Entry'!F1914)</f>
        <v/>
      </c>
      <c r="G1914" s="13">
        <f>IF('Data Entry'!A1914="","",'Data Entry'!G1914)</f>
        <v/>
      </c>
      <c r="H1914" s="10">
        <f>IF('Data Entry'!A1914="","",'Data Entry'!H1914)</f>
        <v/>
      </c>
      <c r="I1914" s="10">
        <f>IF('Data Entry'!A1914="","",'Data Entry'!I1914)</f>
        <v/>
      </c>
      <c r="J1914" s="12">
        <f>IF('Data Entry'!A1914="","",IF('Data Entry'!D1914&lt;&gt;"",'Data Entry'!D1914,'Data Entry'!E1914))</f>
        <v/>
      </c>
      <c r="K1914" s="10">
        <f>IF('Data Entry'!A1914="","",IFERROR(SUMIFS($H$5:$H$2001,$J$5:$J$2001,$J1914,$B$5:$B$2001,$B1914,$A$5:$A$2001,(MAXIFS($A$5:$A$2001,$J$5:$J$2001,$J1914,$B$5:$B$2001,$B1914,$A$5:$A$2001,"&lt;"&amp;$A1914))),""))</f>
        <v/>
      </c>
      <c r="L1914" s="14">
        <f>IF(OR('Data Entry'!A1914="",$K1914=""),"",$H1914-$K1914)</f>
        <v/>
      </c>
      <c r="M1914" s="15">
        <f>IF(OR('Data Entry'!A1914="",$K1914="",$K1914=0),"",$L1914/$K1914)</f>
        <v/>
      </c>
      <c r="N1914" s="12">
        <f>IF('Data Entry'!A1914="","",IF($L1914="","New item",IF($L1914&gt;0,"UP",IF($L1914&lt;0,"down","same"))))</f>
        <v/>
      </c>
    </row>
    <row r="1915">
      <c r="A1915" s="11">
        <f>IF('Data Entry'!A1915="","",'Data Entry'!A1915)</f>
        <v/>
      </c>
      <c r="B1915" s="12">
        <f>IF('Data Entry'!A1915="","",'Data Entry'!B1915)</f>
        <v/>
      </c>
      <c r="C1915" s="12">
        <f>IF('Data Entry'!A1915="","",'Data Entry'!C1915)</f>
        <v/>
      </c>
      <c r="D1915" s="12">
        <f>IF('Data Entry'!A1915="","",'Data Entry'!D1915)</f>
        <v/>
      </c>
      <c r="E1915" s="12">
        <f>IF('Data Entry'!A1915="","",'Data Entry'!E1915)</f>
        <v/>
      </c>
      <c r="F1915" s="12">
        <f>IF('Data Entry'!A1915="","",'Data Entry'!F1915)</f>
        <v/>
      </c>
      <c r="G1915" s="13">
        <f>IF('Data Entry'!A1915="","",'Data Entry'!G1915)</f>
        <v/>
      </c>
      <c r="H1915" s="10">
        <f>IF('Data Entry'!A1915="","",'Data Entry'!H1915)</f>
        <v/>
      </c>
      <c r="I1915" s="10">
        <f>IF('Data Entry'!A1915="","",'Data Entry'!I1915)</f>
        <v/>
      </c>
      <c r="J1915" s="12">
        <f>IF('Data Entry'!A1915="","",IF('Data Entry'!D1915&lt;&gt;"",'Data Entry'!D1915,'Data Entry'!E1915))</f>
        <v/>
      </c>
      <c r="K1915" s="10">
        <f>IF('Data Entry'!A1915="","",IFERROR(SUMIFS($H$5:$H$2001,$J$5:$J$2001,$J1915,$B$5:$B$2001,$B1915,$A$5:$A$2001,(MAXIFS($A$5:$A$2001,$J$5:$J$2001,$J1915,$B$5:$B$2001,$B1915,$A$5:$A$2001,"&lt;"&amp;$A1915))),""))</f>
        <v/>
      </c>
      <c r="L1915" s="14">
        <f>IF(OR('Data Entry'!A1915="",$K1915=""),"",$H1915-$K1915)</f>
        <v/>
      </c>
      <c r="M1915" s="15">
        <f>IF(OR('Data Entry'!A1915="",$K1915="",$K1915=0),"",$L1915/$K1915)</f>
        <v/>
      </c>
      <c r="N1915" s="12">
        <f>IF('Data Entry'!A1915="","",IF($L1915="","New item",IF($L1915&gt;0,"UP",IF($L1915&lt;0,"down","same"))))</f>
        <v/>
      </c>
    </row>
    <row r="1916">
      <c r="A1916" s="11">
        <f>IF('Data Entry'!A1916="","",'Data Entry'!A1916)</f>
        <v/>
      </c>
      <c r="B1916" s="12">
        <f>IF('Data Entry'!A1916="","",'Data Entry'!B1916)</f>
        <v/>
      </c>
      <c r="C1916" s="12">
        <f>IF('Data Entry'!A1916="","",'Data Entry'!C1916)</f>
        <v/>
      </c>
      <c r="D1916" s="12">
        <f>IF('Data Entry'!A1916="","",'Data Entry'!D1916)</f>
        <v/>
      </c>
      <c r="E1916" s="12">
        <f>IF('Data Entry'!A1916="","",'Data Entry'!E1916)</f>
        <v/>
      </c>
      <c r="F1916" s="12">
        <f>IF('Data Entry'!A1916="","",'Data Entry'!F1916)</f>
        <v/>
      </c>
      <c r="G1916" s="13">
        <f>IF('Data Entry'!A1916="","",'Data Entry'!G1916)</f>
        <v/>
      </c>
      <c r="H1916" s="10">
        <f>IF('Data Entry'!A1916="","",'Data Entry'!H1916)</f>
        <v/>
      </c>
      <c r="I1916" s="10">
        <f>IF('Data Entry'!A1916="","",'Data Entry'!I1916)</f>
        <v/>
      </c>
      <c r="J1916" s="12">
        <f>IF('Data Entry'!A1916="","",IF('Data Entry'!D1916&lt;&gt;"",'Data Entry'!D1916,'Data Entry'!E1916))</f>
        <v/>
      </c>
      <c r="K1916" s="10">
        <f>IF('Data Entry'!A1916="","",IFERROR(SUMIFS($H$5:$H$2001,$J$5:$J$2001,$J1916,$B$5:$B$2001,$B1916,$A$5:$A$2001,(MAXIFS($A$5:$A$2001,$J$5:$J$2001,$J1916,$B$5:$B$2001,$B1916,$A$5:$A$2001,"&lt;"&amp;$A1916))),""))</f>
        <v/>
      </c>
      <c r="L1916" s="14">
        <f>IF(OR('Data Entry'!A1916="",$K1916=""),"",$H1916-$K1916)</f>
        <v/>
      </c>
      <c r="M1916" s="15">
        <f>IF(OR('Data Entry'!A1916="",$K1916="",$K1916=0),"",$L1916/$K1916)</f>
        <v/>
      </c>
      <c r="N1916" s="12">
        <f>IF('Data Entry'!A1916="","",IF($L1916="","New item",IF($L1916&gt;0,"UP",IF($L1916&lt;0,"down","same"))))</f>
        <v/>
      </c>
    </row>
    <row r="1917">
      <c r="A1917" s="11">
        <f>IF('Data Entry'!A1917="","",'Data Entry'!A1917)</f>
        <v/>
      </c>
      <c r="B1917" s="12">
        <f>IF('Data Entry'!A1917="","",'Data Entry'!B1917)</f>
        <v/>
      </c>
      <c r="C1917" s="12">
        <f>IF('Data Entry'!A1917="","",'Data Entry'!C1917)</f>
        <v/>
      </c>
      <c r="D1917" s="12">
        <f>IF('Data Entry'!A1917="","",'Data Entry'!D1917)</f>
        <v/>
      </c>
      <c r="E1917" s="12">
        <f>IF('Data Entry'!A1917="","",'Data Entry'!E1917)</f>
        <v/>
      </c>
      <c r="F1917" s="12">
        <f>IF('Data Entry'!A1917="","",'Data Entry'!F1917)</f>
        <v/>
      </c>
      <c r="G1917" s="13">
        <f>IF('Data Entry'!A1917="","",'Data Entry'!G1917)</f>
        <v/>
      </c>
      <c r="H1917" s="10">
        <f>IF('Data Entry'!A1917="","",'Data Entry'!H1917)</f>
        <v/>
      </c>
      <c r="I1917" s="10">
        <f>IF('Data Entry'!A1917="","",'Data Entry'!I1917)</f>
        <v/>
      </c>
      <c r="J1917" s="12">
        <f>IF('Data Entry'!A1917="","",IF('Data Entry'!D1917&lt;&gt;"",'Data Entry'!D1917,'Data Entry'!E1917))</f>
        <v/>
      </c>
      <c r="K1917" s="10">
        <f>IF('Data Entry'!A1917="","",IFERROR(SUMIFS($H$5:$H$2001,$J$5:$J$2001,$J1917,$B$5:$B$2001,$B1917,$A$5:$A$2001,(MAXIFS($A$5:$A$2001,$J$5:$J$2001,$J1917,$B$5:$B$2001,$B1917,$A$5:$A$2001,"&lt;"&amp;$A1917))),""))</f>
        <v/>
      </c>
      <c r="L1917" s="14">
        <f>IF(OR('Data Entry'!A1917="",$K1917=""),"",$H1917-$K1917)</f>
        <v/>
      </c>
      <c r="M1917" s="15">
        <f>IF(OR('Data Entry'!A1917="",$K1917="",$K1917=0),"",$L1917/$K1917)</f>
        <v/>
      </c>
      <c r="N1917" s="12">
        <f>IF('Data Entry'!A1917="","",IF($L1917="","New item",IF($L1917&gt;0,"UP",IF($L1917&lt;0,"down","same"))))</f>
        <v/>
      </c>
    </row>
    <row r="1918">
      <c r="A1918" s="11">
        <f>IF('Data Entry'!A1918="","",'Data Entry'!A1918)</f>
        <v/>
      </c>
      <c r="B1918" s="12">
        <f>IF('Data Entry'!A1918="","",'Data Entry'!B1918)</f>
        <v/>
      </c>
      <c r="C1918" s="12">
        <f>IF('Data Entry'!A1918="","",'Data Entry'!C1918)</f>
        <v/>
      </c>
      <c r="D1918" s="12">
        <f>IF('Data Entry'!A1918="","",'Data Entry'!D1918)</f>
        <v/>
      </c>
      <c r="E1918" s="12">
        <f>IF('Data Entry'!A1918="","",'Data Entry'!E1918)</f>
        <v/>
      </c>
      <c r="F1918" s="12">
        <f>IF('Data Entry'!A1918="","",'Data Entry'!F1918)</f>
        <v/>
      </c>
      <c r="G1918" s="13">
        <f>IF('Data Entry'!A1918="","",'Data Entry'!G1918)</f>
        <v/>
      </c>
      <c r="H1918" s="10">
        <f>IF('Data Entry'!A1918="","",'Data Entry'!H1918)</f>
        <v/>
      </c>
      <c r="I1918" s="10">
        <f>IF('Data Entry'!A1918="","",'Data Entry'!I1918)</f>
        <v/>
      </c>
      <c r="J1918" s="12">
        <f>IF('Data Entry'!A1918="","",IF('Data Entry'!D1918&lt;&gt;"",'Data Entry'!D1918,'Data Entry'!E1918))</f>
        <v/>
      </c>
      <c r="K1918" s="10">
        <f>IF('Data Entry'!A1918="","",IFERROR(SUMIFS($H$5:$H$2001,$J$5:$J$2001,$J1918,$B$5:$B$2001,$B1918,$A$5:$A$2001,(MAXIFS($A$5:$A$2001,$J$5:$J$2001,$J1918,$B$5:$B$2001,$B1918,$A$5:$A$2001,"&lt;"&amp;$A1918))),""))</f>
        <v/>
      </c>
      <c r="L1918" s="14">
        <f>IF(OR('Data Entry'!A1918="",$K1918=""),"",$H1918-$K1918)</f>
        <v/>
      </c>
      <c r="M1918" s="15">
        <f>IF(OR('Data Entry'!A1918="",$K1918="",$K1918=0),"",$L1918/$K1918)</f>
        <v/>
      </c>
      <c r="N1918" s="12">
        <f>IF('Data Entry'!A1918="","",IF($L1918="","New item",IF($L1918&gt;0,"UP",IF($L1918&lt;0,"down","same"))))</f>
        <v/>
      </c>
    </row>
    <row r="1919">
      <c r="A1919" s="11">
        <f>IF('Data Entry'!A1919="","",'Data Entry'!A1919)</f>
        <v/>
      </c>
      <c r="B1919" s="12">
        <f>IF('Data Entry'!A1919="","",'Data Entry'!B1919)</f>
        <v/>
      </c>
      <c r="C1919" s="12">
        <f>IF('Data Entry'!A1919="","",'Data Entry'!C1919)</f>
        <v/>
      </c>
      <c r="D1919" s="12">
        <f>IF('Data Entry'!A1919="","",'Data Entry'!D1919)</f>
        <v/>
      </c>
      <c r="E1919" s="12">
        <f>IF('Data Entry'!A1919="","",'Data Entry'!E1919)</f>
        <v/>
      </c>
      <c r="F1919" s="12">
        <f>IF('Data Entry'!A1919="","",'Data Entry'!F1919)</f>
        <v/>
      </c>
      <c r="G1919" s="13">
        <f>IF('Data Entry'!A1919="","",'Data Entry'!G1919)</f>
        <v/>
      </c>
      <c r="H1919" s="10">
        <f>IF('Data Entry'!A1919="","",'Data Entry'!H1919)</f>
        <v/>
      </c>
      <c r="I1919" s="10">
        <f>IF('Data Entry'!A1919="","",'Data Entry'!I1919)</f>
        <v/>
      </c>
      <c r="J1919" s="12">
        <f>IF('Data Entry'!A1919="","",IF('Data Entry'!D1919&lt;&gt;"",'Data Entry'!D1919,'Data Entry'!E1919))</f>
        <v/>
      </c>
      <c r="K1919" s="10">
        <f>IF('Data Entry'!A1919="","",IFERROR(SUMIFS($H$5:$H$2001,$J$5:$J$2001,$J1919,$B$5:$B$2001,$B1919,$A$5:$A$2001,(MAXIFS($A$5:$A$2001,$J$5:$J$2001,$J1919,$B$5:$B$2001,$B1919,$A$5:$A$2001,"&lt;"&amp;$A1919))),""))</f>
        <v/>
      </c>
      <c r="L1919" s="14">
        <f>IF(OR('Data Entry'!A1919="",$K1919=""),"",$H1919-$K1919)</f>
        <v/>
      </c>
      <c r="M1919" s="15">
        <f>IF(OR('Data Entry'!A1919="",$K1919="",$K1919=0),"",$L1919/$K1919)</f>
        <v/>
      </c>
      <c r="N1919" s="12">
        <f>IF('Data Entry'!A1919="","",IF($L1919="","New item",IF($L1919&gt;0,"UP",IF($L1919&lt;0,"down","same"))))</f>
        <v/>
      </c>
    </row>
    <row r="1920">
      <c r="A1920" s="11">
        <f>IF('Data Entry'!A1920="","",'Data Entry'!A1920)</f>
        <v/>
      </c>
      <c r="B1920" s="12">
        <f>IF('Data Entry'!A1920="","",'Data Entry'!B1920)</f>
        <v/>
      </c>
      <c r="C1920" s="12">
        <f>IF('Data Entry'!A1920="","",'Data Entry'!C1920)</f>
        <v/>
      </c>
      <c r="D1920" s="12">
        <f>IF('Data Entry'!A1920="","",'Data Entry'!D1920)</f>
        <v/>
      </c>
      <c r="E1920" s="12">
        <f>IF('Data Entry'!A1920="","",'Data Entry'!E1920)</f>
        <v/>
      </c>
      <c r="F1920" s="12">
        <f>IF('Data Entry'!A1920="","",'Data Entry'!F1920)</f>
        <v/>
      </c>
      <c r="G1920" s="13">
        <f>IF('Data Entry'!A1920="","",'Data Entry'!G1920)</f>
        <v/>
      </c>
      <c r="H1920" s="10">
        <f>IF('Data Entry'!A1920="","",'Data Entry'!H1920)</f>
        <v/>
      </c>
      <c r="I1920" s="10">
        <f>IF('Data Entry'!A1920="","",'Data Entry'!I1920)</f>
        <v/>
      </c>
      <c r="J1920" s="12">
        <f>IF('Data Entry'!A1920="","",IF('Data Entry'!D1920&lt;&gt;"",'Data Entry'!D1920,'Data Entry'!E1920))</f>
        <v/>
      </c>
      <c r="K1920" s="10">
        <f>IF('Data Entry'!A1920="","",IFERROR(SUMIFS($H$5:$H$2001,$J$5:$J$2001,$J1920,$B$5:$B$2001,$B1920,$A$5:$A$2001,(MAXIFS($A$5:$A$2001,$J$5:$J$2001,$J1920,$B$5:$B$2001,$B1920,$A$5:$A$2001,"&lt;"&amp;$A1920))),""))</f>
        <v/>
      </c>
      <c r="L1920" s="14">
        <f>IF(OR('Data Entry'!A1920="",$K1920=""),"",$H1920-$K1920)</f>
        <v/>
      </c>
      <c r="M1920" s="15">
        <f>IF(OR('Data Entry'!A1920="",$K1920="",$K1920=0),"",$L1920/$K1920)</f>
        <v/>
      </c>
      <c r="N1920" s="12">
        <f>IF('Data Entry'!A1920="","",IF($L1920="","New item",IF($L1920&gt;0,"UP",IF($L1920&lt;0,"down","same"))))</f>
        <v/>
      </c>
    </row>
    <row r="1921">
      <c r="A1921" s="11">
        <f>IF('Data Entry'!A1921="","",'Data Entry'!A1921)</f>
        <v/>
      </c>
      <c r="B1921" s="12">
        <f>IF('Data Entry'!A1921="","",'Data Entry'!B1921)</f>
        <v/>
      </c>
      <c r="C1921" s="12">
        <f>IF('Data Entry'!A1921="","",'Data Entry'!C1921)</f>
        <v/>
      </c>
      <c r="D1921" s="12">
        <f>IF('Data Entry'!A1921="","",'Data Entry'!D1921)</f>
        <v/>
      </c>
      <c r="E1921" s="12">
        <f>IF('Data Entry'!A1921="","",'Data Entry'!E1921)</f>
        <v/>
      </c>
      <c r="F1921" s="12">
        <f>IF('Data Entry'!A1921="","",'Data Entry'!F1921)</f>
        <v/>
      </c>
      <c r="G1921" s="13">
        <f>IF('Data Entry'!A1921="","",'Data Entry'!G1921)</f>
        <v/>
      </c>
      <c r="H1921" s="10">
        <f>IF('Data Entry'!A1921="","",'Data Entry'!H1921)</f>
        <v/>
      </c>
      <c r="I1921" s="10">
        <f>IF('Data Entry'!A1921="","",'Data Entry'!I1921)</f>
        <v/>
      </c>
      <c r="J1921" s="12">
        <f>IF('Data Entry'!A1921="","",IF('Data Entry'!D1921&lt;&gt;"",'Data Entry'!D1921,'Data Entry'!E1921))</f>
        <v/>
      </c>
      <c r="K1921" s="10">
        <f>IF('Data Entry'!A1921="","",IFERROR(SUMIFS($H$5:$H$2001,$J$5:$J$2001,$J1921,$B$5:$B$2001,$B1921,$A$5:$A$2001,(MAXIFS($A$5:$A$2001,$J$5:$J$2001,$J1921,$B$5:$B$2001,$B1921,$A$5:$A$2001,"&lt;"&amp;$A1921))),""))</f>
        <v/>
      </c>
      <c r="L1921" s="14">
        <f>IF(OR('Data Entry'!A1921="",$K1921=""),"",$H1921-$K1921)</f>
        <v/>
      </c>
      <c r="M1921" s="15">
        <f>IF(OR('Data Entry'!A1921="",$K1921="",$K1921=0),"",$L1921/$K1921)</f>
        <v/>
      </c>
      <c r="N1921" s="12">
        <f>IF('Data Entry'!A1921="","",IF($L1921="","New item",IF($L1921&gt;0,"UP",IF($L1921&lt;0,"down","same"))))</f>
        <v/>
      </c>
    </row>
    <row r="1922">
      <c r="A1922" s="11">
        <f>IF('Data Entry'!A1922="","",'Data Entry'!A1922)</f>
        <v/>
      </c>
      <c r="B1922" s="12">
        <f>IF('Data Entry'!A1922="","",'Data Entry'!B1922)</f>
        <v/>
      </c>
      <c r="C1922" s="12">
        <f>IF('Data Entry'!A1922="","",'Data Entry'!C1922)</f>
        <v/>
      </c>
      <c r="D1922" s="12">
        <f>IF('Data Entry'!A1922="","",'Data Entry'!D1922)</f>
        <v/>
      </c>
      <c r="E1922" s="12">
        <f>IF('Data Entry'!A1922="","",'Data Entry'!E1922)</f>
        <v/>
      </c>
      <c r="F1922" s="12">
        <f>IF('Data Entry'!A1922="","",'Data Entry'!F1922)</f>
        <v/>
      </c>
      <c r="G1922" s="13">
        <f>IF('Data Entry'!A1922="","",'Data Entry'!G1922)</f>
        <v/>
      </c>
      <c r="H1922" s="10">
        <f>IF('Data Entry'!A1922="","",'Data Entry'!H1922)</f>
        <v/>
      </c>
      <c r="I1922" s="10">
        <f>IF('Data Entry'!A1922="","",'Data Entry'!I1922)</f>
        <v/>
      </c>
      <c r="J1922" s="12">
        <f>IF('Data Entry'!A1922="","",IF('Data Entry'!D1922&lt;&gt;"",'Data Entry'!D1922,'Data Entry'!E1922))</f>
        <v/>
      </c>
      <c r="K1922" s="10">
        <f>IF('Data Entry'!A1922="","",IFERROR(SUMIFS($H$5:$H$2001,$J$5:$J$2001,$J1922,$B$5:$B$2001,$B1922,$A$5:$A$2001,(MAXIFS($A$5:$A$2001,$J$5:$J$2001,$J1922,$B$5:$B$2001,$B1922,$A$5:$A$2001,"&lt;"&amp;$A1922))),""))</f>
        <v/>
      </c>
      <c r="L1922" s="14">
        <f>IF(OR('Data Entry'!A1922="",$K1922=""),"",$H1922-$K1922)</f>
        <v/>
      </c>
      <c r="M1922" s="15">
        <f>IF(OR('Data Entry'!A1922="",$K1922="",$K1922=0),"",$L1922/$K1922)</f>
        <v/>
      </c>
      <c r="N1922" s="12">
        <f>IF('Data Entry'!A1922="","",IF($L1922="","New item",IF($L1922&gt;0,"UP",IF($L1922&lt;0,"down","same"))))</f>
        <v/>
      </c>
    </row>
    <row r="1923">
      <c r="A1923" s="11">
        <f>IF('Data Entry'!A1923="","",'Data Entry'!A1923)</f>
        <v/>
      </c>
      <c r="B1923" s="12">
        <f>IF('Data Entry'!A1923="","",'Data Entry'!B1923)</f>
        <v/>
      </c>
      <c r="C1923" s="12">
        <f>IF('Data Entry'!A1923="","",'Data Entry'!C1923)</f>
        <v/>
      </c>
      <c r="D1923" s="12">
        <f>IF('Data Entry'!A1923="","",'Data Entry'!D1923)</f>
        <v/>
      </c>
      <c r="E1923" s="12">
        <f>IF('Data Entry'!A1923="","",'Data Entry'!E1923)</f>
        <v/>
      </c>
      <c r="F1923" s="12">
        <f>IF('Data Entry'!A1923="","",'Data Entry'!F1923)</f>
        <v/>
      </c>
      <c r="G1923" s="13">
        <f>IF('Data Entry'!A1923="","",'Data Entry'!G1923)</f>
        <v/>
      </c>
      <c r="H1923" s="10">
        <f>IF('Data Entry'!A1923="","",'Data Entry'!H1923)</f>
        <v/>
      </c>
      <c r="I1923" s="10">
        <f>IF('Data Entry'!A1923="","",'Data Entry'!I1923)</f>
        <v/>
      </c>
      <c r="J1923" s="12">
        <f>IF('Data Entry'!A1923="","",IF('Data Entry'!D1923&lt;&gt;"",'Data Entry'!D1923,'Data Entry'!E1923))</f>
        <v/>
      </c>
      <c r="K1923" s="10">
        <f>IF('Data Entry'!A1923="","",IFERROR(SUMIFS($H$5:$H$2001,$J$5:$J$2001,$J1923,$B$5:$B$2001,$B1923,$A$5:$A$2001,(MAXIFS($A$5:$A$2001,$J$5:$J$2001,$J1923,$B$5:$B$2001,$B1923,$A$5:$A$2001,"&lt;"&amp;$A1923))),""))</f>
        <v/>
      </c>
      <c r="L1923" s="14">
        <f>IF(OR('Data Entry'!A1923="",$K1923=""),"",$H1923-$K1923)</f>
        <v/>
      </c>
      <c r="M1923" s="15">
        <f>IF(OR('Data Entry'!A1923="",$K1923="",$K1923=0),"",$L1923/$K1923)</f>
        <v/>
      </c>
      <c r="N1923" s="12">
        <f>IF('Data Entry'!A1923="","",IF($L1923="","New item",IF($L1923&gt;0,"UP",IF($L1923&lt;0,"down","same"))))</f>
        <v/>
      </c>
    </row>
    <row r="1924">
      <c r="A1924" s="11">
        <f>IF('Data Entry'!A1924="","",'Data Entry'!A1924)</f>
        <v/>
      </c>
      <c r="B1924" s="12">
        <f>IF('Data Entry'!A1924="","",'Data Entry'!B1924)</f>
        <v/>
      </c>
      <c r="C1924" s="12">
        <f>IF('Data Entry'!A1924="","",'Data Entry'!C1924)</f>
        <v/>
      </c>
      <c r="D1924" s="12">
        <f>IF('Data Entry'!A1924="","",'Data Entry'!D1924)</f>
        <v/>
      </c>
      <c r="E1924" s="12">
        <f>IF('Data Entry'!A1924="","",'Data Entry'!E1924)</f>
        <v/>
      </c>
      <c r="F1924" s="12">
        <f>IF('Data Entry'!A1924="","",'Data Entry'!F1924)</f>
        <v/>
      </c>
      <c r="G1924" s="13">
        <f>IF('Data Entry'!A1924="","",'Data Entry'!G1924)</f>
        <v/>
      </c>
      <c r="H1924" s="10">
        <f>IF('Data Entry'!A1924="","",'Data Entry'!H1924)</f>
        <v/>
      </c>
      <c r="I1924" s="10">
        <f>IF('Data Entry'!A1924="","",'Data Entry'!I1924)</f>
        <v/>
      </c>
      <c r="J1924" s="12">
        <f>IF('Data Entry'!A1924="","",IF('Data Entry'!D1924&lt;&gt;"",'Data Entry'!D1924,'Data Entry'!E1924))</f>
        <v/>
      </c>
      <c r="K1924" s="10">
        <f>IF('Data Entry'!A1924="","",IFERROR(SUMIFS($H$5:$H$2001,$J$5:$J$2001,$J1924,$B$5:$B$2001,$B1924,$A$5:$A$2001,(MAXIFS($A$5:$A$2001,$J$5:$J$2001,$J1924,$B$5:$B$2001,$B1924,$A$5:$A$2001,"&lt;"&amp;$A1924))),""))</f>
        <v/>
      </c>
      <c r="L1924" s="14">
        <f>IF(OR('Data Entry'!A1924="",$K1924=""),"",$H1924-$K1924)</f>
        <v/>
      </c>
      <c r="M1924" s="15">
        <f>IF(OR('Data Entry'!A1924="",$K1924="",$K1924=0),"",$L1924/$K1924)</f>
        <v/>
      </c>
      <c r="N1924" s="12">
        <f>IF('Data Entry'!A1924="","",IF($L1924="","New item",IF($L1924&gt;0,"UP",IF($L1924&lt;0,"down","same"))))</f>
        <v/>
      </c>
    </row>
    <row r="1925">
      <c r="A1925" s="11">
        <f>IF('Data Entry'!A1925="","",'Data Entry'!A1925)</f>
        <v/>
      </c>
      <c r="B1925" s="12">
        <f>IF('Data Entry'!A1925="","",'Data Entry'!B1925)</f>
        <v/>
      </c>
      <c r="C1925" s="12">
        <f>IF('Data Entry'!A1925="","",'Data Entry'!C1925)</f>
        <v/>
      </c>
      <c r="D1925" s="12">
        <f>IF('Data Entry'!A1925="","",'Data Entry'!D1925)</f>
        <v/>
      </c>
      <c r="E1925" s="12">
        <f>IF('Data Entry'!A1925="","",'Data Entry'!E1925)</f>
        <v/>
      </c>
      <c r="F1925" s="12">
        <f>IF('Data Entry'!A1925="","",'Data Entry'!F1925)</f>
        <v/>
      </c>
      <c r="G1925" s="13">
        <f>IF('Data Entry'!A1925="","",'Data Entry'!G1925)</f>
        <v/>
      </c>
      <c r="H1925" s="10">
        <f>IF('Data Entry'!A1925="","",'Data Entry'!H1925)</f>
        <v/>
      </c>
      <c r="I1925" s="10">
        <f>IF('Data Entry'!A1925="","",'Data Entry'!I1925)</f>
        <v/>
      </c>
      <c r="J1925" s="12">
        <f>IF('Data Entry'!A1925="","",IF('Data Entry'!D1925&lt;&gt;"",'Data Entry'!D1925,'Data Entry'!E1925))</f>
        <v/>
      </c>
      <c r="K1925" s="10">
        <f>IF('Data Entry'!A1925="","",IFERROR(SUMIFS($H$5:$H$2001,$J$5:$J$2001,$J1925,$B$5:$B$2001,$B1925,$A$5:$A$2001,(MAXIFS($A$5:$A$2001,$J$5:$J$2001,$J1925,$B$5:$B$2001,$B1925,$A$5:$A$2001,"&lt;"&amp;$A1925))),""))</f>
        <v/>
      </c>
      <c r="L1925" s="14">
        <f>IF(OR('Data Entry'!A1925="",$K1925=""),"",$H1925-$K1925)</f>
        <v/>
      </c>
      <c r="M1925" s="15">
        <f>IF(OR('Data Entry'!A1925="",$K1925="",$K1925=0),"",$L1925/$K1925)</f>
        <v/>
      </c>
      <c r="N1925" s="12">
        <f>IF('Data Entry'!A1925="","",IF($L1925="","New item",IF($L1925&gt;0,"UP",IF($L1925&lt;0,"down","same"))))</f>
        <v/>
      </c>
    </row>
    <row r="1926">
      <c r="A1926" s="11">
        <f>IF('Data Entry'!A1926="","",'Data Entry'!A1926)</f>
        <v/>
      </c>
      <c r="B1926" s="12">
        <f>IF('Data Entry'!A1926="","",'Data Entry'!B1926)</f>
        <v/>
      </c>
      <c r="C1926" s="12">
        <f>IF('Data Entry'!A1926="","",'Data Entry'!C1926)</f>
        <v/>
      </c>
      <c r="D1926" s="12">
        <f>IF('Data Entry'!A1926="","",'Data Entry'!D1926)</f>
        <v/>
      </c>
      <c r="E1926" s="12">
        <f>IF('Data Entry'!A1926="","",'Data Entry'!E1926)</f>
        <v/>
      </c>
      <c r="F1926" s="12">
        <f>IF('Data Entry'!A1926="","",'Data Entry'!F1926)</f>
        <v/>
      </c>
      <c r="G1926" s="13">
        <f>IF('Data Entry'!A1926="","",'Data Entry'!G1926)</f>
        <v/>
      </c>
      <c r="H1926" s="10">
        <f>IF('Data Entry'!A1926="","",'Data Entry'!H1926)</f>
        <v/>
      </c>
      <c r="I1926" s="10">
        <f>IF('Data Entry'!A1926="","",'Data Entry'!I1926)</f>
        <v/>
      </c>
      <c r="J1926" s="12">
        <f>IF('Data Entry'!A1926="","",IF('Data Entry'!D1926&lt;&gt;"",'Data Entry'!D1926,'Data Entry'!E1926))</f>
        <v/>
      </c>
      <c r="K1926" s="10">
        <f>IF('Data Entry'!A1926="","",IFERROR(SUMIFS($H$5:$H$2001,$J$5:$J$2001,$J1926,$B$5:$B$2001,$B1926,$A$5:$A$2001,(MAXIFS($A$5:$A$2001,$J$5:$J$2001,$J1926,$B$5:$B$2001,$B1926,$A$5:$A$2001,"&lt;"&amp;$A1926))),""))</f>
        <v/>
      </c>
      <c r="L1926" s="14">
        <f>IF(OR('Data Entry'!A1926="",$K1926=""),"",$H1926-$K1926)</f>
        <v/>
      </c>
      <c r="M1926" s="15">
        <f>IF(OR('Data Entry'!A1926="",$K1926="",$K1926=0),"",$L1926/$K1926)</f>
        <v/>
      </c>
      <c r="N1926" s="12">
        <f>IF('Data Entry'!A1926="","",IF($L1926="","New item",IF($L1926&gt;0,"UP",IF($L1926&lt;0,"down","same"))))</f>
        <v/>
      </c>
    </row>
    <row r="1927">
      <c r="A1927" s="11">
        <f>IF('Data Entry'!A1927="","",'Data Entry'!A1927)</f>
        <v/>
      </c>
      <c r="B1927" s="12">
        <f>IF('Data Entry'!A1927="","",'Data Entry'!B1927)</f>
        <v/>
      </c>
      <c r="C1927" s="12">
        <f>IF('Data Entry'!A1927="","",'Data Entry'!C1927)</f>
        <v/>
      </c>
      <c r="D1927" s="12">
        <f>IF('Data Entry'!A1927="","",'Data Entry'!D1927)</f>
        <v/>
      </c>
      <c r="E1927" s="12">
        <f>IF('Data Entry'!A1927="","",'Data Entry'!E1927)</f>
        <v/>
      </c>
      <c r="F1927" s="12">
        <f>IF('Data Entry'!A1927="","",'Data Entry'!F1927)</f>
        <v/>
      </c>
      <c r="G1927" s="13">
        <f>IF('Data Entry'!A1927="","",'Data Entry'!G1927)</f>
        <v/>
      </c>
      <c r="H1927" s="10">
        <f>IF('Data Entry'!A1927="","",'Data Entry'!H1927)</f>
        <v/>
      </c>
      <c r="I1927" s="10">
        <f>IF('Data Entry'!A1927="","",'Data Entry'!I1927)</f>
        <v/>
      </c>
      <c r="J1927" s="12">
        <f>IF('Data Entry'!A1927="","",IF('Data Entry'!D1927&lt;&gt;"",'Data Entry'!D1927,'Data Entry'!E1927))</f>
        <v/>
      </c>
      <c r="K1927" s="10">
        <f>IF('Data Entry'!A1927="","",IFERROR(SUMIFS($H$5:$H$2001,$J$5:$J$2001,$J1927,$B$5:$B$2001,$B1927,$A$5:$A$2001,(MAXIFS($A$5:$A$2001,$J$5:$J$2001,$J1927,$B$5:$B$2001,$B1927,$A$5:$A$2001,"&lt;"&amp;$A1927))),""))</f>
        <v/>
      </c>
      <c r="L1927" s="14">
        <f>IF(OR('Data Entry'!A1927="",$K1927=""),"",$H1927-$K1927)</f>
        <v/>
      </c>
      <c r="M1927" s="15">
        <f>IF(OR('Data Entry'!A1927="",$K1927="",$K1927=0),"",$L1927/$K1927)</f>
        <v/>
      </c>
      <c r="N1927" s="12">
        <f>IF('Data Entry'!A1927="","",IF($L1927="","New item",IF($L1927&gt;0,"UP",IF($L1927&lt;0,"down","same"))))</f>
        <v/>
      </c>
    </row>
    <row r="1928">
      <c r="A1928" s="11">
        <f>IF('Data Entry'!A1928="","",'Data Entry'!A1928)</f>
        <v/>
      </c>
      <c r="B1928" s="12">
        <f>IF('Data Entry'!A1928="","",'Data Entry'!B1928)</f>
        <v/>
      </c>
      <c r="C1928" s="12">
        <f>IF('Data Entry'!A1928="","",'Data Entry'!C1928)</f>
        <v/>
      </c>
      <c r="D1928" s="12">
        <f>IF('Data Entry'!A1928="","",'Data Entry'!D1928)</f>
        <v/>
      </c>
      <c r="E1928" s="12">
        <f>IF('Data Entry'!A1928="","",'Data Entry'!E1928)</f>
        <v/>
      </c>
      <c r="F1928" s="12">
        <f>IF('Data Entry'!A1928="","",'Data Entry'!F1928)</f>
        <v/>
      </c>
      <c r="G1928" s="13">
        <f>IF('Data Entry'!A1928="","",'Data Entry'!G1928)</f>
        <v/>
      </c>
      <c r="H1928" s="10">
        <f>IF('Data Entry'!A1928="","",'Data Entry'!H1928)</f>
        <v/>
      </c>
      <c r="I1928" s="10">
        <f>IF('Data Entry'!A1928="","",'Data Entry'!I1928)</f>
        <v/>
      </c>
      <c r="J1928" s="12">
        <f>IF('Data Entry'!A1928="","",IF('Data Entry'!D1928&lt;&gt;"",'Data Entry'!D1928,'Data Entry'!E1928))</f>
        <v/>
      </c>
      <c r="K1928" s="10">
        <f>IF('Data Entry'!A1928="","",IFERROR(SUMIFS($H$5:$H$2001,$J$5:$J$2001,$J1928,$B$5:$B$2001,$B1928,$A$5:$A$2001,(MAXIFS($A$5:$A$2001,$J$5:$J$2001,$J1928,$B$5:$B$2001,$B1928,$A$5:$A$2001,"&lt;"&amp;$A1928))),""))</f>
        <v/>
      </c>
      <c r="L1928" s="14">
        <f>IF(OR('Data Entry'!A1928="",$K1928=""),"",$H1928-$K1928)</f>
        <v/>
      </c>
      <c r="M1928" s="15">
        <f>IF(OR('Data Entry'!A1928="",$K1928="",$K1928=0),"",$L1928/$K1928)</f>
        <v/>
      </c>
      <c r="N1928" s="12">
        <f>IF('Data Entry'!A1928="","",IF($L1928="","New item",IF($L1928&gt;0,"UP",IF($L1928&lt;0,"down","same"))))</f>
        <v/>
      </c>
    </row>
    <row r="1929">
      <c r="A1929" s="11">
        <f>IF('Data Entry'!A1929="","",'Data Entry'!A1929)</f>
        <v/>
      </c>
      <c r="B1929" s="12">
        <f>IF('Data Entry'!A1929="","",'Data Entry'!B1929)</f>
        <v/>
      </c>
      <c r="C1929" s="12">
        <f>IF('Data Entry'!A1929="","",'Data Entry'!C1929)</f>
        <v/>
      </c>
      <c r="D1929" s="12">
        <f>IF('Data Entry'!A1929="","",'Data Entry'!D1929)</f>
        <v/>
      </c>
      <c r="E1929" s="12">
        <f>IF('Data Entry'!A1929="","",'Data Entry'!E1929)</f>
        <v/>
      </c>
      <c r="F1929" s="12">
        <f>IF('Data Entry'!A1929="","",'Data Entry'!F1929)</f>
        <v/>
      </c>
      <c r="G1929" s="13">
        <f>IF('Data Entry'!A1929="","",'Data Entry'!G1929)</f>
        <v/>
      </c>
      <c r="H1929" s="10">
        <f>IF('Data Entry'!A1929="","",'Data Entry'!H1929)</f>
        <v/>
      </c>
      <c r="I1929" s="10">
        <f>IF('Data Entry'!A1929="","",'Data Entry'!I1929)</f>
        <v/>
      </c>
      <c r="J1929" s="12">
        <f>IF('Data Entry'!A1929="","",IF('Data Entry'!D1929&lt;&gt;"",'Data Entry'!D1929,'Data Entry'!E1929))</f>
        <v/>
      </c>
      <c r="K1929" s="10">
        <f>IF('Data Entry'!A1929="","",IFERROR(SUMIFS($H$5:$H$2001,$J$5:$J$2001,$J1929,$B$5:$B$2001,$B1929,$A$5:$A$2001,(MAXIFS($A$5:$A$2001,$J$5:$J$2001,$J1929,$B$5:$B$2001,$B1929,$A$5:$A$2001,"&lt;"&amp;$A1929))),""))</f>
        <v/>
      </c>
      <c r="L1929" s="14">
        <f>IF(OR('Data Entry'!A1929="",$K1929=""),"",$H1929-$K1929)</f>
        <v/>
      </c>
      <c r="M1929" s="15">
        <f>IF(OR('Data Entry'!A1929="",$K1929="",$K1929=0),"",$L1929/$K1929)</f>
        <v/>
      </c>
      <c r="N1929" s="12">
        <f>IF('Data Entry'!A1929="","",IF($L1929="","New item",IF($L1929&gt;0,"UP",IF($L1929&lt;0,"down","same"))))</f>
        <v/>
      </c>
    </row>
    <row r="1930">
      <c r="A1930" s="11">
        <f>IF('Data Entry'!A1930="","",'Data Entry'!A1930)</f>
        <v/>
      </c>
      <c r="B1930" s="12">
        <f>IF('Data Entry'!A1930="","",'Data Entry'!B1930)</f>
        <v/>
      </c>
      <c r="C1930" s="12">
        <f>IF('Data Entry'!A1930="","",'Data Entry'!C1930)</f>
        <v/>
      </c>
      <c r="D1930" s="12">
        <f>IF('Data Entry'!A1930="","",'Data Entry'!D1930)</f>
        <v/>
      </c>
      <c r="E1930" s="12">
        <f>IF('Data Entry'!A1930="","",'Data Entry'!E1930)</f>
        <v/>
      </c>
      <c r="F1930" s="12">
        <f>IF('Data Entry'!A1930="","",'Data Entry'!F1930)</f>
        <v/>
      </c>
      <c r="G1930" s="13">
        <f>IF('Data Entry'!A1930="","",'Data Entry'!G1930)</f>
        <v/>
      </c>
      <c r="H1930" s="10">
        <f>IF('Data Entry'!A1930="","",'Data Entry'!H1930)</f>
        <v/>
      </c>
      <c r="I1930" s="10">
        <f>IF('Data Entry'!A1930="","",'Data Entry'!I1930)</f>
        <v/>
      </c>
      <c r="J1930" s="12">
        <f>IF('Data Entry'!A1930="","",IF('Data Entry'!D1930&lt;&gt;"",'Data Entry'!D1930,'Data Entry'!E1930))</f>
        <v/>
      </c>
      <c r="K1930" s="10">
        <f>IF('Data Entry'!A1930="","",IFERROR(SUMIFS($H$5:$H$2001,$J$5:$J$2001,$J1930,$B$5:$B$2001,$B1930,$A$5:$A$2001,(MAXIFS($A$5:$A$2001,$J$5:$J$2001,$J1930,$B$5:$B$2001,$B1930,$A$5:$A$2001,"&lt;"&amp;$A1930))),""))</f>
        <v/>
      </c>
      <c r="L1930" s="14">
        <f>IF(OR('Data Entry'!A1930="",$K1930=""),"",$H1930-$K1930)</f>
        <v/>
      </c>
      <c r="M1930" s="15">
        <f>IF(OR('Data Entry'!A1930="",$K1930="",$K1930=0),"",$L1930/$K1930)</f>
        <v/>
      </c>
      <c r="N1930" s="12">
        <f>IF('Data Entry'!A1930="","",IF($L1930="","New item",IF($L1930&gt;0,"UP",IF($L1930&lt;0,"down","same"))))</f>
        <v/>
      </c>
    </row>
    <row r="1931">
      <c r="A1931" s="11">
        <f>IF('Data Entry'!A1931="","",'Data Entry'!A1931)</f>
        <v/>
      </c>
      <c r="B1931" s="12">
        <f>IF('Data Entry'!A1931="","",'Data Entry'!B1931)</f>
        <v/>
      </c>
      <c r="C1931" s="12">
        <f>IF('Data Entry'!A1931="","",'Data Entry'!C1931)</f>
        <v/>
      </c>
      <c r="D1931" s="12">
        <f>IF('Data Entry'!A1931="","",'Data Entry'!D1931)</f>
        <v/>
      </c>
      <c r="E1931" s="12">
        <f>IF('Data Entry'!A1931="","",'Data Entry'!E1931)</f>
        <v/>
      </c>
      <c r="F1931" s="12">
        <f>IF('Data Entry'!A1931="","",'Data Entry'!F1931)</f>
        <v/>
      </c>
      <c r="G1931" s="13">
        <f>IF('Data Entry'!A1931="","",'Data Entry'!G1931)</f>
        <v/>
      </c>
      <c r="H1931" s="10">
        <f>IF('Data Entry'!A1931="","",'Data Entry'!H1931)</f>
        <v/>
      </c>
      <c r="I1931" s="10">
        <f>IF('Data Entry'!A1931="","",'Data Entry'!I1931)</f>
        <v/>
      </c>
      <c r="J1931" s="12">
        <f>IF('Data Entry'!A1931="","",IF('Data Entry'!D1931&lt;&gt;"",'Data Entry'!D1931,'Data Entry'!E1931))</f>
        <v/>
      </c>
      <c r="K1931" s="10">
        <f>IF('Data Entry'!A1931="","",IFERROR(SUMIFS($H$5:$H$2001,$J$5:$J$2001,$J1931,$B$5:$B$2001,$B1931,$A$5:$A$2001,(MAXIFS($A$5:$A$2001,$J$5:$J$2001,$J1931,$B$5:$B$2001,$B1931,$A$5:$A$2001,"&lt;"&amp;$A1931))),""))</f>
        <v/>
      </c>
      <c r="L1931" s="14">
        <f>IF(OR('Data Entry'!A1931="",$K1931=""),"",$H1931-$K1931)</f>
        <v/>
      </c>
      <c r="M1931" s="15">
        <f>IF(OR('Data Entry'!A1931="",$K1931="",$K1931=0),"",$L1931/$K1931)</f>
        <v/>
      </c>
      <c r="N1931" s="12">
        <f>IF('Data Entry'!A1931="","",IF($L1931="","New item",IF($L1931&gt;0,"UP",IF($L1931&lt;0,"down","same"))))</f>
        <v/>
      </c>
    </row>
    <row r="1932">
      <c r="A1932" s="11">
        <f>IF('Data Entry'!A1932="","",'Data Entry'!A1932)</f>
        <v/>
      </c>
      <c r="B1932" s="12">
        <f>IF('Data Entry'!A1932="","",'Data Entry'!B1932)</f>
        <v/>
      </c>
      <c r="C1932" s="12">
        <f>IF('Data Entry'!A1932="","",'Data Entry'!C1932)</f>
        <v/>
      </c>
      <c r="D1932" s="12">
        <f>IF('Data Entry'!A1932="","",'Data Entry'!D1932)</f>
        <v/>
      </c>
      <c r="E1932" s="12">
        <f>IF('Data Entry'!A1932="","",'Data Entry'!E1932)</f>
        <v/>
      </c>
      <c r="F1932" s="12">
        <f>IF('Data Entry'!A1932="","",'Data Entry'!F1932)</f>
        <v/>
      </c>
      <c r="G1932" s="13">
        <f>IF('Data Entry'!A1932="","",'Data Entry'!G1932)</f>
        <v/>
      </c>
      <c r="H1932" s="10">
        <f>IF('Data Entry'!A1932="","",'Data Entry'!H1932)</f>
        <v/>
      </c>
      <c r="I1932" s="10">
        <f>IF('Data Entry'!A1932="","",'Data Entry'!I1932)</f>
        <v/>
      </c>
      <c r="J1932" s="12">
        <f>IF('Data Entry'!A1932="","",IF('Data Entry'!D1932&lt;&gt;"",'Data Entry'!D1932,'Data Entry'!E1932))</f>
        <v/>
      </c>
      <c r="K1932" s="10">
        <f>IF('Data Entry'!A1932="","",IFERROR(SUMIFS($H$5:$H$2001,$J$5:$J$2001,$J1932,$B$5:$B$2001,$B1932,$A$5:$A$2001,(MAXIFS($A$5:$A$2001,$J$5:$J$2001,$J1932,$B$5:$B$2001,$B1932,$A$5:$A$2001,"&lt;"&amp;$A1932))),""))</f>
        <v/>
      </c>
      <c r="L1932" s="14">
        <f>IF(OR('Data Entry'!A1932="",$K1932=""),"",$H1932-$K1932)</f>
        <v/>
      </c>
      <c r="M1932" s="15">
        <f>IF(OR('Data Entry'!A1932="",$K1932="",$K1932=0),"",$L1932/$K1932)</f>
        <v/>
      </c>
      <c r="N1932" s="12">
        <f>IF('Data Entry'!A1932="","",IF($L1932="","New item",IF($L1932&gt;0,"UP",IF($L1932&lt;0,"down","same"))))</f>
        <v/>
      </c>
    </row>
    <row r="1933">
      <c r="A1933" s="11">
        <f>IF('Data Entry'!A1933="","",'Data Entry'!A1933)</f>
        <v/>
      </c>
      <c r="B1933" s="12">
        <f>IF('Data Entry'!A1933="","",'Data Entry'!B1933)</f>
        <v/>
      </c>
      <c r="C1933" s="12">
        <f>IF('Data Entry'!A1933="","",'Data Entry'!C1933)</f>
        <v/>
      </c>
      <c r="D1933" s="12">
        <f>IF('Data Entry'!A1933="","",'Data Entry'!D1933)</f>
        <v/>
      </c>
      <c r="E1933" s="12">
        <f>IF('Data Entry'!A1933="","",'Data Entry'!E1933)</f>
        <v/>
      </c>
      <c r="F1933" s="12">
        <f>IF('Data Entry'!A1933="","",'Data Entry'!F1933)</f>
        <v/>
      </c>
      <c r="G1933" s="13">
        <f>IF('Data Entry'!A1933="","",'Data Entry'!G1933)</f>
        <v/>
      </c>
      <c r="H1933" s="10">
        <f>IF('Data Entry'!A1933="","",'Data Entry'!H1933)</f>
        <v/>
      </c>
      <c r="I1933" s="10">
        <f>IF('Data Entry'!A1933="","",'Data Entry'!I1933)</f>
        <v/>
      </c>
      <c r="J1933" s="12">
        <f>IF('Data Entry'!A1933="","",IF('Data Entry'!D1933&lt;&gt;"",'Data Entry'!D1933,'Data Entry'!E1933))</f>
        <v/>
      </c>
      <c r="K1933" s="10">
        <f>IF('Data Entry'!A1933="","",IFERROR(SUMIFS($H$5:$H$2001,$J$5:$J$2001,$J1933,$B$5:$B$2001,$B1933,$A$5:$A$2001,(MAXIFS($A$5:$A$2001,$J$5:$J$2001,$J1933,$B$5:$B$2001,$B1933,$A$5:$A$2001,"&lt;"&amp;$A1933))),""))</f>
        <v/>
      </c>
      <c r="L1933" s="14">
        <f>IF(OR('Data Entry'!A1933="",$K1933=""),"",$H1933-$K1933)</f>
        <v/>
      </c>
      <c r="M1933" s="15">
        <f>IF(OR('Data Entry'!A1933="",$K1933="",$K1933=0),"",$L1933/$K1933)</f>
        <v/>
      </c>
      <c r="N1933" s="12">
        <f>IF('Data Entry'!A1933="","",IF($L1933="","New item",IF($L1933&gt;0,"UP",IF($L1933&lt;0,"down","same"))))</f>
        <v/>
      </c>
    </row>
    <row r="1934">
      <c r="A1934" s="11">
        <f>IF('Data Entry'!A1934="","",'Data Entry'!A1934)</f>
        <v/>
      </c>
      <c r="B1934" s="12">
        <f>IF('Data Entry'!A1934="","",'Data Entry'!B1934)</f>
        <v/>
      </c>
      <c r="C1934" s="12">
        <f>IF('Data Entry'!A1934="","",'Data Entry'!C1934)</f>
        <v/>
      </c>
      <c r="D1934" s="12">
        <f>IF('Data Entry'!A1934="","",'Data Entry'!D1934)</f>
        <v/>
      </c>
      <c r="E1934" s="12">
        <f>IF('Data Entry'!A1934="","",'Data Entry'!E1934)</f>
        <v/>
      </c>
      <c r="F1934" s="12">
        <f>IF('Data Entry'!A1934="","",'Data Entry'!F1934)</f>
        <v/>
      </c>
      <c r="G1934" s="13">
        <f>IF('Data Entry'!A1934="","",'Data Entry'!G1934)</f>
        <v/>
      </c>
      <c r="H1934" s="10">
        <f>IF('Data Entry'!A1934="","",'Data Entry'!H1934)</f>
        <v/>
      </c>
      <c r="I1934" s="10">
        <f>IF('Data Entry'!A1934="","",'Data Entry'!I1934)</f>
        <v/>
      </c>
      <c r="J1934" s="12">
        <f>IF('Data Entry'!A1934="","",IF('Data Entry'!D1934&lt;&gt;"",'Data Entry'!D1934,'Data Entry'!E1934))</f>
        <v/>
      </c>
      <c r="K1934" s="10">
        <f>IF('Data Entry'!A1934="","",IFERROR(SUMIFS($H$5:$H$2001,$J$5:$J$2001,$J1934,$B$5:$B$2001,$B1934,$A$5:$A$2001,(MAXIFS($A$5:$A$2001,$J$5:$J$2001,$J1934,$B$5:$B$2001,$B1934,$A$5:$A$2001,"&lt;"&amp;$A1934))),""))</f>
        <v/>
      </c>
      <c r="L1934" s="14">
        <f>IF(OR('Data Entry'!A1934="",$K1934=""),"",$H1934-$K1934)</f>
        <v/>
      </c>
      <c r="M1934" s="15">
        <f>IF(OR('Data Entry'!A1934="",$K1934="",$K1934=0),"",$L1934/$K1934)</f>
        <v/>
      </c>
      <c r="N1934" s="12">
        <f>IF('Data Entry'!A1934="","",IF($L1934="","New item",IF($L1934&gt;0,"UP",IF($L1934&lt;0,"down","same"))))</f>
        <v/>
      </c>
    </row>
    <row r="1935">
      <c r="A1935" s="11">
        <f>IF('Data Entry'!A1935="","",'Data Entry'!A1935)</f>
        <v/>
      </c>
      <c r="B1935" s="12">
        <f>IF('Data Entry'!A1935="","",'Data Entry'!B1935)</f>
        <v/>
      </c>
      <c r="C1935" s="12">
        <f>IF('Data Entry'!A1935="","",'Data Entry'!C1935)</f>
        <v/>
      </c>
      <c r="D1935" s="12">
        <f>IF('Data Entry'!A1935="","",'Data Entry'!D1935)</f>
        <v/>
      </c>
      <c r="E1935" s="12">
        <f>IF('Data Entry'!A1935="","",'Data Entry'!E1935)</f>
        <v/>
      </c>
      <c r="F1935" s="12">
        <f>IF('Data Entry'!A1935="","",'Data Entry'!F1935)</f>
        <v/>
      </c>
      <c r="G1935" s="13">
        <f>IF('Data Entry'!A1935="","",'Data Entry'!G1935)</f>
        <v/>
      </c>
      <c r="H1935" s="10">
        <f>IF('Data Entry'!A1935="","",'Data Entry'!H1935)</f>
        <v/>
      </c>
      <c r="I1935" s="10">
        <f>IF('Data Entry'!A1935="","",'Data Entry'!I1935)</f>
        <v/>
      </c>
      <c r="J1935" s="12">
        <f>IF('Data Entry'!A1935="","",IF('Data Entry'!D1935&lt;&gt;"",'Data Entry'!D1935,'Data Entry'!E1935))</f>
        <v/>
      </c>
      <c r="K1935" s="10">
        <f>IF('Data Entry'!A1935="","",IFERROR(SUMIFS($H$5:$H$2001,$J$5:$J$2001,$J1935,$B$5:$B$2001,$B1935,$A$5:$A$2001,(MAXIFS($A$5:$A$2001,$J$5:$J$2001,$J1935,$B$5:$B$2001,$B1935,$A$5:$A$2001,"&lt;"&amp;$A1935))),""))</f>
        <v/>
      </c>
      <c r="L1935" s="14">
        <f>IF(OR('Data Entry'!A1935="",$K1935=""),"",$H1935-$K1935)</f>
        <v/>
      </c>
      <c r="M1935" s="15">
        <f>IF(OR('Data Entry'!A1935="",$K1935="",$K1935=0),"",$L1935/$K1935)</f>
        <v/>
      </c>
      <c r="N1935" s="12">
        <f>IF('Data Entry'!A1935="","",IF($L1935="","New item",IF($L1935&gt;0,"UP",IF($L1935&lt;0,"down","same"))))</f>
        <v/>
      </c>
    </row>
    <row r="1936">
      <c r="A1936" s="11">
        <f>IF('Data Entry'!A1936="","",'Data Entry'!A1936)</f>
        <v/>
      </c>
      <c r="B1936" s="12">
        <f>IF('Data Entry'!A1936="","",'Data Entry'!B1936)</f>
        <v/>
      </c>
      <c r="C1936" s="12">
        <f>IF('Data Entry'!A1936="","",'Data Entry'!C1936)</f>
        <v/>
      </c>
      <c r="D1936" s="12">
        <f>IF('Data Entry'!A1936="","",'Data Entry'!D1936)</f>
        <v/>
      </c>
      <c r="E1936" s="12">
        <f>IF('Data Entry'!A1936="","",'Data Entry'!E1936)</f>
        <v/>
      </c>
      <c r="F1936" s="12">
        <f>IF('Data Entry'!A1936="","",'Data Entry'!F1936)</f>
        <v/>
      </c>
      <c r="G1936" s="13">
        <f>IF('Data Entry'!A1936="","",'Data Entry'!G1936)</f>
        <v/>
      </c>
      <c r="H1936" s="10">
        <f>IF('Data Entry'!A1936="","",'Data Entry'!H1936)</f>
        <v/>
      </c>
      <c r="I1936" s="10">
        <f>IF('Data Entry'!A1936="","",'Data Entry'!I1936)</f>
        <v/>
      </c>
      <c r="J1936" s="12">
        <f>IF('Data Entry'!A1936="","",IF('Data Entry'!D1936&lt;&gt;"",'Data Entry'!D1936,'Data Entry'!E1936))</f>
        <v/>
      </c>
      <c r="K1936" s="10">
        <f>IF('Data Entry'!A1936="","",IFERROR(SUMIFS($H$5:$H$2001,$J$5:$J$2001,$J1936,$B$5:$B$2001,$B1936,$A$5:$A$2001,(MAXIFS($A$5:$A$2001,$J$5:$J$2001,$J1936,$B$5:$B$2001,$B1936,$A$5:$A$2001,"&lt;"&amp;$A1936))),""))</f>
        <v/>
      </c>
      <c r="L1936" s="14">
        <f>IF(OR('Data Entry'!A1936="",$K1936=""),"",$H1936-$K1936)</f>
        <v/>
      </c>
      <c r="M1936" s="15">
        <f>IF(OR('Data Entry'!A1936="",$K1936="",$K1936=0),"",$L1936/$K1936)</f>
        <v/>
      </c>
      <c r="N1936" s="12">
        <f>IF('Data Entry'!A1936="","",IF($L1936="","New item",IF($L1936&gt;0,"UP",IF($L1936&lt;0,"down","same"))))</f>
        <v/>
      </c>
    </row>
    <row r="1937">
      <c r="A1937" s="11">
        <f>IF('Data Entry'!A1937="","",'Data Entry'!A1937)</f>
        <v/>
      </c>
      <c r="B1937" s="12">
        <f>IF('Data Entry'!A1937="","",'Data Entry'!B1937)</f>
        <v/>
      </c>
      <c r="C1937" s="12">
        <f>IF('Data Entry'!A1937="","",'Data Entry'!C1937)</f>
        <v/>
      </c>
      <c r="D1937" s="12">
        <f>IF('Data Entry'!A1937="","",'Data Entry'!D1937)</f>
        <v/>
      </c>
      <c r="E1937" s="12">
        <f>IF('Data Entry'!A1937="","",'Data Entry'!E1937)</f>
        <v/>
      </c>
      <c r="F1937" s="12">
        <f>IF('Data Entry'!A1937="","",'Data Entry'!F1937)</f>
        <v/>
      </c>
      <c r="G1937" s="13">
        <f>IF('Data Entry'!A1937="","",'Data Entry'!G1937)</f>
        <v/>
      </c>
      <c r="H1937" s="10">
        <f>IF('Data Entry'!A1937="","",'Data Entry'!H1937)</f>
        <v/>
      </c>
      <c r="I1937" s="10">
        <f>IF('Data Entry'!A1937="","",'Data Entry'!I1937)</f>
        <v/>
      </c>
      <c r="J1937" s="12">
        <f>IF('Data Entry'!A1937="","",IF('Data Entry'!D1937&lt;&gt;"",'Data Entry'!D1937,'Data Entry'!E1937))</f>
        <v/>
      </c>
      <c r="K1937" s="10">
        <f>IF('Data Entry'!A1937="","",IFERROR(SUMIFS($H$5:$H$2001,$J$5:$J$2001,$J1937,$B$5:$B$2001,$B1937,$A$5:$A$2001,(MAXIFS($A$5:$A$2001,$J$5:$J$2001,$J1937,$B$5:$B$2001,$B1937,$A$5:$A$2001,"&lt;"&amp;$A1937))),""))</f>
        <v/>
      </c>
      <c r="L1937" s="14">
        <f>IF(OR('Data Entry'!A1937="",$K1937=""),"",$H1937-$K1937)</f>
        <v/>
      </c>
      <c r="M1937" s="15">
        <f>IF(OR('Data Entry'!A1937="",$K1937="",$K1937=0),"",$L1937/$K1937)</f>
        <v/>
      </c>
      <c r="N1937" s="12">
        <f>IF('Data Entry'!A1937="","",IF($L1937="","New item",IF($L1937&gt;0,"UP",IF($L1937&lt;0,"down","same"))))</f>
        <v/>
      </c>
    </row>
    <row r="1938">
      <c r="A1938" s="11">
        <f>IF('Data Entry'!A1938="","",'Data Entry'!A1938)</f>
        <v/>
      </c>
      <c r="B1938" s="12">
        <f>IF('Data Entry'!A1938="","",'Data Entry'!B1938)</f>
        <v/>
      </c>
      <c r="C1938" s="12">
        <f>IF('Data Entry'!A1938="","",'Data Entry'!C1938)</f>
        <v/>
      </c>
      <c r="D1938" s="12">
        <f>IF('Data Entry'!A1938="","",'Data Entry'!D1938)</f>
        <v/>
      </c>
      <c r="E1938" s="12">
        <f>IF('Data Entry'!A1938="","",'Data Entry'!E1938)</f>
        <v/>
      </c>
      <c r="F1938" s="12">
        <f>IF('Data Entry'!A1938="","",'Data Entry'!F1938)</f>
        <v/>
      </c>
      <c r="G1938" s="13">
        <f>IF('Data Entry'!A1938="","",'Data Entry'!G1938)</f>
        <v/>
      </c>
      <c r="H1938" s="10">
        <f>IF('Data Entry'!A1938="","",'Data Entry'!H1938)</f>
        <v/>
      </c>
      <c r="I1938" s="10">
        <f>IF('Data Entry'!A1938="","",'Data Entry'!I1938)</f>
        <v/>
      </c>
      <c r="J1938" s="12">
        <f>IF('Data Entry'!A1938="","",IF('Data Entry'!D1938&lt;&gt;"",'Data Entry'!D1938,'Data Entry'!E1938))</f>
        <v/>
      </c>
      <c r="K1938" s="10">
        <f>IF('Data Entry'!A1938="","",IFERROR(SUMIFS($H$5:$H$2001,$J$5:$J$2001,$J1938,$B$5:$B$2001,$B1938,$A$5:$A$2001,(MAXIFS($A$5:$A$2001,$J$5:$J$2001,$J1938,$B$5:$B$2001,$B1938,$A$5:$A$2001,"&lt;"&amp;$A1938))),""))</f>
        <v/>
      </c>
      <c r="L1938" s="14">
        <f>IF(OR('Data Entry'!A1938="",$K1938=""),"",$H1938-$K1938)</f>
        <v/>
      </c>
      <c r="M1938" s="15">
        <f>IF(OR('Data Entry'!A1938="",$K1938="",$K1938=0),"",$L1938/$K1938)</f>
        <v/>
      </c>
      <c r="N1938" s="12">
        <f>IF('Data Entry'!A1938="","",IF($L1938="","New item",IF($L1938&gt;0,"UP",IF($L1938&lt;0,"down","same"))))</f>
        <v/>
      </c>
    </row>
    <row r="1939">
      <c r="A1939" s="11">
        <f>IF('Data Entry'!A1939="","",'Data Entry'!A1939)</f>
        <v/>
      </c>
      <c r="B1939" s="12">
        <f>IF('Data Entry'!A1939="","",'Data Entry'!B1939)</f>
        <v/>
      </c>
      <c r="C1939" s="12">
        <f>IF('Data Entry'!A1939="","",'Data Entry'!C1939)</f>
        <v/>
      </c>
      <c r="D1939" s="12">
        <f>IF('Data Entry'!A1939="","",'Data Entry'!D1939)</f>
        <v/>
      </c>
      <c r="E1939" s="12">
        <f>IF('Data Entry'!A1939="","",'Data Entry'!E1939)</f>
        <v/>
      </c>
      <c r="F1939" s="12">
        <f>IF('Data Entry'!A1939="","",'Data Entry'!F1939)</f>
        <v/>
      </c>
      <c r="G1939" s="13">
        <f>IF('Data Entry'!A1939="","",'Data Entry'!G1939)</f>
        <v/>
      </c>
      <c r="H1939" s="10">
        <f>IF('Data Entry'!A1939="","",'Data Entry'!H1939)</f>
        <v/>
      </c>
      <c r="I1939" s="10">
        <f>IF('Data Entry'!A1939="","",'Data Entry'!I1939)</f>
        <v/>
      </c>
      <c r="J1939" s="12">
        <f>IF('Data Entry'!A1939="","",IF('Data Entry'!D1939&lt;&gt;"",'Data Entry'!D1939,'Data Entry'!E1939))</f>
        <v/>
      </c>
      <c r="K1939" s="10">
        <f>IF('Data Entry'!A1939="","",IFERROR(SUMIFS($H$5:$H$2001,$J$5:$J$2001,$J1939,$B$5:$B$2001,$B1939,$A$5:$A$2001,(MAXIFS($A$5:$A$2001,$J$5:$J$2001,$J1939,$B$5:$B$2001,$B1939,$A$5:$A$2001,"&lt;"&amp;$A1939))),""))</f>
        <v/>
      </c>
      <c r="L1939" s="14">
        <f>IF(OR('Data Entry'!A1939="",$K1939=""),"",$H1939-$K1939)</f>
        <v/>
      </c>
      <c r="M1939" s="15">
        <f>IF(OR('Data Entry'!A1939="",$K1939="",$K1939=0),"",$L1939/$K1939)</f>
        <v/>
      </c>
      <c r="N1939" s="12">
        <f>IF('Data Entry'!A1939="","",IF($L1939="","New item",IF($L1939&gt;0,"UP",IF($L1939&lt;0,"down","same"))))</f>
        <v/>
      </c>
    </row>
    <row r="1940">
      <c r="A1940" s="11">
        <f>IF('Data Entry'!A1940="","",'Data Entry'!A1940)</f>
        <v/>
      </c>
      <c r="B1940" s="12">
        <f>IF('Data Entry'!A1940="","",'Data Entry'!B1940)</f>
        <v/>
      </c>
      <c r="C1940" s="12">
        <f>IF('Data Entry'!A1940="","",'Data Entry'!C1940)</f>
        <v/>
      </c>
      <c r="D1940" s="12">
        <f>IF('Data Entry'!A1940="","",'Data Entry'!D1940)</f>
        <v/>
      </c>
      <c r="E1940" s="12">
        <f>IF('Data Entry'!A1940="","",'Data Entry'!E1940)</f>
        <v/>
      </c>
      <c r="F1940" s="12">
        <f>IF('Data Entry'!A1940="","",'Data Entry'!F1940)</f>
        <v/>
      </c>
      <c r="G1940" s="13">
        <f>IF('Data Entry'!A1940="","",'Data Entry'!G1940)</f>
        <v/>
      </c>
      <c r="H1940" s="10">
        <f>IF('Data Entry'!A1940="","",'Data Entry'!H1940)</f>
        <v/>
      </c>
      <c r="I1940" s="10">
        <f>IF('Data Entry'!A1940="","",'Data Entry'!I1940)</f>
        <v/>
      </c>
      <c r="J1940" s="12">
        <f>IF('Data Entry'!A1940="","",IF('Data Entry'!D1940&lt;&gt;"",'Data Entry'!D1940,'Data Entry'!E1940))</f>
        <v/>
      </c>
      <c r="K1940" s="10">
        <f>IF('Data Entry'!A1940="","",IFERROR(SUMIFS($H$5:$H$2001,$J$5:$J$2001,$J1940,$B$5:$B$2001,$B1940,$A$5:$A$2001,(MAXIFS($A$5:$A$2001,$J$5:$J$2001,$J1940,$B$5:$B$2001,$B1940,$A$5:$A$2001,"&lt;"&amp;$A1940))),""))</f>
        <v/>
      </c>
      <c r="L1940" s="14">
        <f>IF(OR('Data Entry'!A1940="",$K1940=""),"",$H1940-$K1940)</f>
        <v/>
      </c>
      <c r="M1940" s="15">
        <f>IF(OR('Data Entry'!A1940="",$K1940="",$K1940=0),"",$L1940/$K1940)</f>
        <v/>
      </c>
      <c r="N1940" s="12">
        <f>IF('Data Entry'!A1940="","",IF($L1940="","New item",IF($L1940&gt;0,"UP",IF($L1940&lt;0,"down","same"))))</f>
        <v/>
      </c>
    </row>
    <row r="1941">
      <c r="A1941" s="11">
        <f>IF('Data Entry'!A1941="","",'Data Entry'!A1941)</f>
        <v/>
      </c>
      <c r="B1941" s="12">
        <f>IF('Data Entry'!A1941="","",'Data Entry'!B1941)</f>
        <v/>
      </c>
      <c r="C1941" s="12">
        <f>IF('Data Entry'!A1941="","",'Data Entry'!C1941)</f>
        <v/>
      </c>
      <c r="D1941" s="12">
        <f>IF('Data Entry'!A1941="","",'Data Entry'!D1941)</f>
        <v/>
      </c>
      <c r="E1941" s="12">
        <f>IF('Data Entry'!A1941="","",'Data Entry'!E1941)</f>
        <v/>
      </c>
      <c r="F1941" s="12">
        <f>IF('Data Entry'!A1941="","",'Data Entry'!F1941)</f>
        <v/>
      </c>
      <c r="G1941" s="13">
        <f>IF('Data Entry'!A1941="","",'Data Entry'!G1941)</f>
        <v/>
      </c>
      <c r="H1941" s="10">
        <f>IF('Data Entry'!A1941="","",'Data Entry'!H1941)</f>
        <v/>
      </c>
      <c r="I1941" s="10">
        <f>IF('Data Entry'!A1941="","",'Data Entry'!I1941)</f>
        <v/>
      </c>
      <c r="J1941" s="12">
        <f>IF('Data Entry'!A1941="","",IF('Data Entry'!D1941&lt;&gt;"",'Data Entry'!D1941,'Data Entry'!E1941))</f>
        <v/>
      </c>
      <c r="K1941" s="10">
        <f>IF('Data Entry'!A1941="","",IFERROR(SUMIFS($H$5:$H$2001,$J$5:$J$2001,$J1941,$B$5:$B$2001,$B1941,$A$5:$A$2001,(MAXIFS($A$5:$A$2001,$J$5:$J$2001,$J1941,$B$5:$B$2001,$B1941,$A$5:$A$2001,"&lt;"&amp;$A1941))),""))</f>
        <v/>
      </c>
      <c r="L1941" s="14">
        <f>IF(OR('Data Entry'!A1941="",$K1941=""),"",$H1941-$K1941)</f>
        <v/>
      </c>
      <c r="M1941" s="15">
        <f>IF(OR('Data Entry'!A1941="",$K1941="",$K1941=0),"",$L1941/$K1941)</f>
        <v/>
      </c>
      <c r="N1941" s="12">
        <f>IF('Data Entry'!A1941="","",IF($L1941="","New item",IF($L1941&gt;0,"UP",IF($L1941&lt;0,"down","same"))))</f>
        <v/>
      </c>
    </row>
    <row r="1942">
      <c r="A1942" s="11">
        <f>IF('Data Entry'!A1942="","",'Data Entry'!A1942)</f>
        <v/>
      </c>
      <c r="B1942" s="12">
        <f>IF('Data Entry'!A1942="","",'Data Entry'!B1942)</f>
        <v/>
      </c>
      <c r="C1942" s="12">
        <f>IF('Data Entry'!A1942="","",'Data Entry'!C1942)</f>
        <v/>
      </c>
      <c r="D1942" s="12">
        <f>IF('Data Entry'!A1942="","",'Data Entry'!D1942)</f>
        <v/>
      </c>
      <c r="E1942" s="12">
        <f>IF('Data Entry'!A1942="","",'Data Entry'!E1942)</f>
        <v/>
      </c>
      <c r="F1942" s="12">
        <f>IF('Data Entry'!A1942="","",'Data Entry'!F1942)</f>
        <v/>
      </c>
      <c r="G1942" s="13">
        <f>IF('Data Entry'!A1942="","",'Data Entry'!G1942)</f>
        <v/>
      </c>
      <c r="H1942" s="10">
        <f>IF('Data Entry'!A1942="","",'Data Entry'!H1942)</f>
        <v/>
      </c>
      <c r="I1942" s="10">
        <f>IF('Data Entry'!A1942="","",'Data Entry'!I1942)</f>
        <v/>
      </c>
      <c r="J1942" s="12">
        <f>IF('Data Entry'!A1942="","",IF('Data Entry'!D1942&lt;&gt;"",'Data Entry'!D1942,'Data Entry'!E1942))</f>
        <v/>
      </c>
      <c r="K1942" s="10">
        <f>IF('Data Entry'!A1942="","",IFERROR(SUMIFS($H$5:$H$2001,$J$5:$J$2001,$J1942,$B$5:$B$2001,$B1942,$A$5:$A$2001,(MAXIFS($A$5:$A$2001,$J$5:$J$2001,$J1942,$B$5:$B$2001,$B1942,$A$5:$A$2001,"&lt;"&amp;$A1942))),""))</f>
        <v/>
      </c>
      <c r="L1942" s="14">
        <f>IF(OR('Data Entry'!A1942="",$K1942=""),"",$H1942-$K1942)</f>
        <v/>
      </c>
      <c r="M1942" s="15">
        <f>IF(OR('Data Entry'!A1942="",$K1942="",$K1942=0),"",$L1942/$K1942)</f>
        <v/>
      </c>
      <c r="N1942" s="12">
        <f>IF('Data Entry'!A1942="","",IF($L1942="","New item",IF($L1942&gt;0,"UP",IF($L1942&lt;0,"down","same"))))</f>
        <v/>
      </c>
    </row>
    <row r="1943">
      <c r="A1943" s="11">
        <f>IF('Data Entry'!A1943="","",'Data Entry'!A1943)</f>
        <v/>
      </c>
      <c r="B1943" s="12">
        <f>IF('Data Entry'!A1943="","",'Data Entry'!B1943)</f>
        <v/>
      </c>
      <c r="C1943" s="12">
        <f>IF('Data Entry'!A1943="","",'Data Entry'!C1943)</f>
        <v/>
      </c>
      <c r="D1943" s="12">
        <f>IF('Data Entry'!A1943="","",'Data Entry'!D1943)</f>
        <v/>
      </c>
      <c r="E1943" s="12">
        <f>IF('Data Entry'!A1943="","",'Data Entry'!E1943)</f>
        <v/>
      </c>
      <c r="F1943" s="12">
        <f>IF('Data Entry'!A1943="","",'Data Entry'!F1943)</f>
        <v/>
      </c>
      <c r="G1943" s="13">
        <f>IF('Data Entry'!A1943="","",'Data Entry'!G1943)</f>
        <v/>
      </c>
      <c r="H1943" s="10">
        <f>IF('Data Entry'!A1943="","",'Data Entry'!H1943)</f>
        <v/>
      </c>
      <c r="I1943" s="10">
        <f>IF('Data Entry'!A1943="","",'Data Entry'!I1943)</f>
        <v/>
      </c>
      <c r="J1943" s="12">
        <f>IF('Data Entry'!A1943="","",IF('Data Entry'!D1943&lt;&gt;"",'Data Entry'!D1943,'Data Entry'!E1943))</f>
        <v/>
      </c>
      <c r="K1943" s="10">
        <f>IF('Data Entry'!A1943="","",IFERROR(SUMIFS($H$5:$H$2001,$J$5:$J$2001,$J1943,$B$5:$B$2001,$B1943,$A$5:$A$2001,(MAXIFS($A$5:$A$2001,$J$5:$J$2001,$J1943,$B$5:$B$2001,$B1943,$A$5:$A$2001,"&lt;"&amp;$A1943))),""))</f>
        <v/>
      </c>
      <c r="L1943" s="14">
        <f>IF(OR('Data Entry'!A1943="",$K1943=""),"",$H1943-$K1943)</f>
        <v/>
      </c>
      <c r="M1943" s="15">
        <f>IF(OR('Data Entry'!A1943="",$K1943="",$K1943=0),"",$L1943/$K1943)</f>
        <v/>
      </c>
      <c r="N1943" s="12">
        <f>IF('Data Entry'!A1943="","",IF($L1943="","New item",IF($L1943&gt;0,"UP",IF($L1943&lt;0,"down","same"))))</f>
        <v/>
      </c>
    </row>
    <row r="1944">
      <c r="A1944" s="11">
        <f>IF('Data Entry'!A1944="","",'Data Entry'!A1944)</f>
        <v/>
      </c>
      <c r="B1944" s="12">
        <f>IF('Data Entry'!A1944="","",'Data Entry'!B1944)</f>
        <v/>
      </c>
      <c r="C1944" s="12">
        <f>IF('Data Entry'!A1944="","",'Data Entry'!C1944)</f>
        <v/>
      </c>
      <c r="D1944" s="12">
        <f>IF('Data Entry'!A1944="","",'Data Entry'!D1944)</f>
        <v/>
      </c>
      <c r="E1944" s="12">
        <f>IF('Data Entry'!A1944="","",'Data Entry'!E1944)</f>
        <v/>
      </c>
      <c r="F1944" s="12">
        <f>IF('Data Entry'!A1944="","",'Data Entry'!F1944)</f>
        <v/>
      </c>
      <c r="G1944" s="13">
        <f>IF('Data Entry'!A1944="","",'Data Entry'!G1944)</f>
        <v/>
      </c>
      <c r="H1944" s="10">
        <f>IF('Data Entry'!A1944="","",'Data Entry'!H1944)</f>
        <v/>
      </c>
      <c r="I1944" s="10">
        <f>IF('Data Entry'!A1944="","",'Data Entry'!I1944)</f>
        <v/>
      </c>
      <c r="J1944" s="12">
        <f>IF('Data Entry'!A1944="","",IF('Data Entry'!D1944&lt;&gt;"",'Data Entry'!D1944,'Data Entry'!E1944))</f>
        <v/>
      </c>
      <c r="K1944" s="10">
        <f>IF('Data Entry'!A1944="","",IFERROR(SUMIFS($H$5:$H$2001,$J$5:$J$2001,$J1944,$B$5:$B$2001,$B1944,$A$5:$A$2001,(MAXIFS($A$5:$A$2001,$J$5:$J$2001,$J1944,$B$5:$B$2001,$B1944,$A$5:$A$2001,"&lt;"&amp;$A1944))),""))</f>
        <v/>
      </c>
      <c r="L1944" s="14">
        <f>IF(OR('Data Entry'!A1944="",$K1944=""),"",$H1944-$K1944)</f>
        <v/>
      </c>
      <c r="M1944" s="15">
        <f>IF(OR('Data Entry'!A1944="",$K1944="",$K1944=0),"",$L1944/$K1944)</f>
        <v/>
      </c>
      <c r="N1944" s="12">
        <f>IF('Data Entry'!A1944="","",IF($L1944="","New item",IF($L1944&gt;0,"UP",IF($L1944&lt;0,"down","same"))))</f>
        <v/>
      </c>
    </row>
    <row r="1945">
      <c r="A1945" s="11">
        <f>IF('Data Entry'!A1945="","",'Data Entry'!A1945)</f>
        <v/>
      </c>
      <c r="B1945" s="12">
        <f>IF('Data Entry'!A1945="","",'Data Entry'!B1945)</f>
        <v/>
      </c>
      <c r="C1945" s="12">
        <f>IF('Data Entry'!A1945="","",'Data Entry'!C1945)</f>
        <v/>
      </c>
      <c r="D1945" s="12">
        <f>IF('Data Entry'!A1945="","",'Data Entry'!D1945)</f>
        <v/>
      </c>
      <c r="E1945" s="12">
        <f>IF('Data Entry'!A1945="","",'Data Entry'!E1945)</f>
        <v/>
      </c>
      <c r="F1945" s="12">
        <f>IF('Data Entry'!A1945="","",'Data Entry'!F1945)</f>
        <v/>
      </c>
      <c r="G1945" s="13">
        <f>IF('Data Entry'!A1945="","",'Data Entry'!G1945)</f>
        <v/>
      </c>
      <c r="H1945" s="10">
        <f>IF('Data Entry'!A1945="","",'Data Entry'!H1945)</f>
        <v/>
      </c>
      <c r="I1945" s="10">
        <f>IF('Data Entry'!A1945="","",'Data Entry'!I1945)</f>
        <v/>
      </c>
      <c r="J1945" s="12">
        <f>IF('Data Entry'!A1945="","",IF('Data Entry'!D1945&lt;&gt;"",'Data Entry'!D1945,'Data Entry'!E1945))</f>
        <v/>
      </c>
      <c r="K1945" s="10">
        <f>IF('Data Entry'!A1945="","",IFERROR(SUMIFS($H$5:$H$2001,$J$5:$J$2001,$J1945,$B$5:$B$2001,$B1945,$A$5:$A$2001,(MAXIFS($A$5:$A$2001,$J$5:$J$2001,$J1945,$B$5:$B$2001,$B1945,$A$5:$A$2001,"&lt;"&amp;$A1945))),""))</f>
        <v/>
      </c>
      <c r="L1945" s="14">
        <f>IF(OR('Data Entry'!A1945="",$K1945=""),"",$H1945-$K1945)</f>
        <v/>
      </c>
      <c r="M1945" s="15">
        <f>IF(OR('Data Entry'!A1945="",$K1945="",$K1945=0),"",$L1945/$K1945)</f>
        <v/>
      </c>
      <c r="N1945" s="12">
        <f>IF('Data Entry'!A1945="","",IF($L1945="","New item",IF($L1945&gt;0,"UP",IF($L1945&lt;0,"down","same"))))</f>
        <v/>
      </c>
    </row>
    <row r="1946">
      <c r="A1946" s="11">
        <f>IF('Data Entry'!A1946="","",'Data Entry'!A1946)</f>
        <v/>
      </c>
      <c r="B1946" s="12">
        <f>IF('Data Entry'!A1946="","",'Data Entry'!B1946)</f>
        <v/>
      </c>
      <c r="C1946" s="12">
        <f>IF('Data Entry'!A1946="","",'Data Entry'!C1946)</f>
        <v/>
      </c>
      <c r="D1946" s="12">
        <f>IF('Data Entry'!A1946="","",'Data Entry'!D1946)</f>
        <v/>
      </c>
      <c r="E1946" s="12">
        <f>IF('Data Entry'!A1946="","",'Data Entry'!E1946)</f>
        <v/>
      </c>
      <c r="F1946" s="12">
        <f>IF('Data Entry'!A1946="","",'Data Entry'!F1946)</f>
        <v/>
      </c>
      <c r="G1946" s="13">
        <f>IF('Data Entry'!A1946="","",'Data Entry'!G1946)</f>
        <v/>
      </c>
      <c r="H1946" s="10">
        <f>IF('Data Entry'!A1946="","",'Data Entry'!H1946)</f>
        <v/>
      </c>
      <c r="I1946" s="10">
        <f>IF('Data Entry'!A1946="","",'Data Entry'!I1946)</f>
        <v/>
      </c>
      <c r="J1946" s="12">
        <f>IF('Data Entry'!A1946="","",IF('Data Entry'!D1946&lt;&gt;"",'Data Entry'!D1946,'Data Entry'!E1946))</f>
        <v/>
      </c>
      <c r="K1946" s="10">
        <f>IF('Data Entry'!A1946="","",IFERROR(SUMIFS($H$5:$H$2001,$J$5:$J$2001,$J1946,$B$5:$B$2001,$B1946,$A$5:$A$2001,(MAXIFS($A$5:$A$2001,$J$5:$J$2001,$J1946,$B$5:$B$2001,$B1946,$A$5:$A$2001,"&lt;"&amp;$A1946))),""))</f>
        <v/>
      </c>
      <c r="L1946" s="14">
        <f>IF(OR('Data Entry'!A1946="",$K1946=""),"",$H1946-$K1946)</f>
        <v/>
      </c>
      <c r="M1946" s="15">
        <f>IF(OR('Data Entry'!A1946="",$K1946="",$K1946=0),"",$L1946/$K1946)</f>
        <v/>
      </c>
      <c r="N1946" s="12">
        <f>IF('Data Entry'!A1946="","",IF($L1946="","New item",IF($L1946&gt;0,"UP",IF($L1946&lt;0,"down","same"))))</f>
        <v/>
      </c>
    </row>
    <row r="1947">
      <c r="A1947" s="11">
        <f>IF('Data Entry'!A1947="","",'Data Entry'!A1947)</f>
        <v/>
      </c>
      <c r="B1947" s="12">
        <f>IF('Data Entry'!A1947="","",'Data Entry'!B1947)</f>
        <v/>
      </c>
      <c r="C1947" s="12">
        <f>IF('Data Entry'!A1947="","",'Data Entry'!C1947)</f>
        <v/>
      </c>
      <c r="D1947" s="12">
        <f>IF('Data Entry'!A1947="","",'Data Entry'!D1947)</f>
        <v/>
      </c>
      <c r="E1947" s="12">
        <f>IF('Data Entry'!A1947="","",'Data Entry'!E1947)</f>
        <v/>
      </c>
      <c r="F1947" s="12">
        <f>IF('Data Entry'!A1947="","",'Data Entry'!F1947)</f>
        <v/>
      </c>
      <c r="G1947" s="13">
        <f>IF('Data Entry'!A1947="","",'Data Entry'!G1947)</f>
        <v/>
      </c>
      <c r="H1947" s="10">
        <f>IF('Data Entry'!A1947="","",'Data Entry'!H1947)</f>
        <v/>
      </c>
      <c r="I1947" s="10">
        <f>IF('Data Entry'!A1947="","",'Data Entry'!I1947)</f>
        <v/>
      </c>
      <c r="J1947" s="12">
        <f>IF('Data Entry'!A1947="","",IF('Data Entry'!D1947&lt;&gt;"",'Data Entry'!D1947,'Data Entry'!E1947))</f>
        <v/>
      </c>
      <c r="K1947" s="10">
        <f>IF('Data Entry'!A1947="","",IFERROR(SUMIFS($H$5:$H$2001,$J$5:$J$2001,$J1947,$B$5:$B$2001,$B1947,$A$5:$A$2001,(MAXIFS($A$5:$A$2001,$J$5:$J$2001,$J1947,$B$5:$B$2001,$B1947,$A$5:$A$2001,"&lt;"&amp;$A1947))),""))</f>
        <v/>
      </c>
      <c r="L1947" s="14">
        <f>IF(OR('Data Entry'!A1947="",$K1947=""),"",$H1947-$K1947)</f>
        <v/>
      </c>
      <c r="M1947" s="15">
        <f>IF(OR('Data Entry'!A1947="",$K1947="",$K1947=0),"",$L1947/$K1947)</f>
        <v/>
      </c>
      <c r="N1947" s="12">
        <f>IF('Data Entry'!A1947="","",IF($L1947="","New item",IF($L1947&gt;0,"UP",IF($L1947&lt;0,"down","same"))))</f>
        <v/>
      </c>
    </row>
    <row r="1948">
      <c r="A1948" s="11">
        <f>IF('Data Entry'!A1948="","",'Data Entry'!A1948)</f>
        <v/>
      </c>
      <c r="B1948" s="12">
        <f>IF('Data Entry'!A1948="","",'Data Entry'!B1948)</f>
        <v/>
      </c>
      <c r="C1948" s="12">
        <f>IF('Data Entry'!A1948="","",'Data Entry'!C1948)</f>
        <v/>
      </c>
      <c r="D1948" s="12">
        <f>IF('Data Entry'!A1948="","",'Data Entry'!D1948)</f>
        <v/>
      </c>
      <c r="E1948" s="12">
        <f>IF('Data Entry'!A1948="","",'Data Entry'!E1948)</f>
        <v/>
      </c>
      <c r="F1948" s="12">
        <f>IF('Data Entry'!A1948="","",'Data Entry'!F1948)</f>
        <v/>
      </c>
      <c r="G1948" s="13">
        <f>IF('Data Entry'!A1948="","",'Data Entry'!G1948)</f>
        <v/>
      </c>
      <c r="H1948" s="10">
        <f>IF('Data Entry'!A1948="","",'Data Entry'!H1948)</f>
        <v/>
      </c>
      <c r="I1948" s="10">
        <f>IF('Data Entry'!A1948="","",'Data Entry'!I1948)</f>
        <v/>
      </c>
      <c r="J1948" s="12">
        <f>IF('Data Entry'!A1948="","",IF('Data Entry'!D1948&lt;&gt;"",'Data Entry'!D1948,'Data Entry'!E1948))</f>
        <v/>
      </c>
      <c r="K1948" s="10">
        <f>IF('Data Entry'!A1948="","",IFERROR(SUMIFS($H$5:$H$2001,$J$5:$J$2001,$J1948,$B$5:$B$2001,$B1948,$A$5:$A$2001,(MAXIFS($A$5:$A$2001,$J$5:$J$2001,$J1948,$B$5:$B$2001,$B1948,$A$5:$A$2001,"&lt;"&amp;$A1948))),""))</f>
        <v/>
      </c>
      <c r="L1948" s="14">
        <f>IF(OR('Data Entry'!A1948="",$K1948=""),"",$H1948-$K1948)</f>
        <v/>
      </c>
      <c r="M1948" s="15">
        <f>IF(OR('Data Entry'!A1948="",$K1948="",$K1948=0),"",$L1948/$K1948)</f>
        <v/>
      </c>
      <c r="N1948" s="12">
        <f>IF('Data Entry'!A1948="","",IF($L1948="","New item",IF($L1948&gt;0,"UP",IF($L1948&lt;0,"down","same"))))</f>
        <v/>
      </c>
    </row>
    <row r="1949">
      <c r="A1949" s="11">
        <f>IF('Data Entry'!A1949="","",'Data Entry'!A1949)</f>
        <v/>
      </c>
      <c r="B1949" s="12">
        <f>IF('Data Entry'!A1949="","",'Data Entry'!B1949)</f>
        <v/>
      </c>
      <c r="C1949" s="12">
        <f>IF('Data Entry'!A1949="","",'Data Entry'!C1949)</f>
        <v/>
      </c>
      <c r="D1949" s="12">
        <f>IF('Data Entry'!A1949="","",'Data Entry'!D1949)</f>
        <v/>
      </c>
      <c r="E1949" s="12">
        <f>IF('Data Entry'!A1949="","",'Data Entry'!E1949)</f>
        <v/>
      </c>
      <c r="F1949" s="12">
        <f>IF('Data Entry'!A1949="","",'Data Entry'!F1949)</f>
        <v/>
      </c>
      <c r="G1949" s="13">
        <f>IF('Data Entry'!A1949="","",'Data Entry'!G1949)</f>
        <v/>
      </c>
      <c r="H1949" s="10">
        <f>IF('Data Entry'!A1949="","",'Data Entry'!H1949)</f>
        <v/>
      </c>
      <c r="I1949" s="10">
        <f>IF('Data Entry'!A1949="","",'Data Entry'!I1949)</f>
        <v/>
      </c>
      <c r="J1949" s="12">
        <f>IF('Data Entry'!A1949="","",IF('Data Entry'!D1949&lt;&gt;"",'Data Entry'!D1949,'Data Entry'!E1949))</f>
        <v/>
      </c>
      <c r="K1949" s="10">
        <f>IF('Data Entry'!A1949="","",IFERROR(SUMIFS($H$5:$H$2001,$J$5:$J$2001,$J1949,$B$5:$B$2001,$B1949,$A$5:$A$2001,(MAXIFS($A$5:$A$2001,$J$5:$J$2001,$J1949,$B$5:$B$2001,$B1949,$A$5:$A$2001,"&lt;"&amp;$A1949))),""))</f>
        <v/>
      </c>
      <c r="L1949" s="14">
        <f>IF(OR('Data Entry'!A1949="",$K1949=""),"",$H1949-$K1949)</f>
        <v/>
      </c>
      <c r="M1949" s="15">
        <f>IF(OR('Data Entry'!A1949="",$K1949="",$K1949=0),"",$L1949/$K1949)</f>
        <v/>
      </c>
      <c r="N1949" s="12">
        <f>IF('Data Entry'!A1949="","",IF($L1949="","New item",IF($L1949&gt;0,"UP",IF($L1949&lt;0,"down","same"))))</f>
        <v/>
      </c>
    </row>
    <row r="1950">
      <c r="A1950" s="11">
        <f>IF('Data Entry'!A1950="","",'Data Entry'!A1950)</f>
        <v/>
      </c>
      <c r="B1950" s="12">
        <f>IF('Data Entry'!A1950="","",'Data Entry'!B1950)</f>
        <v/>
      </c>
      <c r="C1950" s="12">
        <f>IF('Data Entry'!A1950="","",'Data Entry'!C1950)</f>
        <v/>
      </c>
      <c r="D1950" s="12">
        <f>IF('Data Entry'!A1950="","",'Data Entry'!D1950)</f>
        <v/>
      </c>
      <c r="E1950" s="12">
        <f>IF('Data Entry'!A1950="","",'Data Entry'!E1950)</f>
        <v/>
      </c>
      <c r="F1950" s="12">
        <f>IF('Data Entry'!A1950="","",'Data Entry'!F1950)</f>
        <v/>
      </c>
      <c r="G1950" s="13">
        <f>IF('Data Entry'!A1950="","",'Data Entry'!G1950)</f>
        <v/>
      </c>
      <c r="H1950" s="10">
        <f>IF('Data Entry'!A1950="","",'Data Entry'!H1950)</f>
        <v/>
      </c>
      <c r="I1950" s="10">
        <f>IF('Data Entry'!A1950="","",'Data Entry'!I1950)</f>
        <v/>
      </c>
      <c r="J1950" s="12">
        <f>IF('Data Entry'!A1950="","",IF('Data Entry'!D1950&lt;&gt;"",'Data Entry'!D1950,'Data Entry'!E1950))</f>
        <v/>
      </c>
      <c r="K1950" s="10">
        <f>IF('Data Entry'!A1950="","",IFERROR(SUMIFS($H$5:$H$2001,$J$5:$J$2001,$J1950,$B$5:$B$2001,$B1950,$A$5:$A$2001,(MAXIFS($A$5:$A$2001,$J$5:$J$2001,$J1950,$B$5:$B$2001,$B1950,$A$5:$A$2001,"&lt;"&amp;$A1950))),""))</f>
        <v/>
      </c>
      <c r="L1950" s="14">
        <f>IF(OR('Data Entry'!A1950="",$K1950=""),"",$H1950-$K1950)</f>
        <v/>
      </c>
      <c r="M1950" s="15">
        <f>IF(OR('Data Entry'!A1950="",$K1950="",$K1950=0),"",$L1950/$K1950)</f>
        <v/>
      </c>
      <c r="N1950" s="12">
        <f>IF('Data Entry'!A1950="","",IF($L1950="","New item",IF($L1950&gt;0,"UP",IF($L1950&lt;0,"down","same"))))</f>
        <v/>
      </c>
    </row>
    <row r="1951">
      <c r="A1951" s="11">
        <f>IF('Data Entry'!A1951="","",'Data Entry'!A1951)</f>
        <v/>
      </c>
      <c r="B1951" s="12">
        <f>IF('Data Entry'!A1951="","",'Data Entry'!B1951)</f>
        <v/>
      </c>
      <c r="C1951" s="12">
        <f>IF('Data Entry'!A1951="","",'Data Entry'!C1951)</f>
        <v/>
      </c>
      <c r="D1951" s="12">
        <f>IF('Data Entry'!A1951="","",'Data Entry'!D1951)</f>
        <v/>
      </c>
      <c r="E1951" s="12">
        <f>IF('Data Entry'!A1951="","",'Data Entry'!E1951)</f>
        <v/>
      </c>
      <c r="F1951" s="12">
        <f>IF('Data Entry'!A1951="","",'Data Entry'!F1951)</f>
        <v/>
      </c>
      <c r="G1951" s="13">
        <f>IF('Data Entry'!A1951="","",'Data Entry'!G1951)</f>
        <v/>
      </c>
      <c r="H1951" s="10">
        <f>IF('Data Entry'!A1951="","",'Data Entry'!H1951)</f>
        <v/>
      </c>
      <c r="I1951" s="10">
        <f>IF('Data Entry'!A1951="","",'Data Entry'!I1951)</f>
        <v/>
      </c>
      <c r="J1951" s="12">
        <f>IF('Data Entry'!A1951="","",IF('Data Entry'!D1951&lt;&gt;"",'Data Entry'!D1951,'Data Entry'!E1951))</f>
        <v/>
      </c>
      <c r="K1951" s="10">
        <f>IF('Data Entry'!A1951="","",IFERROR(SUMIFS($H$5:$H$2001,$J$5:$J$2001,$J1951,$B$5:$B$2001,$B1951,$A$5:$A$2001,(MAXIFS($A$5:$A$2001,$J$5:$J$2001,$J1951,$B$5:$B$2001,$B1951,$A$5:$A$2001,"&lt;"&amp;$A1951))),""))</f>
        <v/>
      </c>
      <c r="L1951" s="14">
        <f>IF(OR('Data Entry'!A1951="",$K1951=""),"",$H1951-$K1951)</f>
        <v/>
      </c>
      <c r="M1951" s="15">
        <f>IF(OR('Data Entry'!A1951="",$K1951="",$K1951=0),"",$L1951/$K1951)</f>
        <v/>
      </c>
      <c r="N1951" s="12">
        <f>IF('Data Entry'!A1951="","",IF($L1951="","New item",IF($L1951&gt;0,"UP",IF($L1951&lt;0,"down","same"))))</f>
        <v/>
      </c>
    </row>
    <row r="1952">
      <c r="A1952" s="11">
        <f>IF('Data Entry'!A1952="","",'Data Entry'!A1952)</f>
        <v/>
      </c>
      <c r="B1952" s="12">
        <f>IF('Data Entry'!A1952="","",'Data Entry'!B1952)</f>
        <v/>
      </c>
      <c r="C1952" s="12">
        <f>IF('Data Entry'!A1952="","",'Data Entry'!C1952)</f>
        <v/>
      </c>
      <c r="D1952" s="12">
        <f>IF('Data Entry'!A1952="","",'Data Entry'!D1952)</f>
        <v/>
      </c>
      <c r="E1952" s="12">
        <f>IF('Data Entry'!A1952="","",'Data Entry'!E1952)</f>
        <v/>
      </c>
      <c r="F1952" s="12">
        <f>IF('Data Entry'!A1952="","",'Data Entry'!F1952)</f>
        <v/>
      </c>
      <c r="G1952" s="13">
        <f>IF('Data Entry'!A1952="","",'Data Entry'!G1952)</f>
        <v/>
      </c>
      <c r="H1952" s="10">
        <f>IF('Data Entry'!A1952="","",'Data Entry'!H1952)</f>
        <v/>
      </c>
      <c r="I1952" s="10">
        <f>IF('Data Entry'!A1952="","",'Data Entry'!I1952)</f>
        <v/>
      </c>
      <c r="J1952" s="12">
        <f>IF('Data Entry'!A1952="","",IF('Data Entry'!D1952&lt;&gt;"",'Data Entry'!D1952,'Data Entry'!E1952))</f>
        <v/>
      </c>
      <c r="K1952" s="10">
        <f>IF('Data Entry'!A1952="","",IFERROR(SUMIFS($H$5:$H$2001,$J$5:$J$2001,$J1952,$B$5:$B$2001,$B1952,$A$5:$A$2001,(MAXIFS($A$5:$A$2001,$J$5:$J$2001,$J1952,$B$5:$B$2001,$B1952,$A$5:$A$2001,"&lt;"&amp;$A1952))),""))</f>
        <v/>
      </c>
      <c r="L1952" s="14">
        <f>IF(OR('Data Entry'!A1952="",$K1952=""),"",$H1952-$K1952)</f>
        <v/>
      </c>
      <c r="M1952" s="15">
        <f>IF(OR('Data Entry'!A1952="",$K1952="",$K1952=0),"",$L1952/$K1952)</f>
        <v/>
      </c>
      <c r="N1952" s="12">
        <f>IF('Data Entry'!A1952="","",IF($L1952="","New item",IF($L1952&gt;0,"UP",IF($L1952&lt;0,"down","same"))))</f>
        <v/>
      </c>
    </row>
    <row r="1953">
      <c r="A1953" s="11">
        <f>IF('Data Entry'!A1953="","",'Data Entry'!A1953)</f>
        <v/>
      </c>
      <c r="B1953" s="12">
        <f>IF('Data Entry'!A1953="","",'Data Entry'!B1953)</f>
        <v/>
      </c>
      <c r="C1953" s="12">
        <f>IF('Data Entry'!A1953="","",'Data Entry'!C1953)</f>
        <v/>
      </c>
      <c r="D1953" s="12">
        <f>IF('Data Entry'!A1953="","",'Data Entry'!D1953)</f>
        <v/>
      </c>
      <c r="E1953" s="12">
        <f>IF('Data Entry'!A1953="","",'Data Entry'!E1953)</f>
        <v/>
      </c>
      <c r="F1953" s="12">
        <f>IF('Data Entry'!A1953="","",'Data Entry'!F1953)</f>
        <v/>
      </c>
      <c r="G1953" s="13">
        <f>IF('Data Entry'!A1953="","",'Data Entry'!G1953)</f>
        <v/>
      </c>
      <c r="H1953" s="10">
        <f>IF('Data Entry'!A1953="","",'Data Entry'!H1953)</f>
        <v/>
      </c>
      <c r="I1953" s="10">
        <f>IF('Data Entry'!A1953="","",'Data Entry'!I1953)</f>
        <v/>
      </c>
      <c r="J1953" s="12">
        <f>IF('Data Entry'!A1953="","",IF('Data Entry'!D1953&lt;&gt;"",'Data Entry'!D1953,'Data Entry'!E1953))</f>
        <v/>
      </c>
      <c r="K1953" s="10">
        <f>IF('Data Entry'!A1953="","",IFERROR(SUMIFS($H$5:$H$2001,$J$5:$J$2001,$J1953,$B$5:$B$2001,$B1953,$A$5:$A$2001,(MAXIFS($A$5:$A$2001,$J$5:$J$2001,$J1953,$B$5:$B$2001,$B1953,$A$5:$A$2001,"&lt;"&amp;$A1953))),""))</f>
        <v/>
      </c>
      <c r="L1953" s="14">
        <f>IF(OR('Data Entry'!A1953="",$K1953=""),"",$H1953-$K1953)</f>
        <v/>
      </c>
      <c r="M1953" s="15">
        <f>IF(OR('Data Entry'!A1953="",$K1953="",$K1953=0),"",$L1953/$K1953)</f>
        <v/>
      </c>
      <c r="N1953" s="12">
        <f>IF('Data Entry'!A1953="","",IF($L1953="","New item",IF($L1953&gt;0,"UP",IF($L1953&lt;0,"down","same"))))</f>
        <v/>
      </c>
    </row>
    <row r="1954">
      <c r="A1954" s="11">
        <f>IF('Data Entry'!A1954="","",'Data Entry'!A1954)</f>
        <v/>
      </c>
      <c r="B1954" s="12">
        <f>IF('Data Entry'!A1954="","",'Data Entry'!B1954)</f>
        <v/>
      </c>
      <c r="C1954" s="12">
        <f>IF('Data Entry'!A1954="","",'Data Entry'!C1954)</f>
        <v/>
      </c>
      <c r="D1954" s="12">
        <f>IF('Data Entry'!A1954="","",'Data Entry'!D1954)</f>
        <v/>
      </c>
      <c r="E1954" s="12">
        <f>IF('Data Entry'!A1954="","",'Data Entry'!E1954)</f>
        <v/>
      </c>
      <c r="F1954" s="12">
        <f>IF('Data Entry'!A1954="","",'Data Entry'!F1954)</f>
        <v/>
      </c>
      <c r="G1954" s="13">
        <f>IF('Data Entry'!A1954="","",'Data Entry'!G1954)</f>
        <v/>
      </c>
      <c r="H1954" s="10">
        <f>IF('Data Entry'!A1954="","",'Data Entry'!H1954)</f>
        <v/>
      </c>
      <c r="I1954" s="10">
        <f>IF('Data Entry'!A1954="","",'Data Entry'!I1954)</f>
        <v/>
      </c>
      <c r="J1954" s="12">
        <f>IF('Data Entry'!A1954="","",IF('Data Entry'!D1954&lt;&gt;"",'Data Entry'!D1954,'Data Entry'!E1954))</f>
        <v/>
      </c>
      <c r="K1954" s="10">
        <f>IF('Data Entry'!A1954="","",IFERROR(SUMIFS($H$5:$H$2001,$J$5:$J$2001,$J1954,$B$5:$B$2001,$B1954,$A$5:$A$2001,(MAXIFS($A$5:$A$2001,$J$5:$J$2001,$J1954,$B$5:$B$2001,$B1954,$A$5:$A$2001,"&lt;"&amp;$A1954))),""))</f>
        <v/>
      </c>
      <c r="L1954" s="14">
        <f>IF(OR('Data Entry'!A1954="",$K1954=""),"",$H1954-$K1954)</f>
        <v/>
      </c>
      <c r="M1954" s="15">
        <f>IF(OR('Data Entry'!A1954="",$K1954="",$K1954=0),"",$L1954/$K1954)</f>
        <v/>
      </c>
      <c r="N1954" s="12">
        <f>IF('Data Entry'!A1954="","",IF($L1954="","New item",IF($L1954&gt;0,"UP",IF($L1954&lt;0,"down","same"))))</f>
        <v/>
      </c>
    </row>
    <row r="1955">
      <c r="A1955" s="11">
        <f>IF('Data Entry'!A1955="","",'Data Entry'!A1955)</f>
        <v/>
      </c>
      <c r="B1955" s="12">
        <f>IF('Data Entry'!A1955="","",'Data Entry'!B1955)</f>
        <v/>
      </c>
      <c r="C1955" s="12">
        <f>IF('Data Entry'!A1955="","",'Data Entry'!C1955)</f>
        <v/>
      </c>
      <c r="D1955" s="12">
        <f>IF('Data Entry'!A1955="","",'Data Entry'!D1955)</f>
        <v/>
      </c>
      <c r="E1955" s="12">
        <f>IF('Data Entry'!A1955="","",'Data Entry'!E1955)</f>
        <v/>
      </c>
      <c r="F1955" s="12">
        <f>IF('Data Entry'!A1955="","",'Data Entry'!F1955)</f>
        <v/>
      </c>
      <c r="G1955" s="13">
        <f>IF('Data Entry'!A1955="","",'Data Entry'!G1955)</f>
        <v/>
      </c>
      <c r="H1955" s="10">
        <f>IF('Data Entry'!A1955="","",'Data Entry'!H1955)</f>
        <v/>
      </c>
      <c r="I1955" s="10">
        <f>IF('Data Entry'!A1955="","",'Data Entry'!I1955)</f>
        <v/>
      </c>
      <c r="J1955" s="12">
        <f>IF('Data Entry'!A1955="","",IF('Data Entry'!D1955&lt;&gt;"",'Data Entry'!D1955,'Data Entry'!E1955))</f>
        <v/>
      </c>
      <c r="K1955" s="10">
        <f>IF('Data Entry'!A1955="","",IFERROR(SUMIFS($H$5:$H$2001,$J$5:$J$2001,$J1955,$B$5:$B$2001,$B1955,$A$5:$A$2001,(MAXIFS($A$5:$A$2001,$J$5:$J$2001,$J1955,$B$5:$B$2001,$B1955,$A$5:$A$2001,"&lt;"&amp;$A1955))),""))</f>
        <v/>
      </c>
      <c r="L1955" s="14">
        <f>IF(OR('Data Entry'!A1955="",$K1955=""),"",$H1955-$K1955)</f>
        <v/>
      </c>
      <c r="M1955" s="15">
        <f>IF(OR('Data Entry'!A1955="",$K1955="",$K1955=0),"",$L1955/$K1955)</f>
        <v/>
      </c>
      <c r="N1955" s="12">
        <f>IF('Data Entry'!A1955="","",IF($L1955="","New item",IF($L1955&gt;0,"UP",IF($L1955&lt;0,"down","same"))))</f>
        <v/>
      </c>
    </row>
    <row r="1956">
      <c r="A1956" s="11">
        <f>IF('Data Entry'!A1956="","",'Data Entry'!A1956)</f>
        <v/>
      </c>
      <c r="B1956" s="12">
        <f>IF('Data Entry'!A1956="","",'Data Entry'!B1956)</f>
        <v/>
      </c>
      <c r="C1956" s="12">
        <f>IF('Data Entry'!A1956="","",'Data Entry'!C1956)</f>
        <v/>
      </c>
      <c r="D1956" s="12">
        <f>IF('Data Entry'!A1956="","",'Data Entry'!D1956)</f>
        <v/>
      </c>
      <c r="E1956" s="12">
        <f>IF('Data Entry'!A1956="","",'Data Entry'!E1956)</f>
        <v/>
      </c>
      <c r="F1956" s="12">
        <f>IF('Data Entry'!A1956="","",'Data Entry'!F1956)</f>
        <v/>
      </c>
      <c r="G1956" s="13">
        <f>IF('Data Entry'!A1956="","",'Data Entry'!G1956)</f>
        <v/>
      </c>
      <c r="H1956" s="10">
        <f>IF('Data Entry'!A1956="","",'Data Entry'!H1956)</f>
        <v/>
      </c>
      <c r="I1956" s="10">
        <f>IF('Data Entry'!A1956="","",'Data Entry'!I1956)</f>
        <v/>
      </c>
      <c r="J1956" s="12">
        <f>IF('Data Entry'!A1956="","",IF('Data Entry'!D1956&lt;&gt;"",'Data Entry'!D1956,'Data Entry'!E1956))</f>
        <v/>
      </c>
      <c r="K1956" s="10">
        <f>IF('Data Entry'!A1956="","",IFERROR(SUMIFS($H$5:$H$2001,$J$5:$J$2001,$J1956,$B$5:$B$2001,$B1956,$A$5:$A$2001,(MAXIFS($A$5:$A$2001,$J$5:$J$2001,$J1956,$B$5:$B$2001,$B1956,$A$5:$A$2001,"&lt;"&amp;$A1956))),""))</f>
        <v/>
      </c>
      <c r="L1956" s="14">
        <f>IF(OR('Data Entry'!A1956="",$K1956=""),"",$H1956-$K1956)</f>
        <v/>
      </c>
      <c r="M1956" s="15">
        <f>IF(OR('Data Entry'!A1956="",$K1956="",$K1956=0),"",$L1956/$K1956)</f>
        <v/>
      </c>
      <c r="N1956" s="12">
        <f>IF('Data Entry'!A1956="","",IF($L1956="","New item",IF($L1956&gt;0,"UP",IF($L1956&lt;0,"down","same"))))</f>
        <v/>
      </c>
    </row>
    <row r="1957">
      <c r="A1957" s="11">
        <f>IF('Data Entry'!A1957="","",'Data Entry'!A1957)</f>
        <v/>
      </c>
      <c r="B1957" s="12">
        <f>IF('Data Entry'!A1957="","",'Data Entry'!B1957)</f>
        <v/>
      </c>
      <c r="C1957" s="12">
        <f>IF('Data Entry'!A1957="","",'Data Entry'!C1957)</f>
        <v/>
      </c>
      <c r="D1957" s="12">
        <f>IF('Data Entry'!A1957="","",'Data Entry'!D1957)</f>
        <v/>
      </c>
      <c r="E1957" s="12">
        <f>IF('Data Entry'!A1957="","",'Data Entry'!E1957)</f>
        <v/>
      </c>
      <c r="F1957" s="12">
        <f>IF('Data Entry'!A1957="","",'Data Entry'!F1957)</f>
        <v/>
      </c>
      <c r="G1957" s="13">
        <f>IF('Data Entry'!A1957="","",'Data Entry'!G1957)</f>
        <v/>
      </c>
      <c r="H1957" s="10">
        <f>IF('Data Entry'!A1957="","",'Data Entry'!H1957)</f>
        <v/>
      </c>
      <c r="I1957" s="10">
        <f>IF('Data Entry'!A1957="","",'Data Entry'!I1957)</f>
        <v/>
      </c>
      <c r="J1957" s="12">
        <f>IF('Data Entry'!A1957="","",IF('Data Entry'!D1957&lt;&gt;"",'Data Entry'!D1957,'Data Entry'!E1957))</f>
        <v/>
      </c>
      <c r="K1957" s="10">
        <f>IF('Data Entry'!A1957="","",IFERROR(SUMIFS($H$5:$H$2001,$J$5:$J$2001,$J1957,$B$5:$B$2001,$B1957,$A$5:$A$2001,(MAXIFS($A$5:$A$2001,$J$5:$J$2001,$J1957,$B$5:$B$2001,$B1957,$A$5:$A$2001,"&lt;"&amp;$A1957))),""))</f>
        <v/>
      </c>
      <c r="L1957" s="14">
        <f>IF(OR('Data Entry'!A1957="",$K1957=""),"",$H1957-$K1957)</f>
        <v/>
      </c>
      <c r="M1957" s="15">
        <f>IF(OR('Data Entry'!A1957="",$K1957="",$K1957=0),"",$L1957/$K1957)</f>
        <v/>
      </c>
      <c r="N1957" s="12">
        <f>IF('Data Entry'!A1957="","",IF($L1957="","New item",IF($L1957&gt;0,"UP",IF($L1957&lt;0,"down","same"))))</f>
        <v/>
      </c>
    </row>
    <row r="1958">
      <c r="A1958" s="11">
        <f>IF('Data Entry'!A1958="","",'Data Entry'!A1958)</f>
        <v/>
      </c>
      <c r="B1958" s="12">
        <f>IF('Data Entry'!A1958="","",'Data Entry'!B1958)</f>
        <v/>
      </c>
      <c r="C1958" s="12">
        <f>IF('Data Entry'!A1958="","",'Data Entry'!C1958)</f>
        <v/>
      </c>
      <c r="D1958" s="12">
        <f>IF('Data Entry'!A1958="","",'Data Entry'!D1958)</f>
        <v/>
      </c>
      <c r="E1958" s="12">
        <f>IF('Data Entry'!A1958="","",'Data Entry'!E1958)</f>
        <v/>
      </c>
      <c r="F1958" s="12">
        <f>IF('Data Entry'!A1958="","",'Data Entry'!F1958)</f>
        <v/>
      </c>
      <c r="G1958" s="13">
        <f>IF('Data Entry'!A1958="","",'Data Entry'!G1958)</f>
        <v/>
      </c>
      <c r="H1958" s="10">
        <f>IF('Data Entry'!A1958="","",'Data Entry'!H1958)</f>
        <v/>
      </c>
      <c r="I1958" s="10">
        <f>IF('Data Entry'!A1958="","",'Data Entry'!I1958)</f>
        <v/>
      </c>
      <c r="J1958" s="12">
        <f>IF('Data Entry'!A1958="","",IF('Data Entry'!D1958&lt;&gt;"",'Data Entry'!D1958,'Data Entry'!E1958))</f>
        <v/>
      </c>
      <c r="K1958" s="10">
        <f>IF('Data Entry'!A1958="","",IFERROR(SUMIFS($H$5:$H$2001,$J$5:$J$2001,$J1958,$B$5:$B$2001,$B1958,$A$5:$A$2001,(MAXIFS($A$5:$A$2001,$J$5:$J$2001,$J1958,$B$5:$B$2001,$B1958,$A$5:$A$2001,"&lt;"&amp;$A1958))),""))</f>
        <v/>
      </c>
      <c r="L1958" s="14">
        <f>IF(OR('Data Entry'!A1958="",$K1958=""),"",$H1958-$K1958)</f>
        <v/>
      </c>
      <c r="M1958" s="15">
        <f>IF(OR('Data Entry'!A1958="",$K1958="",$K1958=0),"",$L1958/$K1958)</f>
        <v/>
      </c>
      <c r="N1958" s="12">
        <f>IF('Data Entry'!A1958="","",IF($L1958="","New item",IF($L1958&gt;0,"UP",IF($L1958&lt;0,"down","same"))))</f>
        <v/>
      </c>
    </row>
    <row r="1959">
      <c r="A1959" s="11">
        <f>IF('Data Entry'!A1959="","",'Data Entry'!A1959)</f>
        <v/>
      </c>
      <c r="B1959" s="12">
        <f>IF('Data Entry'!A1959="","",'Data Entry'!B1959)</f>
        <v/>
      </c>
      <c r="C1959" s="12">
        <f>IF('Data Entry'!A1959="","",'Data Entry'!C1959)</f>
        <v/>
      </c>
      <c r="D1959" s="12">
        <f>IF('Data Entry'!A1959="","",'Data Entry'!D1959)</f>
        <v/>
      </c>
      <c r="E1959" s="12">
        <f>IF('Data Entry'!A1959="","",'Data Entry'!E1959)</f>
        <v/>
      </c>
      <c r="F1959" s="12">
        <f>IF('Data Entry'!A1959="","",'Data Entry'!F1959)</f>
        <v/>
      </c>
      <c r="G1959" s="13">
        <f>IF('Data Entry'!A1959="","",'Data Entry'!G1959)</f>
        <v/>
      </c>
      <c r="H1959" s="10">
        <f>IF('Data Entry'!A1959="","",'Data Entry'!H1959)</f>
        <v/>
      </c>
      <c r="I1959" s="10">
        <f>IF('Data Entry'!A1959="","",'Data Entry'!I1959)</f>
        <v/>
      </c>
      <c r="J1959" s="12">
        <f>IF('Data Entry'!A1959="","",IF('Data Entry'!D1959&lt;&gt;"",'Data Entry'!D1959,'Data Entry'!E1959))</f>
        <v/>
      </c>
      <c r="K1959" s="10">
        <f>IF('Data Entry'!A1959="","",IFERROR(SUMIFS($H$5:$H$2001,$J$5:$J$2001,$J1959,$B$5:$B$2001,$B1959,$A$5:$A$2001,(MAXIFS($A$5:$A$2001,$J$5:$J$2001,$J1959,$B$5:$B$2001,$B1959,$A$5:$A$2001,"&lt;"&amp;$A1959))),""))</f>
        <v/>
      </c>
      <c r="L1959" s="14">
        <f>IF(OR('Data Entry'!A1959="",$K1959=""),"",$H1959-$K1959)</f>
        <v/>
      </c>
      <c r="M1959" s="15">
        <f>IF(OR('Data Entry'!A1959="",$K1959="",$K1959=0),"",$L1959/$K1959)</f>
        <v/>
      </c>
      <c r="N1959" s="12">
        <f>IF('Data Entry'!A1959="","",IF($L1959="","New item",IF($L1959&gt;0,"UP",IF($L1959&lt;0,"down","same"))))</f>
        <v/>
      </c>
    </row>
    <row r="1960">
      <c r="A1960" s="11">
        <f>IF('Data Entry'!A1960="","",'Data Entry'!A1960)</f>
        <v/>
      </c>
      <c r="B1960" s="12">
        <f>IF('Data Entry'!A1960="","",'Data Entry'!B1960)</f>
        <v/>
      </c>
      <c r="C1960" s="12">
        <f>IF('Data Entry'!A1960="","",'Data Entry'!C1960)</f>
        <v/>
      </c>
      <c r="D1960" s="12">
        <f>IF('Data Entry'!A1960="","",'Data Entry'!D1960)</f>
        <v/>
      </c>
      <c r="E1960" s="12">
        <f>IF('Data Entry'!A1960="","",'Data Entry'!E1960)</f>
        <v/>
      </c>
      <c r="F1960" s="12">
        <f>IF('Data Entry'!A1960="","",'Data Entry'!F1960)</f>
        <v/>
      </c>
      <c r="G1960" s="13">
        <f>IF('Data Entry'!A1960="","",'Data Entry'!G1960)</f>
        <v/>
      </c>
      <c r="H1960" s="10">
        <f>IF('Data Entry'!A1960="","",'Data Entry'!H1960)</f>
        <v/>
      </c>
      <c r="I1960" s="10">
        <f>IF('Data Entry'!A1960="","",'Data Entry'!I1960)</f>
        <v/>
      </c>
      <c r="J1960" s="12">
        <f>IF('Data Entry'!A1960="","",IF('Data Entry'!D1960&lt;&gt;"",'Data Entry'!D1960,'Data Entry'!E1960))</f>
        <v/>
      </c>
      <c r="K1960" s="10">
        <f>IF('Data Entry'!A1960="","",IFERROR(SUMIFS($H$5:$H$2001,$J$5:$J$2001,$J1960,$B$5:$B$2001,$B1960,$A$5:$A$2001,(MAXIFS($A$5:$A$2001,$J$5:$J$2001,$J1960,$B$5:$B$2001,$B1960,$A$5:$A$2001,"&lt;"&amp;$A1960))),""))</f>
        <v/>
      </c>
      <c r="L1960" s="14">
        <f>IF(OR('Data Entry'!A1960="",$K1960=""),"",$H1960-$K1960)</f>
        <v/>
      </c>
      <c r="M1960" s="15">
        <f>IF(OR('Data Entry'!A1960="",$K1960="",$K1960=0),"",$L1960/$K1960)</f>
        <v/>
      </c>
      <c r="N1960" s="12">
        <f>IF('Data Entry'!A1960="","",IF($L1960="","New item",IF($L1960&gt;0,"UP",IF($L1960&lt;0,"down","same"))))</f>
        <v/>
      </c>
    </row>
    <row r="1961">
      <c r="A1961" s="11">
        <f>IF('Data Entry'!A1961="","",'Data Entry'!A1961)</f>
        <v/>
      </c>
      <c r="B1961" s="12">
        <f>IF('Data Entry'!A1961="","",'Data Entry'!B1961)</f>
        <v/>
      </c>
      <c r="C1961" s="12">
        <f>IF('Data Entry'!A1961="","",'Data Entry'!C1961)</f>
        <v/>
      </c>
      <c r="D1961" s="12">
        <f>IF('Data Entry'!A1961="","",'Data Entry'!D1961)</f>
        <v/>
      </c>
      <c r="E1961" s="12">
        <f>IF('Data Entry'!A1961="","",'Data Entry'!E1961)</f>
        <v/>
      </c>
      <c r="F1961" s="12">
        <f>IF('Data Entry'!A1961="","",'Data Entry'!F1961)</f>
        <v/>
      </c>
      <c r="G1961" s="13">
        <f>IF('Data Entry'!A1961="","",'Data Entry'!G1961)</f>
        <v/>
      </c>
      <c r="H1961" s="10">
        <f>IF('Data Entry'!A1961="","",'Data Entry'!H1961)</f>
        <v/>
      </c>
      <c r="I1961" s="10">
        <f>IF('Data Entry'!A1961="","",'Data Entry'!I1961)</f>
        <v/>
      </c>
      <c r="J1961" s="12">
        <f>IF('Data Entry'!A1961="","",IF('Data Entry'!D1961&lt;&gt;"",'Data Entry'!D1961,'Data Entry'!E1961))</f>
        <v/>
      </c>
      <c r="K1961" s="10">
        <f>IF('Data Entry'!A1961="","",IFERROR(SUMIFS($H$5:$H$2001,$J$5:$J$2001,$J1961,$B$5:$B$2001,$B1961,$A$5:$A$2001,(MAXIFS($A$5:$A$2001,$J$5:$J$2001,$J1961,$B$5:$B$2001,$B1961,$A$5:$A$2001,"&lt;"&amp;$A1961))),""))</f>
        <v/>
      </c>
      <c r="L1961" s="14">
        <f>IF(OR('Data Entry'!A1961="",$K1961=""),"",$H1961-$K1961)</f>
        <v/>
      </c>
      <c r="M1961" s="15">
        <f>IF(OR('Data Entry'!A1961="",$K1961="",$K1961=0),"",$L1961/$K1961)</f>
        <v/>
      </c>
      <c r="N1961" s="12">
        <f>IF('Data Entry'!A1961="","",IF($L1961="","New item",IF($L1961&gt;0,"UP",IF($L1961&lt;0,"down","same"))))</f>
        <v/>
      </c>
    </row>
    <row r="1962">
      <c r="A1962" s="11">
        <f>IF('Data Entry'!A1962="","",'Data Entry'!A1962)</f>
        <v/>
      </c>
      <c r="B1962" s="12">
        <f>IF('Data Entry'!A1962="","",'Data Entry'!B1962)</f>
        <v/>
      </c>
      <c r="C1962" s="12">
        <f>IF('Data Entry'!A1962="","",'Data Entry'!C1962)</f>
        <v/>
      </c>
      <c r="D1962" s="12">
        <f>IF('Data Entry'!A1962="","",'Data Entry'!D1962)</f>
        <v/>
      </c>
      <c r="E1962" s="12">
        <f>IF('Data Entry'!A1962="","",'Data Entry'!E1962)</f>
        <v/>
      </c>
      <c r="F1962" s="12">
        <f>IF('Data Entry'!A1962="","",'Data Entry'!F1962)</f>
        <v/>
      </c>
      <c r="G1962" s="13">
        <f>IF('Data Entry'!A1962="","",'Data Entry'!G1962)</f>
        <v/>
      </c>
      <c r="H1962" s="10">
        <f>IF('Data Entry'!A1962="","",'Data Entry'!H1962)</f>
        <v/>
      </c>
      <c r="I1962" s="10">
        <f>IF('Data Entry'!A1962="","",'Data Entry'!I1962)</f>
        <v/>
      </c>
      <c r="J1962" s="12">
        <f>IF('Data Entry'!A1962="","",IF('Data Entry'!D1962&lt;&gt;"",'Data Entry'!D1962,'Data Entry'!E1962))</f>
        <v/>
      </c>
      <c r="K1962" s="10">
        <f>IF('Data Entry'!A1962="","",IFERROR(SUMIFS($H$5:$H$2001,$J$5:$J$2001,$J1962,$B$5:$B$2001,$B1962,$A$5:$A$2001,(MAXIFS($A$5:$A$2001,$J$5:$J$2001,$J1962,$B$5:$B$2001,$B1962,$A$5:$A$2001,"&lt;"&amp;$A1962))),""))</f>
        <v/>
      </c>
      <c r="L1962" s="14">
        <f>IF(OR('Data Entry'!A1962="",$K1962=""),"",$H1962-$K1962)</f>
        <v/>
      </c>
      <c r="M1962" s="15">
        <f>IF(OR('Data Entry'!A1962="",$K1962="",$K1962=0),"",$L1962/$K1962)</f>
        <v/>
      </c>
      <c r="N1962" s="12">
        <f>IF('Data Entry'!A1962="","",IF($L1962="","New item",IF($L1962&gt;0,"UP",IF($L1962&lt;0,"down","same"))))</f>
        <v/>
      </c>
    </row>
    <row r="1963">
      <c r="A1963" s="11">
        <f>IF('Data Entry'!A1963="","",'Data Entry'!A1963)</f>
        <v/>
      </c>
      <c r="B1963" s="12">
        <f>IF('Data Entry'!A1963="","",'Data Entry'!B1963)</f>
        <v/>
      </c>
      <c r="C1963" s="12">
        <f>IF('Data Entry'!A1963="","",'Data Entry'!C1963)</f>
        <v/>
      </c>
      <c r="D1963" s="12">
        <f>IF('Data Entry'!A1963="","",'Data Entry'!D1963)</f>
        <v/>
      </c>
      <c r="E1963" s="12">
        <f>IF('Data Entry'!A1963="","",'Data Entry'!E1963)</f>
        <v/>
      </c>
      <c r="F1963" s="12">
        <f>IF('Data Entry'!A1963="","",'Data Entry'!F1963)</f>
        <v/>
      </c>
      <c r="G1963" s="13">
        <f>IF('Data Entry'!A1963="","",'Data Entry'!G1963)</f>
        <v/>
      </c>
      <c r="H1963" s="10">
        <f>IF('Data Entry'!A1963="","",'Data Entry'!H1963)</f>
        <v/>
      </c>
      <c r="I1963" s="10">
        <f>IF('Data Entry'!A1963="","",'Data Entry'!I1963)</f>
        <v/>
      </c>
      <c r="J1963" s="12">
        <f>IF('Data Entry'!A1963="","",IF('Data Entry'!D1963&lt;&gt;"",'Data Entry'!D1963,'Data Entry'!E1963))</f>
        <v/>
      </c>
      <c r="K1963" s="10">
        <f>IF('Data Entry'!A1963="","",IFERROR(SUMIFS($H$5:$H$2001,$J$5:$J$2001,$J1963,$B$5:$B$2001,$B1963,$A$5:$A$2001,(MAXIFS($A$5:$A$2001,$J$5:$J$2001,$J1963,$B$5:$B$2001,$B1963,$A$5:$A$2001,"&lt;"&amp;$A1963))),""))</f>
        <v/>
      </c>
      <c r="L1963" s="14">
        <f>IF(OR('Data Entry'!A1963="",$K1963=""),"",$H1963-$K1963)</f>
        <v/>
      </c>
      <c r="M1963" s="15">
        <f>IF(OR('Data Entry'!A1963="",$K1963="",$K1963=0),"",$L1963/$K1963)</f>
        <v/>
      </c>
      <c r="N1963" s="12">
        <f>IF('Data Entry'!A1963="","",IF($L1963="","New item",IF($L1963&gt;0,"UP",IF($L1963&lt;0,"down","same"))))</f>
        <v/>
      </c>
    </row>
    <row r="1964">
      <c r="A1964" s="11">
        <f>IF('Data Entry'!A1964="","",'Data Entry'!A1964)</f>
        <v/>
      </c>
      <c r="B1964" s="12">
        <f>IF('Data Entry'!A1964="","",'Data Entry'!B1964)</f>
        <v/>
      </c>
      <c r="C1964" s="12">
        <f>IF('Data Entry'!A1964="","",'Data Entry'!C1964)</f>
        <v/>
      </c>
      <c r="D1964" s="12">
        <f>IF('Data Entry'!A1964="","",'Data Entry'!D1964)</f>
        <v/>
      </c>
      <c r="E1964" s="12">
        <f>IF('Data Entry'!A1964="","",'Data Entry'!E1964)</f>
        <v/>
      </c>
      <c r="F1964" s="12">
        <f>IF('Data Entry'!A1964="","",'Data Entry'!F1964)</f>
        <v/>
      </c>
      <c r="G1964" s="13">
        <f>IF('Data Entry'!A1964="","",'Data Entry'!G1964)</f>
        <v/>
      </c>
      <c r="H1964" s="10">
        <f>IF('Data Entry'!A1964="","",'Data Entry'!H1964)</f>
        <v/>
      </c>
      <c r="I1964" s="10">
        <f>IF('Data Entry'!A1964="","",'Data Entry'!I1964)</f>
        <v/>
      </c>
      <c r="J1964" s="12">
        <f>IF('Data Entry'!A1964="","",IF('Data Entry'!D1964&lt;&gt;"",'Data Entry'!D1964,'Data Entry'!E1964))</f>
        <v/>
      </c>
      <c r="K1964" s="10">
        <f>IF('Data Entry'!A1964="","",IFERROR(SUMIFS($H$5:$H$2001,$J$5:$J$2001,$J1964,$B$5:$B$2001,$B1964,$A$5:$A$2001,(MAXIFS($A$5:$A$2001,$J$5:$J$2001,$J1964,$B$5:$B$2001,$B1964,$A$5:$A$2001,"&lt;"&amp;$A1964))),""))</f>
        <v/>
      </c>
      <c r="L1964" s="14">
        <f>IF(OR('Data Entry'!A1964="",$K1964=""),"",$H1964-$K1964)</f>
        <v/>
      </c>
      <c r="M1964" s="15">
        <f>IF(OR('Data Entry'!A1964="",$K1964="",$K1964=0),"",$L1964/$K1964)</f>
        <v/>
      </c>
      <c r="N1964" s="12">
        <f>IF('Data Entry'!A1964="","",IF($L1964="","New item",IF($L1964&gt;0,"UP",IF($L1964&lt;0,"down","same"))))</f>
        <v/>
      </c>
    </row>
    <row r="1965">
      <c r="A1965" s="11">
        <f>IF('Data Entry'!A1965="","",'Data Entry'!A1965)</f>
        <v/>
      </c>
      <c r="B1965" s="12">
        <f>IF('Data Entry'!A1965="","",'Data Entry'!B1965)</f>
        <v/>
      </c>
      <c r="C1965" s="12">
        <f>IF('Data Entry'!A1965="","",'Data Entry'!C1965)</f>
        <v/>
      </c>
      <c r="D1965" s="12">
        <f>IF('Data Entry'!A1965="","",'Data Entry'!D1965)</f>
        <v/>
      </c>
      <c r="E1965" s="12">
        <f>IF('Data Entry'!A1965="","",'Data Entry'!E1965)</f>
        <v/>
      </c>
      <c r="F1965" s="12">
        <f>IF('Data Entry'!A1965="","",'Data Entry'!F1965)</f>
        <v/>
      </c>
      <c r="G1965" s="13">
        <f>IF('Data Entry'!A1965="","",'Data Entry'!G1965)</f>
        <v/>
      </c>
      <c r="H1965" s="10">
        <f>IF('Data Entry'!A1965="","",'Data Entry'!H1965)</f>
        <v/>
      </c>
      <c r="I1965" s="10">
        <f>IF('Data Entry'!A1965="","",'Data Entry'!I1965)</f>
        <v/>
      </c>
      <c r="J1965" s="12">
        <f>IF('Data Entry'!A1965="","",IF('Data Entry'!D1965&lt;&gt;"",'Data Entry'!D1965,'Data Entry'!E1965))</f>
        <v/>
      </c>
      <c r="K1965" s="10">
        <f>IF('Data Entry'!A1965="","",IFERROR(SUMIFS($H$5:$H$2001,$J$5:$J$2001,$J1965,$B$5:$B$2001,$B1965,$A$5:$A$2001,(MAXIFS($A$5:$A$2001,$J$5:$J$2001,$J1965,$B$5:$B$2001,$B1965,$A$5:$A$2001,"&lt;"&amp;$A1965))),""))</f>
        <v/>
      </c>
      <c r="L1965" s="14">
        <f>IF(OR('Data Entry'!A1965="",$K1965=""),"",$H1965-$K1965)</f>
        <v/>
      </c>
      <c r="M1965" s="15">
        <f>IF(OR('Data Entry'!A1965="",$K1965="",$K1965=0),"",$L1965/$K1965)</f>
        <v/>
      </c>
      <c r="N1965" s="12">
        <f>IF('Data Entry'!A1965="","",IF($L1965="","New item",IF($L1965&gt;0,"UP",IF($L1965&lt;0,"down","same"))))</f>
        <v/>
      </c>
    </row>
    <row r="1966">
      <c r="A1966" s="11">
        <f>IF('Data Entry'!A1966="","",'Data Entry'!A1966)</f>
        <v/>
      </c>
      <c r="B1966" s="12">
        <f>IF('Data Entry'!A1966="","",'Data Entry'!B1966)</f>
        <v/>
      </c>
      <c r="C1966" s="12">
        <f>IF('Data Entry'!A1966="","",'Data Entry'!C1966)</f>
        <v/>
      </c>
      <c r="D1966" s="12">
        <f>IF('Data Entry'!A1966="","",'Data Entry'!D1966)</f>
        <v/>
      </c>
      <c r="E1966" s="12">
        <f>IF('Data Entry'!A1966="","",'Data Entry'!E1966)</f>
        <v/>
      </c>
      <c r="F1966" s="12">
        <f>IF('Data Entry'!A1966="","",'Data Entry'!F1966)</f>
        <v/>
      </c>
      <c r="G1966" s="13">
        <f>IF('Data Entry'!A1966="","",'Data Entry'!G1966)</f>
        <v/>
      </c>
      <c r="H1966" s="10">
        <f>IF('Data Entry'!A1966="","",'Data Entry'!H1966)</f>
        <v/>
      </c>
      <c r="I1966" s="10">
        <f>IF('Data Entry'!A1966="","",'Data Entry'!I1966)</f>
        <v/>
      </c>
      <c r="J1966" s="12">
        <f>IF('Data Entry'!A1966="","",IF('Data Entry'!D1966&lt;&gt;"",'Data Entry'!D1966,'Data Entry'!E1966))</f>
        <v/>
      </c>
      <c r="K1966" s="10">
        <f>IF('Data Entry'!A1966="","",IFERROR(SUMIFS($H$5:$H$2001,$J$5:$J$2001,$J1966,$B$5:$B$2001,$B1966,$A$5:$A$2001,(MAXIFS($A$5:$A$2001,$J$5:$J$2001,$J1966,$B$5:$B$2001,$B1966,$A$5:$A$2001,"&lt;"&amp;$A1966))),""))</f>
        <v/>
      </c>
      <c r="L1966" s="14">
        <f>IF(OR('Data Entry'!A1966="",$K1966=""),"",$H1966-$K1966)</f>
        <v/>
      </c>
      <c r="M1966" s="15">
        <f>IF(OR('Data Entry'!A1966="",$K1966="",$K1966=0),"",$L1966/$K1966)</f>
        <v/>
      </c>
      <c r="N1966" s="12">
        <f>IF('Data Entry'!A1966="","",IF($L1966="","New item",IF($L1966&gt;0,"UP",IF($L1966&lt;0,"down","same"))))</f>
        <v/>
      </c>
    </row>
    <row r="1967">
      <c r="A1967" s="11">
        <f>IF('Data Entry'!A1967="","",'Data Entry'!A1967)</f>
        <v/>
      </c>
      <c r="B1967" s="12">
        <f>IF('Data Entry'!A1967="","",'Data Entry'!B1967)</f>
        <v/>
      </c>
      <c r="C1967" s="12">
        <f>IF('Data Entry'!A1967="","",'Data Entry'!C1967)</f>
        <v/>
      </c>
      <c r="D1967" s="12">
        <f>IF('Data Entry'!A1967="","",'Data Entry'!D1967)</f>
        <v/>
      </c>
      <c r="E1967" s="12">
        <f>IF('Data Entry'!A1967="","",'Data Entry'!E1967)</f>
        <v/>
      </c>
      <c r="F1967" s="12">
        <f>IF('Data Entry'!A1967="","",'Data Entry'!F1967)</f>
        <v/>
      </c>
      <c r="G1967" s="13">
        <f>IF('Data Entry'!A1967="","",'Data Entry'!G1967)</f>
        <v/>
      </c>
      <c r="H1967" s="10">
        <f>IF('Data Entry'!A1967="","",'Data Entry'!H1967)</f>
        <v/>
      </c>
      <c r="I1967" s="10">
        <f>IF('Data Entry'!A1967="","",'Data Entry'!I1967)</f>
        <v/>
      </c>
      <c r="J1967" s="12">
        <f>IF('Data Entry'!A1967="","",IF('Data Entry'!D1967&lt;&gt;"",'Data Entry'!D1967,'Data Entry'!E1967))</f>
        <v/>
      </c>
      <c r="K1967" s="10">
        <f>IF('Data Entry'!A1967="","",IFERROR(SUMIFS($H$5:$H$2001,$J$5:$J$2001,$J1967,$B$5:$B$2001,$B1967,$A$5:$A$2001,(MAXIFS($A$5:$A$2001,$J$5:$J$2001,$J1967,$B$5:$B$2001,$B1967,$A$5:$A$2001,"&lt;"&amp;$A1967))),""))</f>
        <v/>
      </c>
      <c r="L1967" s="14">
        <f>IF(OR('Data Entry'!A1967="",$K1967=""),"",$H1967-$K1967)</f>
        <v/>
      </c>
      <c r="M1967" s="15">
        <f>IF(OR('Data Entry'!A1967="",$K1967="",$K1967=0),"",$L1967/$K1967)</f>
        <v/>
      </c>
      <c r="N1967" s="12">
        <f>IF('Data Entry'!A1967="","",IF($L1967="","New item",IF($L1967&gt;0,"UP",IF($L1967&lt;0,"down","same"))))</f>
        <v/>
      </c>
    </row>
    <row r="1968">
      <c r="A1968" s="11">
        <f>IF('Data Entry'!A1968="","",'Data Entry'!A1968)</f>
        <v/>
      </c>
      <c r="B1968" s="12">
        <f>IF('Data Entry'!A1968="","",'Data Entry'!B1968)</f>
        <v/>
      </c>
      <c r="C1968" s="12">
        <f>IF('Data Entry'!A1968="","",'Data Entry'!C1968)</f>
        <v/>
      </c>
      <c r="D1968" s="12">
        <f>IF('Data Entry'!A1968="","",'Data Entry'!D1968)</f>
        <v/>
      </c>
      <c r="E1968" s="12">
        <f>IF('Data Entry'!A1968="","",'Data Entry'!E1968)</f>
        <v/>
      </c>
      <c r="F1968" s="12">
        <f>IF('Data Entry'!A1968="","",'Data Entry'!F1968)</f>
        <v/>
      </c>
      <c r="G1968" s="13">
        <f>IF('Data Entry'!A1968="","",'Data Entry'!G1968)</f>
        <v/>
      </c>
      <c r="H1968" s="10">
        <f>IF('Data Entry'!A1968="","",'Data Entry'!H1968)</f>
        <v/>
      </c>
      <c r="I1968" s="10">
        <f>IF('Data Entry'!A1968="","",'Data Entry'!I1968)</f>
        <v/>
      </c>
      <c r="J1968" s="12">
        <f>IF('Data Entry'!A1968="","",IF('Data Entry'!D1968&lt;&gt;"",'Data Entry'!D1968,'Data Entry'!E1968))</f>
        <v/>
      </c>
      <c r="K1968" s="10">
        <f>IF('Data Entry'!A1968="","",IFERROR(SUMIFS($H$5:$H$2001,$J$5:$J$2001,$J1968,$B$5:$B$2001,$B1968,$A$5:$A$2001,(MAXIFS($A$5:$A$2001,$J$5:$J$2001,$J1968,$B$5:$B$2001,$B1968,$A$5:$A$2001,"&lt;"&amp;$A1968))),""))</f>
        <v/>
      </c>
      <c r="L1968" s="14">
        <f>IF(OR('Data Entry'!A1968="",$K1968=""),"",$H1968-$K1968)</f>
        <v/>
      </c>
      <c r="M1968" s="15">
        <f>IF(OR('Data Entry'!A1968="",$K1968="",$K1968=0),"",$L1968/$K1968)</f>
        <v/>
      </c>
      <c r="N1968" s="12">
        <f>IF('Data Entry'!A1968="","",IF($L1968="","New item",IF($L1968&gt;0,"UP",IF($L1968&lt;0,"down","same"))))</f>
        <v/>
      </c>
    </row>
    <row r="1969">
      <c r="A1969" s="11">
        <f>IF('Data Entry'!A1969="","",'Data Entry'!A1969)</f>
        <v/>
      </c>
      <c r="B1969" s="12">
        <f>IF('Data Entry'!A1969="","",'Data Entry'!B1969)</f>
        <v/>
      </c>
      <c r="C1969" s="12">
        <f>IF('Data Entry'!A1969="","",'Data Entry'!C1969)</f>
        <v/>
      </c>
      <c r="D1969" s="12">
        <f>IF('Data Entry'!A1969="","",'Data Entry'!D1969)</f>
        <v/>
      </c>
      <c r="E1969" s="12">
        <f>IF('Data Entry'!A1969="","",'Data Entry'!E1969)</f>
        <v/>
      </c>
      <c r="F1969" s="12">
        <f>IF('Data Entry'!A1969="","",'Data Entry'!F1969)</f>
        <v/>
      </c>
      <c r="G1969" s="13">
        <f>IF('Data Entry'!A1969="","",'Data Entry'!G1969)</f>
        <v/>
      </c>
      <c r="H1969" s="10">
        <f>IF('Data Entry'!A1969="","",'Data Entry'!H1969)</f>
        <v/>
      </c>
      <c r="I1969" s="10">
        <f>IF('Data Entry'!A1969="","",'Data Entry'!I1969)</f>
        <v/>
      </c>
      <c r="J1969" s="12">
        <f>IF('Data Entry'!A1969="","",IF('Data Entry'!D1969&lt;&gt;"",'Data Entry'!D1969,'Data Entry'!E1969))</f>
        <v/>
      </c>
      <c r="K1969" s="10">
        <f>IF('Data Entry'!A1969="","",IFERROR(SUMIFS($H$5:$H$2001,$J$5:$J$2001,$J1969,$B$5:$B$2001,$B1969,$A$5:$A$2001,(MAXIFS($A$5:$A$2001,$J$5:$J$2001,$J1969,$B$5:$B$2001,$B1969,$A$5:$A$2001,"&lt;"&amp;$A1969))),""))</f>
        <v/>
      </c>
      <c r="L1969" s="14">
        <f>IF(OR('Data Entry'!A1969="",$K1969=""),"",$H1969-$K1969)</f>
        <v/>
      </c>
      <c r="M1969" s="15">
        <f>IF(OR('Data Entry'!A1969="",$K1969="",$K1969=0),"",$L1969/$K1969)</f>
        <v/>
      </c>
      <c r="N1969" s="12">
        <f>IF('Data Entry'!A1969="","",IF($L1969="","New item",IF($L1969&gt;0,"UP",IF($L1969&lt;0,"down","same"))))</f>
        <v/>
      </c>
    </row>
    <row r="1970">
      <c r="A1970" s="11">
        <f>IF('Data Entry'!A1970="","",'Data Entry'!A1970)</f>
        <v/>
      </c>
      <c r="B1970" s="12">
        <f>IF('Data Entry'!A1970="","",'Data Entry'!B1970)</f>
        <v/>
      </c>
      <c r="C1970" s="12">
        <f>IF('Data Entry'!A1970="","",'Data Entry'!C1970)</f>
        <v/>
      </c>
      <c r="D1970" s="12">
        <f>IF('Data Entry'!A1970="","",'Data Entry'!D1970)</f>
        <v/>
      </c>
      <c r="E1970" s="12">
        <f>IF('Data Entry'!A1970="","",'Data Entry'!E1970)</f>
        <v/>
      </c>
      <c r="F1970" s="12">
        <f>IF('Data Entry'!A1970="","",'Data Entry'!F1970)</f>
        <v/>
      </c>
      <c r="G1970" s="13">
        <f>IF('Data Entry'!A1970="","",'Data Entry'!G1970)</f>
        <v/>
      </c>
      <c r="H1970" s="10">
        <f>IF('Data Entry'!A1970="","",'Data Entry'!H1970)</f>
        <v/>
      </c>
      <c r="I1970" s="10">
        <f>IF('Data Entry'!A1970="","",'Data Entry'!I1970)</f>
        <v/>
      </c>
      <c r="J1970" s="12">
        <f>IF('Data Entry'!A1970="","",IF('Data Entry'!D1970&lt;&gt;"",'Data Entry'!D1970,'Data Entry'!E1970))</f>
        <v/>
      </c>
      <c r="K1970" s="10">
        <f>IF('Data Entry'!A1970="","",IFERROR(SUMIFS($H$5:$H$2001,$J$5:$J$2001,$J1970,$B$5:$B$2001,$B1970,$A$5:$A$2001,(MAXIFS($A$5:$A$2001,$J$5:$J$2001,$J1970,$B$5:$B$2001,$B1970,$A$5:$A$2001,"&lt;"&amp;$A1970))),""))</f>
        <v/>
      </c>
      <c r="L1970" s="14">
        <f>IF(OR('Data Entry'!A1970="",$K1970=""),"",$H1970-$K1970)</f>
        <v/>
      </c>
      <c r="M1970" s="15">
        <f>IF(OR('Data Entry'!A1970="",$K1970="",$K1970=0),"",$L1970/$K1970)</f>
        <v/>
      </c>
      <c r="N1970" s="12">
        <f>IF('Data Entry'!A1970="","",IF($L1970="","New item",IF($L1970&gt;0,"UP",IF($L1970&lt;0,"down","same"))))</f>
        <v/>
      </c>
    </row>
    <row r="1971">
      <c r="A1971" s="11">
        <f>IF('Data Entry'!A1971="","",'Data Entry'!A1971)</f>
        <v/>
      </c>
      <c r="B1971" s="12">
        <f>IF('Data Entry'!A1971="","",'Data Entry'!B1971)</f>
        <v/>
      </c>
      <c r="C1971" s="12">
        <f>IF('Data Entry'!A1971="","",'Data Entry'!C1971)</f>
        <v/>
      </c>
      <c r="D1971" s="12">
        <f>IF('Data Entry'!A1971="","",'Data Entry'!D1971)</f>
        <v/>
      </c>
      <c r="E1971" s="12">
        <f>IF('Data Entry'!A1971="","",'Data Entry'!E1971)</f>
        <v/>
      </c>
      <c r="F1971" s="12">
        <f>IF('Data Entry'!A1971="","",'Data Entry'!F1971)</f>
        <v/>
      </c>
      <c r="G1971" s="13">
        <f>IF('Data Entry'!A1971="","",'Data Entry'!G1971)</f>
        <v/>
      </c>
      <c r="H1971" s="10">
        <f>IF('Data Entry'!A1971="","",'Data Entry'!H1971)</f>
        <v/>
      </c>
      <c r="I1971" s="10">
        <f>IF('Data Entry'!A1971="","",'Data Entry'!I1971)</f>
        <v/>
      </c>
      <c r="J1971" s="12">
        <f>IF('Data Entry'!A1971="","",IF('Data Entry'!D1971&lt;&gt;"",'Data Entry'!D1971,'Data Entry'!E1971))</f>
        <v/>
      </c>
      <c r="K1971" s="10">
        <f>IF('Data Entry'!A1971="","",IFERROR(SUMIFS($H$5:$H$2001,$J$5:$J$2001,$J1971,$B$5:$B$2001,$B1971,$A$5:$A$2001,(MAXIFS($A$5:$A$2001,$J$5:$J$2001,$J1971,$B$5:$B$2001,$B1971,$A$5:$A$2001,"&lt;"&amp;$A1971))),""))</f>
        <v/>
      </c>
      <c r="L1971" s="14">
        <f>IF(OR('Data Entry'!A1971="",$K1971=""),"",$H1971-$K1971)</f>
        <v/>
      </c>
      <c r="M1971" s="15">
        <f>IF(OR('Data Entry'!A1971="",$K1971="",$K1971=0),"",$L1971/$K1971)</f>
        <v/>
      </c>
      <c r="N1971" s="12">
        <f>IF('Data Entry'!A1971="","",IF($L1971="","New item",IF($L1971&gt;0,"UP",IF($L1971&lt;0,"down","same"))))</f>
        <v/>
      </c>
    </row>
    <row r="1972">
      <c r="A1972" s="11">
        <f>IF('Data Entry'!A1972="","",'Data Entry'!A1972)</f>
        <v/>
      </c>
      <c r="B1972" s="12">
        <f>IF('Data Entry'!A1972="","",'Data Entry'!B1972)</f>
        <v/>
      </c>
      <c r="C1972" s="12">
        <f>IF('Data Entry'!A1972="","",'Data Entry'!C1972)</f>
        <v/>
      </c>
      <c r="D1972" s="12">
        <f>IF('Data Entry'!A1972="","",'Data Entry'!D1972)</f>
        <v/>
      </c>
      <c r="E1972" s="12">
        <f>IF('Data Entry'!A1972="","",'Data Entry'!E1972)</f>
        <v/>
      </c>
      <c r="F1972" s="12">
        <f>IF('Data Entry'!A1972="","",'Data Entry'!F1972)</f>
        <v/>
      </c>
      <c r="G1972" s="13">
        <f>IF('Data Entry'!A1972="","",'Data Entry'!G1972)</f>
        <v/>
      </c>
      <c r="H1972" s="10">
        <f>IF('Data Entry'!A1972="","",'Data Entry'!H1972)</f>
        <v/>
      </c>
      <c r="I1972" s="10">
        <f>IF('Data Entry'!A1972="","",'Data Entry'!I1972)</f>
        <v/>
      </c>
      <c r="J1972" s="12">
        <f>IF('Data Entry'!A1972="","",IF('Data Entry'!D1972&lt;&gt;"",'Data Entry'!D1972,'Data Entry'!E1972))</f>
        <v/>
      </c>
      <c r="K1972" s="10">
        <f>IF('Data Entry'!A1972="","",IFERROR(SUMIFS($H$5:$H$2001,$J$5:$J$2001,$J1972,$B$5:$B$2001,$B1972,$A$5:$A$2001,(MAXIFS($A$5:$A$2001,$J$5:$J$2001,$J1972,$B$5:$B$2001,$B1972,$A$5:$A$2001,"&lt;"&amp;$A1972))),""))</f>
        <v/>
      </c>
      <c r="L1972" s="14">
        <f>IF(OR('Data Entry'!A1972="",$K1972=""),"",$H1972-$K1972)</f>
        <v/>
      </c>
      <c r="M1972" s="15">
        <f>IF(OR('Data Entry'!A1972="",$K1972="",$K1972=0),"",$L1972/$K1972)</f>
        <v/>
      </c>
      <c r="N1972" s="12">
        <f>IF('Data Entry'!A1972="","",IF($L1972="","New item",IF($L1972&gt;0,"UP",IF($L1972&lt;0,"down","same"))))</f>
        <v/>
      </c>
    </row>
    <row r="1973">
      <c r="A1973" s="11">
        <f>IF('Data Entry'!A1973="","",'Data Entry'!A1973)</f>
        <v/>
      </c>
      <c r="B1973" s="12">
        <f>IF('Data Entry'!A1973="","",'Data Entry'!B1973)</f>
        <v/>
      </c>
      <c r="C1973" s="12">
        <f>IF('Data Entry'!A1973="","",'Data Entry'!C1973)</f>
        <v/>
      </c>
      <c r="D1973" s="12">
        <f>IF('Data Entry'!A1973="","",'Data Entry'!D1973)</f>
        <v/>
      </c>
      <c r="E1973" s="12">
        <f>IF('Data Entry'!A1973="","",'Data Entry'!E1973)</f>
        <v/>
      </c>
      <c r="F1973" s="12">
        <f>IF('Data Entry'!A1973="","",'Data Entry'!F1973)</f>
        <v/>
      </c>
      <c r="G1973" s="13">
        <f>IF('Data Entry'!A1973="","",'Data Entry'!G1973)</f>
        <v/>
      </c>
      <c r="H1973" s="10">
        <f>IF('Data Entry'!A1973="","",'Data Entry'!H1973)</f>
        <v/>
      </c>
      <c r="I1973" s="10">
        <f>IF('Data Entry'!A1973="","",'Data Entry'!I1973)</f>
        <v/>
      </c>
      <c r="J1973" s="12">
        <f>IF('Data Entry'!A1973="","",IF('Data Entry'!D1973&lt;&gt;"",'Data Entry'!D1973,'Data Entry'!E1973))</f>
        <v/>
      </c>
      <c r="K1973" s="10">
        <f>IF('Data Entry'!A1973="","",IFERROR(SUMIFS($H$5:$H$2001,$J$5:$J$2001,$J1973,$B$5:$B$2001,$B1973,$A$5:$A$2001,(MAXIFS($A$5:$A$2001,$J$5:$J$2001,$J1973,$B$5:$B$2001,$B1973,$A$5:$A$2001,"&lt;"&amp;$A1973))),""))</f>
        <v/>
      </c>
      <c r="L1973" s="14">
        <f>IF(OR('Data Entry'!A1973="",$K1973=""),"",$H1973-$K1973)</f>
        <v/>
      </c>
      <c r="M1973" s="15">
        <f>IF(OR('Data Entry'!A1973="",$K1973="",$K1973=0),"",$L1973/$K1973)</f>
        <v/>
      </c>
      <c r="N1973" s="12">
        <f>IF('Data Entry'!A1973="","",IF($L1973="","New item",IF($L1973&gt;0,"UP",IF($L1973&lt;0,"down","same"))))</f>
        <v/>
      </c>
    </row>
    <row r="1974">
      <c r="A1974" s="11">
        <f>IF('Data Entry'!A1974="","",'Data Entry'!A1974)</f>
        <v/>
      </c>
      <c r="B1974" s="12">
        <f>IF('Data Entry'!A1974="","",'Data Entry'!B1974)</f>
        <v/>
      </c>
      <c r="C1974" s="12">
        <f>IF('Data Entry'!A1974="","",'Data Entry'!C1974)</f>
        <v/>
      </c>
      <c r="D1974" s="12">
        <f>IF('Data Entry'!A1974="","",'Data Entry'!D1974)</f>
        <v/>
      </c>
      <c r="E1974" s="12">
        <f>IF('Data Entry'!A1974="","",'Data Entry'!E1974)</f>
        <v/>
      </c>
      <c r="F1974" s="12">
        <f>IF('Data Entry'!A1974="","",'Data Entry'!F1974)</f>
        <v/>
      </c>
      <c r="G1974" s="13">
        <f>IF('Data Entry'!A1974="","",'Data Entry'!G1974)</f>
        <v/>
      </c>
      <c r="H1974" s="10">
        <f>IF('Data Entry'!A1974="","",'Data Entry'!H1974)</f>
        <v/>
      </c>
      <c r="I1974" s="10">
        <f>IF('Data Entry'!A1974="","",'Data Entry'!I1974)</f>
        <v/>
      </c>
      <c r="J1974" s="12">
        <f>IF('Data Entry'!A1974="","",IF('Data Entry'!D1974&lt;&gt;"",'Data Entry'!D1974,'Data Entry'!E1974))</f>
        <v/>
      </c>
      <c r="K1974" s="10">
        <f>IF('Data Entry'!A1974="","",IFERROR(SUMIFS($H$5:$H$2001,$J$5:$J$2001,$J1974,$B$5:$B$2001,$B1974,$A$5:$A$2001,(MAXIFS($A$5:$A$2001,$J$5:$J$2001,$J1974,$B$5:$B$2001,$B1974,$A$5:$A$2001,"&lt;"&amp;$A1974))),""))</f>
        <v/>
      </c>
      <c r="L1974" s="14">
        <f>IF(OR('Data Entry'!A1974="",$K1974=""),"",$H1974-$K1974)</f>
        <v/>
      </c>
      <c r="M1974" s="15">
        <f>IF(OR('Data Entry'!A1974="",$K1974="",$K1974=0),"",$L1974/$K1974)</f>
        <v/>
      </c>
      <c r="N1974" s="12">
        <f>IF('Data Entry'!A1974="","",IF($L1974="","New item",IF($L1974&gt;0,"UP",IF($L1974&lt;0,"down","same"))))</f>
        <v/>
      </c>
    </row>
    <row r="1975">
      <c r="A1975" s="11">
        <f>IF('Data Entry'!A1975="","",'Data Entry'!A1975)</f>
        <v/>
      </c>
      <c r="B1975" s="12">
        <f>IF('Data Entry'!A1975="","",'Data Entry'!B1975)</f>
        <v/>
      </c>
      <c r="C1975" s="12">
        <f>IF('Data Entry'!A1975="","",'Data Entry'!C1975)</f>
        <v/>
      </c>
      <c r="D1975" s="12">
        <f>IF('Data Entry'!A1975="","",'Data Entry'!D1975)</f>
        <v/>
      </c>
      <c r="E1975" s="12">
        <f>IF('Data Entry'!A1975="","",'Data Entry'!E1975)</f>
        <v/>
      </c>
      <c r="F1975" s="12">
        <f>IF('Data Entry'!A1975="","",'Data Entry'!F1975)</f>
        <v/>
      </c>
      <c r="G1975" s="13">
        <f>IF('Data Entry'!A1975="","",'Data Entry'!G1975)</f>
        <v/>
      </c>
      <c r="H1975" s="10">
        <f>IF('Data Entry'!A1975="","",'Data Entry'!H1975)</f>
        <v/>
      </c>
      <c r="I1975" s="10">
        <f>IF('Data Entry'!A1975="","",'Data Entry'!I1975)</f>
        <v/>
      </c>
      <c r="J1975" s="12">
        <f>IF('Data Entry'!A1975="","",IF('Data Entry'!D1975&lt;&gt;"",'Data Entry'!D1975,'Data Entry'!E1975))</f>
        <v/>
      </c>
      <c r="K1975" s="10">
        <f>IF('Data Entry'!A1975="","",IFERROR(SUMIFS($H$5:$H$2001,$J$5:$J$2001,$J1975,$B$5:$B$2001,$B1975,$A$5:$A$2001,(MAXIFS($A$5:$A$2001,$J$5:$J$2001,$J1975,$B$5:$B$2001,$B1975,$A$5:$A$2001,"&lt;"&amp;$A1975))),""))</f>
        <v/>
      </c>
      <c r="L1975" s="14">
        <f>IF(OR('Data Entry'!A1975="",$K1975=""),"",$H1975-$K1975)</f>
        <v/>
      </c>
      <c r="M1975" s="15">
        <f>IF(OR('Data Entry'!A1975="",$K1975="",$K1975=0),"",$L1975/$K1975)</f>
        <v/>
      </c>
      <c r="N1975" s="12">
        <f>IF('Data Entry'!A1975="","",IF($L1975="","New item",IF($L1975&gt;0,"UP",IF($L1975&lt;0,"down","same"))))</f>
        <v/>
      </c>
    </row>
    <row r="1976">
      <c r="A1976" s="11">
        <f>IF('Data Entry'!A1976="","",'Data Entry'!A1976)</f>
        <v/>
      </c>
      <c r="B1976" s="12">
        <f>IF('Data Entry'!A1976="","",'Data Entry'!B1976)</f>
        <v/>
      </c>
      <c r="C1976" s="12">
        <f>IF('Data Entry'!A1976="","",'Data Entry'!C1976)</f>
        <v/>
      </c>
      <c r="D1976" s="12">
        <f>IF('Data Entry'!A1976="","",'Data Entry'!D1976)</f>
        <v/>
      </c>
      <c r="E1976" s="12">
        <f>IF('Data Entry'!A1976="","",'Data Entry'!E1976)</f>
        <v/>
      </c>
      <c r="F1976" s="12">
        <f>IF('Data Entry'!A1976="","",'Data Entry'!F1976)</f>
        <v/>
      </c>
      <c r="G1976" s="13">
        <f>IF('Data Entry'!A1976="","",'Data Entry'!G1976)</f>
        <v/>
      </c>
      <c r="H1976" s="10">
        <f>IF('Data Entry'!A1976="","",'Data Entry'!H1976)</f>
        <v/>
      </c>
      <c r="I1976" s="10">
        <f>IF('Data Entry'!A1976="","",'Data Entry'!I1976)</f>
        <v/>
      </c>
      <c r="J1976" s="12">
        <f>IF('Data Entry'!A1976="","",IF('Data Entry'!D1976&lt;&gt;"",'Data Entry'!D1976,'Data Entry'!E1976))</f>
        <v/>
      </c>
      <c r="K1976" s="10">
        <f>IF('Data Entry'!A1976="","",IFERROR(SUMIFS($H$5:$H$2001,$J$5:$J$2001,$J1976,$B$5:$B$2001,$B1976,$A$5:$A$2001,(MAXIFS($A$5:$A$2001,$J$5:$J$2001,$J1976,$B$5:$B$2001,$B1976,$A$5:$A$2001,"&lt;"&amp;$A1976))),""))</f>
        <v/>
      </c>
      <c r="L1976" s="14">
        <f>IF(OR('Data Entry'!A1976="",$K1976=""),"",$H1976-$K1976)</f>
        <v/>
      </c>
      <c r="M1976" s="15">
        <f>IF(OR('Data Entry'!A1976="",$K1976="",$K1976=0),"",$L1976/$K1976)</f>
        <v/>
      </c>
      <c r="N1976" s="12">
        <f>IF('Data Entry'!A1976="","",IF($L1976="","New item",IF($L1976&gt;0,"UP",IF($L1976&lt;0,"down","same"))))</f>
        <v/>
      </c>
    </row>
    <row r="1977">
      <c r="A1977" s="11">
        <f>IF('Data Entry'!A1977="","",'Data Entry'!A1977)</f>
        <v/>
      </c>
      <c r="B1977" s="12">
        <f>IF('Data Entry'!A1977="","",'Data Entry'!B1977)</f>
        <v/>
      </c>
      <c r="C1977" s="12">
        <f>IF('Data Entry'!A1977="","",'Data Entry'!C1977)</f>
        <v/>
      </c>
      <c r="D1977" s="12">
        <f>IF('Data Entry'!A1977="","",'Data Entry'!D1977)</f>
        <v/>
      </c>
      <c r="E1977" s="12">
        <f>IF('Data Entry'!A1977="","",'Data Entry'!E1977)</f>
        <v/>
      </c>
      <c r="F1977" s="12">
        <f>IF('Data Entry'!A1977="","",'Data Entry'!F1977)</f>
        <v/>
      </c>
      <c r="G1977" s="13">
        <f>IF('Data Entry'!A1977="","",'Data Entry'!G1977)</f>
        <v/>
      </c>
      <c r="H1977" s="10">
        <f>IF('Data Entry'!A1977="","",'Data Entry'!H1977)</f>
        <v/>
      </c>
      <c r="I1977" s="10">
        <f>IF('Data Entry'!A1977="","",'Data Entry'!I1977)</f>
        <v/>
      </c>
      <c r="J1977" s="12">
        <f>IF('Data Entry'!A1977="","",IF('Data Entry'!D1977&lt;&gt;"",'Data Entry'!D1977,'Data Entry'!E1977))</f>
        <v/>
      </c>
      <c r="K1977" s="10">
        <f>IF('Data Entry'!A1977="","",IFERROR(SUMIFS($H$5:$H$2001,$J$5:$J$2001,$J1977,$B$5:$B$2001,$B1977,$A$5:$A$2001,(MAXIFS($A$5:$A$2001,$J$5:$J$2001,$J1977,$B$5:$B$2001,$B1977,$A$5:$A$2001,"&lt;"&amp;$A1977))),""))</f>
        <v/>
      </c>
      <c r="L1977" s="14">
        <f>IF(OR('Data Entry'!A1977="",$K1977=""),"",$H1977-$K1977)</f>
        <v/>
      </c>
      <c r="M1977" s="15">
        <f>IF(OR('Data Entry'!A1977="",$K1977="",$K1977=0),"",$L1977/$K1977)</f>
        <v/>
      </c>
      <c r="N1977" s="12">
        <f>IF('Data Entry'!A1977="","",IF($L1977="","New item",IF($L1977&gt;0,"UP",IF($L1977&lt;0,"down","same"))))</f>
        <v/>
      </c>
    </row>
    <row r="1978">
      <c r="A1978" s="11">
        <f>IF('Data Entry'!A1978="","",'Data Entry'!A1978)</f>
        <v/>
      </c>
      <c r="B1978" s="12">
        <f>IF('Data Entry'!A1978="","",'Data Entry'!B1978)</f>
        <v/>
      </c>
      <c r="C1978" s="12">
        <f>IF('Data Entry'!A1978="","",'Data Entry'!C1978)</f>
        <v/>
      </c>
      <c r="D1978" s="12">
        <f>IF('Data Entry'!A1978="","",'Data Entry'!D1978)</f>
        <v/>
      </c>
      <c r="E1978" s="12">
        <f>IF('Data Entry'!A1978="","",'Data Entry'!E1978)</f>
        <v/>
      </c>
      <c r="F1978" s="12">
        <f>IF('Data Entry'!A1978="","",'Data Entry'!F1978)</f>
        <v/>
      </c>
      <c r="G1978" s="13">
        <f>IF('Data Entry'!A1978="","",'Data Entry'!G1978)</f>
        <v/>
      </c>
      <c r="H1978" s="10">
        <f>IF('Data Entry'!A1978="","",'Data Entry'!H1978)</f>
        <v/>
      </c>
      <c r="I1978" s="10">
        <f>IF('Data Entry'!A1978="","",'Data Entry'!I1978)</f>
        <v/>
      </c>
      <c r="J1978" s="12">
        <f>IF('Data Entry'!A1978="","",IF('Data Entry'!D1978&lt;&gt;"",'Data Entry'!D1978,'Data Entry'!E1978))</f>
        <v/>
      </c>
      <c r="K1978" s="10">
        <f>IF('Data Entry'!A1978="","",IFERROR(SUMIFS($H$5:$H$2001,$J$5:$J$2001,$J1978,$B$5:$B$2001,$B1978,$A$5:$A$2001,(MAXIFS($A$5:$A$2001,$J$5:$J$2001,$J1978,$B$5:$B$2001,$B1978,$A$5:$A$2001,"&lt;"&amp;$A1978))),""))</f>
        <v/>
      </c>
      <c r="L1978" s="14">
        <f>IF(OR('Data Entry'!A1978="",$K1978=""),"",$H1978-$K1978)</f>
        <v/>
      </c>
      <c r="M1978" s="15">
        <f>IF(OR('Data Entry'!A1978="",$K1978="",$K1978=0),"",$L1978/$K1978)</f>
        <v/>
      </c>
      <c r="N1978" s="12">
        <f>IF('Data Entry'!A1978="","",IF($L1978="","New item",IF($L1978&gt;0,"UP",IF($L1978&lt;0,"down","same"))))</f>
        <v/>
      </c>
    </row>
    <row r="1979">
      <c r="A1979" s="11">
        <f>IF('Data Entry'!A1979="","",'Data Entry'!A1979)</f>
        <v/>
      </c>
      <c r="B1979" s="12">
        <f>IF('Data Entry'!A1979="","",'Data Entry'!B1979)</f>
        <v/>
      </c>
      <c r="C1979" s="12">
        <f>IF('Data Entry'!A1979="","",'Data Entry'!C1979)</f>
        <v/>
      </c>
      <c r="D1979" s="12">
        <f>IF('Data Entry'!A1979="","",'Data Entry'!D1979)</f>
        <v/>
      </c>
      <c r="E1979" s="12">
        <f>IF('Data Entry'!A1979="","",'Data Entry'!E1979)</f>
        <v/>
      </c>
      <c r="F1979" s="12">
        <f>IF('Data Entry'!A1979="","",'Data Entry'!F1979)</f>
        <v/>
      </c>
      <c r="G1979" s="13">
        <f>IF('Data Entry'!A1979="","",'Data Entry'!G1979)</f>
        <v/>
      </c>
      <c r="H1979" s="10">
        <f>IF('Data Entry'!A1979="","",'Data Entry'!H1979)</f>
        <v/>
      </c>
      <c r="I1979" s="10">
        <f>IF('Data Entry'!A1979="","",'Data Entry'!I1979)</f>
        <v/>
      </c>
      <c r="J1979" s="12">
        <f>IF('Data Entry'!A1979="","",IF('Data Entry'!D1979&lt;&gt;"",'Data Entry'!D1979,'Data Entry'!E1979))</f>
        <v/>
      </c>
      <c r="K1979" s="10">
        <f>IF('Data Entry'!A1979="","",IFERROR(SUMIFS($H$5:$H$2001,$J$5:$J$2001,$J1979,$B$5:$B$2001,$B1979,$A$5:$A$2001,(MAXIFS($A$5:$A$2001,$J$5:$J$2001,$J1979,$B$5:$B$2001,$B1979,$A$5:$A$2001,"&lt;"&amp;$A1979))),""))</f>
        <v/>
      </c>
      <c r="L1979" s="14">
        <f>IF(OR('Data Entry'!A1979="",$K1979=""),"",$H1979-$K1979)</f>
        <v/>
      </c>
      <c r="M1979" s="15">
        <f>IF(OR('Data Entry'!A1979="",$K1979="",$K1979=0),"",$L1979/$K1979)</f>
        <v/>
      </c>
      <c r="N1979" s="12">
        <f>IF('Data Entry'!A1979="","",IF($L1979="","New item",IF($L1979&gt;0,"UP",IF($L1979&lt;0,"down","same"))))</f>
        <v/>
      </c>
    </row>
    <row r="1980">
      <c r="A1980" s="11">
        <f>IF('Data Entry'!A1980="","",'Data Entry'!A1980)</f>
        <v/>
      </c>
      <c r="B1980" s="12">
        <f>IF('Data Entry'!A1980="","",'Data Entry'!B1980)</f>
        <v/>
      </c>
      <c r="C1980" s="12">
        <f>IF('Data Entry'!A1980="","",'Data Entry'!C1980)</f>
        <v/>
      </c>
      <c r="D1980" s="12">
        <f>IF('Data Entry'!A1980="","",'Data Entry'!D1980)</f>
        <v/>
      </c>
      <c r="E1980" s="12">
        <f>IF('Data Entry'!A1980="","",'Data Entry'!E1980)</f>
        <v/>
      </c>
      <c r="F1980" s="12">
        <f>IF('Data Entry'!A1980="","",'Data Entry'!F1980)</f>
        <v/>
      </c>
      <c r="G1980" s="13">
        <f>IF('Data Entry'!A1980="","",'Data Entry'!G1980)</f>
        <v/>
      </c>
      <c r="H1980" s="10">
        <f>IF('Data Entry'!A1980="","",'Data Entry'!H1980)</f>
        <v/>
      </c>
      <c r="I1980" s="10">
        <f>IF('Data Entry'!A1980="","",'Data Entry'!I1980)</f>
        <v/>
      </c>
      <c r="J1980" s="12">
        <f>IF('Data Entry'!A1980="","",IF('Data Entry'!D1980&lt;&gt;"",'Data Entry'!D1980,'Data Entry'!E1980))</f>
        <v/>
      </c>
      <c r="K1980" s="10">
        <f>IF('Data Entry'!A1980="","",IFERROR(SUMIFS($H$5:$H$2001,$J$5:$J$2001,$J1980,$B$5:$B$2001,$B1980,$A$5:$A$2001,(MAXIFS($A$5:$A$2001,$J$5:$J$2001,$J1980,$B$5:$B$2001,$B1980,$A$5:$A$2001,"&lt;"&amp;$A1980))),""))</f>
        <v/>
      </c>
      <c r="L1980" s="14">
        <f>IF(OR('Data Entry'!A1980="",$K1980=""),"",$H1980-$K1980)</f>
        <v/>
      </c>
      <c r="M1980" s="15">
        <f>IF(OR('Data Entry'!A1980="",$K1980="",$K1980=0),"",$L1980/$K1980)</f>
        <v/>
      </c>
      <c r="N1980" s="12">
        <f>IF('Data Entry'!A1980="","",IF($L1980="","New item",IF($L1980&gt;0,"UP",IF($L1980&lt;0,"down","same"))))</f>
        <v/>
      </c>
    </row>
    <row r="1981">
      <c r="A1981" s="11">
        <f>IF('Data Entry'!A1981="","",'Data Entry'!A1981)</f>
        <v/>
      </c>
      <c r="B1981" s="12">
        <f>IF('Data Entry'!A1981="","",'Data Entry'!B1981)</f>
        <v/>
      </c>
      <c r="C1981" s="12">
        <f>IF('Data Entry'!A1981="","",'Data Entry'!C1981)</f>
        <v/>
      </c>
      <c r="D1981" s="12">
        <f>IF('Data Entry'!A1981="","",'Data Entry'!D1981)</f>
        <v/>
      </c>
      <c r="E1981" s="12">
        <f>IF('Data Entry'!A1981="","",'Data Entry'!E1981)</f>
        <v/>
      </c>
      <c r="F1981" s="12">
        <f>IF('Data Entry'!A1981="","",'Data Entry'!F1981)</f>
        <v/>
      </c>
      <c r="G1981" s="13">
        <f>IF('Data Entry'!A1981="","",'Data Entry'!G1981)</f>
        <v/>
      </c>
      <c r="H1981" s="10">
        <f>IF('Data Entry'!A1981="","",'Data Entry'!H1981)</f>
        <v/>
      </c>
      <c r="I1981" s="10">
        <f>IF('Data Entry'!A1981="","",'Data Entry'!I1981)</f>
        <v/>
      </c>
      <c r="J1981" s="12">
        <f>IF('Data Entry'!A1981="","",IF('Data Entry'!D1981&lt;&gt;"",'Data Entry'!D1981,'Data Entry'!E1981))</f>
        <v/>
      </c>
      <c r="K1981" s="10">
        <f>IF('Data Entry'!A1981="","",IFERROR(SUMIFS($H$5:$H$2001,$J$5:$J$2001,$J1981,$B$5:$B$2001,$B1981,$A$5:$A$2001,(MAXIFS($A$5:$A$2001,$J$5:$J$2001,$J1981,$B$5:$B$2001,$B1981,$A$5:$A$2001,"&lt;"&amp;$A1981))),""))</f>
        <v/>
      </c>
      <c r="L1981" s="14">
        <f>IF(OR('Data Entry'!A1981="",$K1981=""),"",$H1981-$K1981)</f>
        <v/>
      </c>
      <c r="M1981" s="15">
        <f>IF(OR('Data Entry'!A1981="",$K1981="",$K1981=0),"",$L1981/$K1981)</f>
        <v/>
      </c>
      <c r="N1981" s="12">
        <f>IF('Data Entry'!A1981="","",IF($L1981="","New item",IF($L1981&gt;0,"UP",IF($L1981&lt;0,"down","same"))))</f>
        <v/>
      </c>
    </row>
    <row r="1982">
      <c r="A1982" s="11">
        <f>IF('Data Entry'!A1982="","",'Data Entry'!A1982)</f>
        <v/>
      </c>
      <c r="B1982" s="12">
        <f>IF('Data Entry'!A1982="","",'Data Entry'!B1982)</f>
        <v/>
      </c>
      <c r="C1982" s="12">
        <f>IF('Data Entry'!A1982="","",'Data Entry'!C1982)</f>
        <v/>
      </c>
      <c r="D1982" s="12">
        <f>IF('Data Entry'!A1982="","",'Data Entry'!D1982)</f>
        <v/>
      </c>
      <c r="E1982" s="12">
        <f>IF('Data Entry'!A1982="","",'Data Entry'!E1982)</f>
        <v/>
      </c>
      <c r="F1982" s="12">
        <f>IF('Data Entry'!A1982="","",'Data Entry'!F1982)</f>
        <v/>
      </c>
      <c r="G1982" s="13">
        <f>IF('Data Entry'!A1982="","",'Data Entry'!G1982)</f>
        <v/>
      </c>
      <c r="H1982" s="10">
        <f>IF('Data Entry'!A1982="","",'Data Entry'!H1982)</f>
        <v/>
      </c>
      <c r="I1982" s="10">
        <f>IF('Data Entry'!A1982="","",'Data Entry'!I1982)</f>
        <v/>
      </c>
      <c r="J1982" s="12">
        <f>IF('Data Entry'!A1982="","",IF('Data Entry'!D1982&lt;&gt;"",'Data Entry'!D1982,'Data Entry'!E1982))</f>
        <v/>
      </c>
      <c r="K1982" s="10">
        <f>IF('Data Entry'!A1982="","",IFERROR(SUMIFS($H$5:$H$2001,$J$5:$J$2001,$J1982,$B$5:$B$2001,$B1982,$A$5:$A$2001,(MAXIFS($A$5:$A$2001,$J$5:$J$2001,$J1982,$B$5:$B$2001,$B1982,$A$5:$A$2001,"&lt;"&amp;$A1982))),""))</f>
        <v/>
      </c>
      <c r="L1982" s="14">
        <f>IF(OR('Data Entry'!A1982="",$K1982=""),"",$H1982-$K1982)</f>
        <v/>
      </c>
      <c r="M1982" s="15">
        <f>IF(OR('Data Entry'!A1982="",$K1982="",$K1982=0),"",$L1982/$K1982)</f>
        <v/>
      </c>
      <c r="N1982" s="12">
        <f>IF('Data Entry'!A1982="","",IF($L1982="","New item",IF($L1982&gt;0,"UP",IF($L1982&lt;0,"down","same"))))</f>
        <v/>
      </c>
    </row>
    <row r="1983">
      <c r="A1983" s="11">
        <f>IF('Data Entry'!A1983="","",'Data Entry'!A1983)</f>
        <v/>
      </c>
      <c r="B1983" s="12">
        <f>IF('Data Entry'!A1983="","",'Data Entry'!B1983)</f>
        <v/>
      </c>
      <c r="C1983" s="12">
        <f>IF('Data Entry'!A1983="","",'Data Entry'!C1983)</f>
        <v/>
      </c>
      <c r="D1983" s="12">
        <f>IF('Data Entry'!A1983="","",'Data Entry'!D1983)</f>
        <v/>
      </c>
      <c r="E1983" s="12">
        <f>IF('Data Entry'!A1983="","",'Data Entry'!E1983)</f>
        <v/>
      </c>
      <c r="F1983" s="12">
        <f>IF('Data Entry'!A1983="","",'Data Entry'!F1983)</f>
        <v/>
      </c>
      <c r="G1983" s="13">
        <f>IF('Data Entry'!A1983="","",'Data Entry'!G1983)</f>
        <v/>
      </c>
      <c r="H1983" s="10">
        <f>IF('Data Entry'!A1983="","",'Data Entry'!H1983)</f>
        <v/>
      </c>
      <c r="I1983" s="10">
        <f>IF('Data Entry'!A1983="","",'Data Entry'!I1983)</f>
        <v/>
      </c>
      <c r="J1983" s="12">
        <f>IF('Data Entry'!A1983="","",IF('Data Entry'!D1983&lt;&gt;"",'Data Entry'!D1983,'Data Entry'!E1983))</f>
        <v/>
      </c>
      <c r="K1983" s="10">
        <f>IF('Data Entry'!A1983="","",IFERROR(SUMIFS($H$5:$H$2001,$J$5:$J$2001,$J1983,$B$5:$B$2001,$B1983,$A$5:$A$2001,(MAXIFS($A$5:$A$2001,$J$5:$J$2001,$J1983,$B$5:$B$2001,$B1983,$A$5:$A$2001,"&lt;"&amp;$A1983))),""))</f>
        <v/>
      </c>
      <c r="L1983" s="14">
        <f>IF(OR('Data Entry'!A1983="",$K1983=""),"",$H1983-$K1983)</f>
        <v/>
      </c>
      <c r="M1983" s="15">
        <f>IF(OR('Data Entry'!A1983="",$K1983="",$K1983=0),"",$L1983/$K1983)</f>
        <v/>
      </c>
      <c r="N1983" s="12">
        <f>IF('Data Entry'!A1983="","",IF($L1983="","New item",IF($L1983&gt;0,"UP",IF($L1983&lt;0,"down","same"))))</f>
        <v/>
      </c>
    </row>
    <row r="1984">
      <c r="A1984" s="11">
        <f>IF('Data Entry'!A1984="","",'Data Entry'!A1984)</f>
        <v/>
      </c>
      <c r="B1984" s="12">
        <f>IF('Data Entry'!A1984="","",'Data Entry'!B1984)</f>
        <v/>
      </c>
      <c r="C1984" s="12">
        <f>IF('Data Entry'!A1984="","",'Data Entry'!C1984)</f>
        <v/>
      </c>
      <c r="D1984" s="12">
        <f>IF('Data Entry'!A1984="","",'Data Entry'!D1984)</f>
        <v/>
      </c>
      <c r="E1984" s="12">
        <f>IF('Data Entry'!A1984="","",'Data Entry'!E1984)</f>
        <v/>
      </c>
      <c r="F1984" s="12">
        <f>IF('Data Entry'!A1984="","",'Data Entry'!F1984)</f>
        <v/>
      </c>
      <c r="G1984" s="13">
        <f>IF('Data Entry'!A1984="","",'Data Entry'!G1984)</f>
        <v/>
      </c>
      <c r="H1984" s="10">
        <f>IF('Data Entry'!A1984="","",'Data Entry'!H1984)</f>
        <v/>
      </c>
      <c r="I1984" s="10">
        <f>IF('Data Entry'!A1984="","",'Data Entry'!I1984)</f>
        <v/>
      </c>
      <c r="J1984" s="12">
        <f>IF('Data Entry'!A1984="","",IF('Data Entry'!D1984&lt;&gt;"",'Data Entry'!D1984,'Data Entry'!E1984))</f>
        <v/>
      </c>
      <c r="K1984" s="10">
        <f>IF('Data Entry'!A1984="","",IFERROR(SUMIFS($H$5:$H$2001,$J$5:$J$2001,$J1984,$B$5:$B$2001,$B1984,$A$5:$A$2001,(MAXIFS($A$5:$A$2001,$J$5:$J$2001,$J1984,$B$5:$B$2001,$B1984,$A$5:$A$2001,"&lt;"&amp;$A1984))),""))</f>
        <v/>
      </c>
      <c r="L1984" s="14">
        <f>IF(OR('Data Entry'!A1984="",$K1984=""),"",$H1984-$K1984)</f>
        <v/>
      </c>
      <c r="M1984" s="15">
        <f>IF(OR('Data Entry'!A1984="",$K1984="",$K1984=0),"",$L1984/$K1984)</f>
        <v/>
      </c>
      <c r="N1984" s="12">
        <f>IF('Data Entry'!A1984="","",IF($L1984="","New item",IF($L1984&gt;0,"UP",IF($L1984&lt;0,"down","same"))))</f>
        <v/>
      </c>
    </row>
    <row r="1985">
      <c r="A1985" s="11">
        <f>IF('Data Entry'!A1985="","",'Data Entry'!A1985)</f>
        <v/>
      </c>
      <c r="B1985" s="12">
        <f>IF('Data Entry'!A1985="","",'Data Entry'!B1985)</f>
        <v/>
      </c>
      <c r="C1985" s="12">
        <f>IF('Data Entry'!A1985="","",'Data Entry'!C1985)</f>
        <v/>
      </c>
      <c r="D1985" s="12">
        <f>IF('Data Entry'!A1985="","",'Data Entry'!D1985)</f>
        <v/>
      </c>
      <c r="E1985" s="12">
        <f>IF('Data Entry'!A1985="","",'Data Entry'!E1985)</f>
        <v/>
      </c>
      <c r="F1985" s="12">
        <f>IF('Data Entry'!A1985="","",'Data Entry'!F1985)</f>
        <v/>
      </c>
      <c r="G1985" s="13">
        <f>IF('Data Entry'!A1985="","",'Data Entry'!G1985)</f>
        <v/>
      </c>
      <c r="H1985" s="10">
        <f>IF('Data Entry'!A1985="","",'Data Entry'!H1985)</f>
        <v/>
      </c>
      <c r="I1985" s="10">
        <f>IF('Data Entry'!A1985="","",'Data Entry'!I1985)</f>
        <v/>
      </c>
      <c r="J1985" s="12">
        <f>IF('Data Entry'!A1985="","",IF('Data Entry'!D1985&lt;&gt;"",'Data Entry'!D1985,'Data Entry'!E1985))</f>
        <v/>
      </c>
      <c r="K1985" s="10">
        <f>IF('Data Entry'!A1985="","",IFERROR(SUMIFS($H$5:$H$2001,$J$5:$J$2001,$J1985,$B$5:$B$2001,$B1985,$A$5:$A$2001,(MAXIFS($A$5:$A$2001,$J$5:$J$2001,$J1985,$B$5:$B$2001,$B1985,$A$5:$A$2001,"&lt;"&amp;$A1985))),""))</f>
        <v/>
      </c>
      <c r="L1985" s="14">
        <f>IF(OR('Data Entry'!A1985="",$K1985=""),"",$H1985-$K1985)</f>
        <v/>
      </c>
      <c r="M1985" s="15">
        <f>IF(OR('Data Entry'!A1985="",$K1985="",$K1985=0),"",$L1985/$K1985)</f>
        <v/>
      </c>
      <c r="N1985" s="12">
        <f>IF('Data Entry'!A1985="","",IF($L1985="","New item",IF($L1985&gt;0,"UP",IF($L1985&lt;0,"down","same"))))</f>
        <v/>
      </c>
    </row>
    <row r="1986">
      <c r="A1986" s="11">
        <f>IF('Data Entry'!A1986="","",'Data Entry'!A1986)</f>
        <v/>
      </c>
      <c r="B1986" s="12">
        <f>IF('Data Entry'!A1986="","",'Data Entry'!B1986)</f>
        <v/>
      </c>
      <c r="C1986" s="12">
        <f>IF('Data Entry'!A1986="","",'Data Entry'!C1986)</f>
        <v/>
      </c>
      <c r="D1986" s="12">
        <f>IF('Data Entry'!A1986="","",'Data Entry'!D1986)</f>
        <v/>
      </c>
      <c r="E1986" s="12">
        <f>IF('Data Entry'!A1986="","",'Data Entry'!E1986)</f>
        <v/>
      </c>
      <c r="F1986" s="12">
        <f>IF('Data Entry'!A1986="","",'Data Entry'!F1986)</f>
        <v/>
      </c>
      <c r="G1986" s="13">
        <f>IF('Data Entry'!A1986="","",'Data Entry'!G1986)</f>
        <v/>
      </c>
      <c r="H1986" s="10">
        <f>IF('Data Entry'!A1986="","",'Data Entry'!H1986)</f>
        <v/>
      </c>
      <c r="I1986" s="10">
        <f>IF('Data Entry'!A1986="","",'Data Entry'!I1986)</f>
        <v/>
      </c>
      <c r="J1986" s="12">
        <f>IF('Data Entry'!A1986="","",IF('Data Entry'!D1986&lt;&gt;"",'Data Entry'!D1986,'Data Entry'!E1986))</f>
        <v/>
      </c>
      <c r="K1986" s="10">
        <f>IF('Data Entry'!A1986="","",IFERROR(SUMIFS($H$5:$H$2001,$J$5:$J$2001,$J1986,$B$5:$B$2001,$B1986,$A$5:$A$2001,(MAXIFS($A$5:$A$2001,$J$5:$J$2001,$J1986,$B$5:$B$2001,$B1986,$A$5:$A$2001,"&lt;"&amp;$A1986))),""))</f>
        <v/>
      </c>
      <c r="L1986" s="14">
        <f>IF(OR('Data Entry'!A1986="",$K1986=""),"",$H1986-$K1986)</f>
        <v/>
      </c>
      <c r="M1986" s="15">
        <f>IF(OR('Data Entry'!A1986="",$K1986="",$K1986=0),"",$L1986/$K1986)</f>
        <v/>
      </c>
      <c r="N1986" s="12">
        <f>IF('Data Entry'!A1986="","",IF($L1986="","New item",IF($L1986&gt;0,"UP",IF($L1986&lt;0,"down","same"))))</f>
        <v/>
      </c>
    </row>
    <row r="1987">
      <c r="A1987" s="11">
        <f>IF('Data Entry'!A1987="","",'Data Entry'!A1987)</f>
        <v/>
      </c>
      <c r="B1987" s="12">
        <f>IF('Data Entry'!A1987="","",'Data Entry'!B1987)</f>
        <v/>
      </c>
      <c r="C1987" s="12">
        <f>IF('Data Entry'!A1987="","",'Data Entry'!C1987)</f>
        <v/>
      </c>
      <c r="D1987" s="12">
        <f>IF('Data Entry'!A1987="","",'Data Entry'!D1987)</f>
        <v/>
      </c>
      <c r="E1987" s="12">
        <f>IF('Data Entry'!A1987="","",'Data Entry'!E1987)</f>
        <v/>
      </c>
      <c r="F1987" s="12">
        <f>IF('Data Entry'!A1987="","",'Data Entry'!F1987)</f>
        <v/>
      </c>
      <c r="G1987" s="13">
        <f>IF('Data Entry'!A1987="","",'Data Entry'!G1987)</f>
        <v/>
      </c>
      <c r="H1987" s="10">
        <f>IF('Data Entry'!A1987="","",'Data Entry'!H1987)</f>
        <v/>
      </c>
      <c r="I1987" s="10">
        <f>IF('Data Entry'!A1987="","",'Data Entry'!I1987)</f>
        <v/>
      </c>
      <c r="J1987" s="12">
        <f>IF('Data Entry'!A1987="","",IF('Data Entry'!D1987&lt;&gt;"",'Data Entry'!D1987,'Data Entry'!E1987))</f>
        <v/>
      </c>
      <c r="K1987" s="10">
        <f>IF('Data Entry'!A1987="","",IFERROR(SUMIFS($H$5:$H$2001,$J$5:$J$2001,$J1987,$B$5:$B$2001,$B1987,$A$5:$A$2001,(MAXIFS($A$5:$A$2001,$J$5:$J$2001,$J1987,$B$5:$B$2001,$B1987,$A$5:$A$2001,"&lt;"&amp;$A1987))),""))</f>
        <v/>
      </c>
      <c r="L1987" s="14">
        <f>IF(OR('Data Entry'!A1987="",$K1987=""),"",$H1987-$K1987)</f>
        <v/>
      </c>
      <c r="M1987" s="15">
        <f>IF(OR('Data Entry'!A1987="",$K1987="",$K1987=0),"",$L1987/$K1987)</f>
        <v/>
      </c>
      <c r="N1987" s="12">
        <f>IF('Data Entry'!A1987="","",IF($L1987="","New item",IF($L1987&gt;0,"UP",IF($L1987&lt;0,"down","same"))))</f>
        <v/>
      </c>
    </row>
    <row r="1988">
      <c r="A1988" s="11">
        <f>IF('Data Entry'!A1988="","",'Data Entry'!A1988)</f>
        <v/>
      </c>
      <c r="B1988" s="12">
        <f>IF('Data Entry'!A1988="","",'Data Entry'!B1988)</f>
        <v/>
      </c>
      <c r="C1988" s="12">
        <f>IF('Data Entry'!A1988="","",'Data Entry'!C1988)</f>
        <v/>
      </c>
      <c r="D1988" s="12">
        <f>IF('Data Entry'!A1988="","",'Data Entry'!D1988)</f>
        <v/>
      </c>
      <c r="E1988" s="12">
        <f>IF('Data Entry'!A1988="","",'Data Entry'!E1988)</f>
        <v/>
      </c>
      <c r="F1988" s="12">
        <f>IF('Data Entry'!A1988="","",'Data Entry'!F1988)</f>
        <v/>
      </c>
      <c r="G1988" s="13">
        <f>IF('Data Entry'!A1988="","",'Data Entry'!G1988)</f>
        <v/>
      </c>
      <c r="H1988" s="10">
        <f>IF('Data Entry'!A1988="","",'Data Entry'!H1988)</f>
        <v/>
      </c>
      <c r="I1988" s="10">
        <f>IF('Data Entry'!A1988="","",'Data Entry'!I1988)</f>
        <v/>
      </c>
      <c r="J1988" s="12">
        <f>IF('Data Entry'!A1988="","",IF('Data Entry'!D1988&lt;&gt;"",'Data Entry'!D1988,'Data Entry'!E1988))</f>
        <v/>
      </c>
      <c r="K1988" s="10">
        <f>IF('Data Entry'!A1988="","",IFERROR(SUMIFS($H$5:$H$2001,$J$5:$J$2001,$J1988,$B$5:$B$2001,$B1988,$A$5:$A$2001,(MAXIFS($A$5:$A$2001,$J$5:$J$2001,$J1988,$B$5:$B$2001,$B1988,$A$5:$A$2001,"&lt;"&amp;$A1988))),""))</f>
        <v/>
      </c>
      <c r="L1988" s="14">
        <f>IF(OR('Data Entry'!A1988="",$K1988=""),"",$H1988-$K1988)</f>
        <v/>
      </c>
      <c r="M1988" s="15">
        <f>IF(OR('Data Entry'!A1988="",$K1988="",$K1988=0),"",$L1988/$K1988)</f>
        <v/>
      </c>
      <c r="N1988" s="12">
        <f>IF('Data Entry'!A1988="","",IF($L1988="","New item",IF($L1988&gt;0,"UP",IF($L1988&lt;0,"down","same"))))</f>
        <v/>
      </c>
    </row>
    <row r="1989">
      <c r="A1989" s="11">
        <f>IF('Data Entry'!A1989="","",'Data Entry'!A1989)</f>
        <v/>
      </c>
      <c r="B1989" s="12">
        <f>IF('Data Entry'!A1989="","",'Data Entry'!B1989)</f>
        <v/>
      </c>
      <c r="C1989" s="12">
        <f>IF('Data Entry'!A1989="","",'Data Entry'!C1989)</f>
        <v/>
      </c>
      <c r="D1989" s="12">
        <f>IF('Data Entry'!A1989="","",'Data Entry'!D1989)</f>
        <v/>
      </c>
      <c r="E1989" s="12">
        <f>IF('Data Entry'!A1989="","",'Data Entry'!E1989)</f>
        <v/>
      </c>
      <c r="F1989" s="12">
        <f>IF('Data Entry'!A1989="","",'Data Entry'!F1989)</f>
        <v/>
      </c>
      <c r="G1989" s="13">
        <f>IF('Data Entry'!A1989="","",'Data Entry'!G1989)</f>
        <v/>
      </c>
      <c r="H1989" s="10">
        <f>IF('Data Entry'!A1989="","",'Data Entry'!H1989)</f>
        <v/>
      </c>
      <c r="I1989" s="10">
        <f>IF('Data Entry'!A1989="","",'Data Entry'!I1989)</f>
        <v/>
      </c>
      <c r="J1989" s="12">
        <f>IF('Data Entry'!A1989="","",IF('Data Entry'!D1989&lt;&gt;"",'Data Entry'!D1989,'Data Entry'!E1989))</f>
        <v/>
      </c>
      <c r="K1989" s="10">
        <f>IF('Data Entry'!A1989="","",IFERROR(SUMIFS($H$5:$H$2001,$J$5:$J$2001,$J1989,$B$5:$B$2001,$B1989,$A$5:$A$2001,(MAXIFS($A$5:$A$2001,$J$5:$J$2001,$J1989,$B$5:$B$2001,$B1989,$A$5:$A$2001,"&lt;"&amp;$A1989))),""))</f>
        <v/>
      </c>
      <c r="L1989" s="14">
        <f>IF(OR('Data Entry'!A1989="",$K1989=""),"",$H1989-$K1989)</f>
        <v/>
      </c>
      <c r="M1989" s="15">
        <f>IF(OR('Data Entry'!A1989="",$K1989="",$K1989=0),"",$L1989/$K1989)</f>
        <v/>
      </c>
      <c r="N1989" s="12">
        <f>IF('Data Entry'!A1989="","",IF($L1989="","New item",IF($L1989&gt;0,"UP",IF($L1989&lt;0,"down","same"))))</f>
        <v/>
      </c>
    </row>
    <row r="1990">
      <c r="A1990" s="11">
        <f>IF('Data Entry'!A1990="","",'Data Entry'!A1990)</f>
        <v/>
      </c>
      <c r="B1990" s="12">
        <f>IF('Data Entry'!A1990="","",'Data Entry'!B1990)</f>
        <v/>
      </c>
      <c r="C1990" s="12">
        <f>IF('Data Entry'!A1990="","",'Data Entry'!C1990)</f>
        <v/>
      </c>
      <c r="D1990" s="12">
        <f>IF('Data Entry'!A1990="","",'Data Entry'!D1990)</f>
        <v/>
      </c>
      <c r="E1990" s="12">
        <f>IF('Data Entry'!A1990="","",'Data Entry'!E1990)</f>
        <v/>
      </c>
      <c r="F1990" s="12">
        <f>IF('Data Entry'!A1990="","",'Data Entry'!F1990)</f>
        <v/>
      </c>
      <c r="G1990" s="13">
        <f>IF('Data Entry'!A1990="","",'Data Entry'!G1990)</f>
        <v/>
      </c>
      <c r="H1990" s="10">
        <f>IF('Data Entry'!A1990="","",'Data Entry'!H1990)</f>
        <v/>
      </c>
      <c r="I1990" s="10">
        <f>IF('Data Entry'!A1990="","",'Data Entry'!I1990)</f>
        <v/>
      </c>
      <c r="J1990" s="12">
        <f>IF('Data Entry'!A1990="","",IF('Data Entry'!D1990&lt;&gt;"",'Data Entry'!D1990,'Data Entry'!E1990))</f>
        <v/>
      </c>
      <c r="K1990" s="10">
        <f>IF('Data Entry'!A1990="","",IFERROR(SUMIFS($H$5:$H$2001,$J$5:$J$2001,$J1990,$B$5:$B$2001,$B1990,$A$5:$A$2001,(MAXIFS($A$5:$A$2001,$J$5:$J$2001,$J1990,$B$5:$B$2001,$B1990,$A$5:$A$2001,"&lt;"&amp;$A1990))),""))</f>
        <v/>
      </c>
      <c r="L1990" s="14">
        <f>IF(OR('Data Entry'!A1990="",$K1990=""),"",$H1990-$K1990)</f>
        <v/>
      </c>
      <c r="M1990" s="15">
        <f>IF(OR('Data Entry'!A1990="",$K1990="",$K1990=0),"",$L1990/$K1990)</f>
        <v/>
      </c>
      <c r="N1990" s="12">
        <f>IF('Data Entry'!A1990="","",IF($L1990="","New item",IF($L1990&gt;0,"UP",IF($L1990&lt;0,"down","same"))))</f>
        <v/>
      </c>
    </row>
    <row r="1991">
      <c r="A1991" s="11">
        <f>IF('Data Entry'!A1991="","",'Data Entry'!A1991)</f>
        <v/>
      </c>
      <c r="B1991" s="12">
        <f>IF('Data Entry'!A1991="","",'Data Entry'!B1991)</f>
        <v/>
      </c>
      <c r="C1991" s="12">
        <f>IF('Data Entry'!A1991="","",'Data Entry'!C1991)</f>
        <v/>
      </c>
      <c r="D1991" s="12">
        <f>IF('Data Entry'!A1991="","",'Data Entry'!D1991)</f>
        <v/>
      </c>
      <c r="E1991" s="12">
        <f>IF('Data Entry'!A1991="","",'Data Entry'!E1991)</f>
        <v/>
      </c>
      <c r="F1991" s="12">
        <f>IF('Data Entry'!A1991="","",'Data Entry'!F1991)</f>
        <v/>
      </c>
      <c r="G1991" s="13">
        <f>IF('Data Entry'!A1991="","",'Data Entry'!G1991)</f>
        <v/>
      </c>
      <c r="H1991" s="10">
        <f>IF('Data Entry'!A1991="","",'Data Entry'!H1991)</f>
        <v/>
      </c>
      <c r="I1991" s="10">
        <f>IF('Data Entry'!A1991="","",'Data Entry'!I1991)</f>
        <v/>
      </c>
      <c r="J1991" s="12">
        <f>IF('Data Entry'!A1991="","",IF('Data Entry'!D1991&lt;&gt;"",'Data Entry'!D1991,'Data Entry'!E1991))</f>
        <v/>
      </c>
      <c r="K1991" s="10">
        <f>IF('Data Entry'!A1991="","",IFERROR(SUMIFS($H$5:$H$2001,$J$5:$J$2001,$J1991,$B$5:$B$2001,$B1991,$A$5:$A$2001,(MAXIFS($A$5:$A$2001,$J$5:$J$2001,$J1991,$B$5:$B$2001,$B1991,$A$5:$A$2001,"&lt;"&amp;$A1991))),""))</f>
        <v/>
      </c>
      <c r="L1991" s="14">
        <f>IF(OR('Data Entry'!A1991="",$K1991=""),"",$H1991-$K1991)</f>
        <v/>
      </c>
      <c r="M1991" s="15">
        <f>IF(OR('Data Entry'!A1991="",$K1991="",$K1991=0),"",$L1991/$K1991)</f>
        <v/>
      </c>
      <c r="N1991" s="12">
        <f>IF('Data Entry'!A1991="","",IF($L1991="","New item",IF($L1991&gt;0,"UP",IF($L1991&lt;0,"down","same"))))</f>
        <v/>
      </c>
    </row>
    <row r="1992">
      <c r="A1992" s="11">
        <f>IF('Data Entry'!A1992="","",'Data Entry'!A1992)</f>
        <v/>
      </c>
      <c r="B1992" s="12">
        <f>IF('Data Entry'!A1992="","",'Data Entry'!B1992)</f>
        <v/>
      </c>
      <c r="C1992" s="12">
        <f>IF('Data Entry'!A1992="","",'Data Entry'!C1992)</f>
        <v/>
      </c>
      <c r="D1992" s="12">
        <f>IF('Data Entry'!A1992="","",'Data Entry'!D1992)</f>
        <v/>
      </c>
      <c r="E1992" s="12">
        <f>IF('Data Entry'!A1992="","",'Data Entry'!E1992)</f>
        <v/>
      </c>
      <c r="F1992" s="12">
        <f>IF('Data Entry'!A1992="","",'Data Entry'!F1992)</f>
        <v/>
      </c>
      <c r="G1992" s="13">
        <f>IF('Data Entry'!A1992="","",'Data Entry'!G1992)</f>
        <v/>
      </c>
      <c r="H1992" s="10">
        <f>IF('Data Entry'!A1992="","",'Data Entry'!H1992)</f>
        <v/>
      </c>
      <c r="I1992" s="10">
        <f>IF('Data Entry'!A1992="","",'Data Entry'!I1992)</f>
        <v/>
      </c>
      <c r="J1992" s="12">
        <f>IF('Data Entry'!A1992="","",IF('Data Entry'!D1992&lt;&gt;"",'Data Entry'!D1992,'Data Entry'!E1992))</f>
        <v/>
      </c>
      <c r="K1992" s="10">
        <f>IF('Data Entry'!A1992="","",IFERROR(SUMIFS($H$5:$H$2001,$J$5:$J$2001,$J1992,$B$5:$B$2001,$B1992,$A$5:$A$2001,(MAXIFS($A$5:$A$2001,$J$5:$J$2001,$J1992,$B$5:$B$2001,$B1992,$A$5:$A$2001,"&lt;"&amp;$A1992))),""))</f>
        <v/>
      </c>
      <c r="L1992" s="14">
        <f>IF(OR('Data Entry'!A1992="",$K1992=""),"",$H1992-$K1992)</f>
        <v/>
      </c>
      <c r="M1992" s="15">
        <f>IF(OR('Data Entry'!A1992="",$K1992="",$K1992=0),"",$L1992/$K1992)</f>
        <v/>
      </c>
      <c r="N1992" s="12">
        <f>IF('Data Entry'!A1992="","",IF($L1992="","New item",IF($L1992&gt;0,"UP",IF($L1992&lt;0,"down","same"))))</f>
        <v/>
      </c>
    </row>
    <row r="1993">
      <c r="A1993" s="11">
        <f>IF('Data Entry'!A1993="","",'Data Entry'!A1993)</f>
        <v/>
      </c>
      <c r="B1993" s="12">
        <f>IF('Data Entry'!A1993="","",'Data Entry'!B1993)</f>
        <v/>
      </c>
      <c r="C1993" s="12">
        <f>IF('Data Entry'!A1993="","",'Data Entry'!C1993)</f>
        <v/>
      </c>
      <c r="D1993" s="12">
        <f>IF('Data Entry'!A1993="","",'Data Entry'!D1993)</f>
        <v/>
      </c>
      <c r="E1993" s="12">
        <f>IF('Data Entry'!A1993="","",'Data Entry'!E1993)</f>
        <v/>
      </c>
      <c r="F1993" s="12">
        <f>IF('Data Entry'!A1993="","",'Data Entry'!F1993)</f>
        <v/>
      </c>
      <c r="G1993" s="13">
        <f>IF('Data Entry'!A1993="","",'Data Entry'!G1993)</f>
        <v/>
      </c>
      <c r="H1993" s="10">
        <f>IF('Data Entry'!A1993="","",'Data Entry'!H1993)</f>
        <v/>
      </c>
      <c r="I1993" s="10">
        <f>IF('Data Entry'!A1993="","",'Data Entry'!I1993)</f>
        <v/>
      </c>
      <c r="J1993" s="12">
        <f>IF('Data Entry'!A1993="","",IF('Data Entry'!D1993&lt;&gt;"",'Data Entry'!D1993,'Data Entry'!E1993))</f>
        <v/>
      </c>
      <c r="K1993" s="10">
        <f>IF('Data Entry'!A1993="","",IFERROR(SUMIFS($H$5:$H$2001,$J$5:$J$2001,$J1993,$B$5:$B$2001,$B1993,$A$5:$A$2001,(MAXIFS($A$5:$A$2001,$J$5:$J$2001,$J1993,$B$5:$B$2001,$B1993,$A$5:$A$2001,"&lt;"&amp;$A1993))),""))</f>
        <v/>
      </c>
      <c r="L1993" s="14">
        <f>IF(OR('Data Entry'!A1993="",$K1993=""),"",$H1993-$K1993)</f>
        <v/>
      </c>
      <c r="M1993" s="15">
        <f>IF(OR('Data Entry'!A1993="",$K1993="",$K1993=0),"",$L1993/$K1993)</f>
        <v/>
      </c>
      <c r="N1993" s="12">
        <f>IF('Data Entry'!A1993="","",IF($L1993="","New item",IF($L1993&gt;0,"UP",IF($L1993&lt;0,"down","same"))))</f>
        <v/>
      </c>
    </row>
    <row r="1994">
      <c r="A1994" s="11">
        <f>IF('Data Entry'!A1994="","",'Data Entry'!A1994)</f>
        <v/>
      </c>
      <c r="B1994" s="12">
        <f>IF('Data Entry'!A1994="","",'Data Entry'!B1994)</f>
        <v/>
      </c>
      <c r="C1994" s="12">
        <f>IF('Data Entry'!A1994="","",'Data Entry'!C1994)</f>
        <v/>
      </c>
      <c r="D1994" s="12">
        <f>IF('Data Entry'!A1994="","",'Data Entry'!D1994)</f>
        <v/>
      </c>
      <c r="E1994" s="12">
        <f>IF('Data Entry'!A1994="","",'Data Entry'!E1994)</f>
        <v/>
      </c>
      <c r="F1994" s="12">
        <f>IF('Data Entry'!A1994="","",'Data Entry'!F1994)</f>
        <v/>
      </c>
      <c r="G1994" s="13">
        <f>IF('Data Entry'!A1994="","",'Data Entry'!G1994)</f>
        <v/>
      </c>
      <c r="H1994" s="10">
        <f>IF('Data Entry'!A1994="","",'Data Entry'!H1994)</f>
        <v/>
      </c>
      <c r="I1994" s="10">
        <f>IF('Data Entry'!A1994="","",'Data Entry'!I1994)</f>
        <v/>
      </c>
      <c r="J1994" s="12">
        <f>IF('Data Entry'!A1994="","",IF('Data Entry'!D1994&lt;&gt;"",'Data Entry'!D1994,'Data Entry'!E1994))</f>
        <v/>
      </c>
      <c r="K1994" s="10">
        <f>IF('Data Entry'!A1994="","",IFERROR(SUMIFS($H$5:$H$2001,$J$5:$J$2001,$J1994,$B$5:$B$2001,$B1994,$A$5:$A$2001,(MAXIFS($A$5:$A$2001,$J$5:$J$2001,$J1994,$B$5:$B$2001,$B1994,$A$5:$A$2001,"&lt;"&amp;$A1994))),""))</f>
        <v/>
      </c>
      <c r="L1994" s="14">
        <f>IF(OR('Data Entry'!A1994="",$K1994=""),"",$H1994-$K1994)</f>
        <v/>
      </c>
      <c r="M1994" s="15">
        <f>IF(OR('Data Entry'!A1994="",$K1994="",$K1994=0),"",$L1994/$K1994)</f>
        <v/>
      </c>
      <c r="N1994" s="12">
        <f>IF('Data Entry'!A1994="","",IF($L1994="","New item",IF($L1994&gt;0,"UP",IF($L1994&lt;0,"down","same"))))</f>
        <v/>
      </c>
    </row>
    <row r="1995">
      <c r="A1995" s="11">
        <f>IF('Data Entry'!A1995="","",'Data Entry'!A1995)</f>
        <v/>
      </c>
      <c r="B1995" s="12">
        <f>IF('Data Entry'!A1995="","",'Data Entry'!B1995)</f>
        <v/>
      </c>
      <c r="C1995" s="12">
        <f>IF('Data Entry'!A1995="","",'Data Entry'!C1995)</f>
        <v/>
      </c>
      <c r="D1995" s="12">
        <f>IF('Data Entry'!A1995="","",'Data Entry'!D1995)</f>
        <v/>
      </c>
      <c r="E1995" s="12">
        <f>IF('Data Entry'!A1995="","",'Data Entry'!E1995)</f>
        <v/>
      </c>
      <c r="F1995" s="12">
        <f>IF('Data Entry'!A1995="","",'Data Entry'!F1995)</f>
        <v/>
      </c>
      <c r="G1995" s="13">
        <f>IF('Data Entry'!A1995="","",'Data Entry'!G1995)</f>
        <v/>
      </c>
      <c r="H1995" s="10">
        <f>IF('Data Entry'!A1995="","",'Data Entry'!H1995)</f>
        <v/>
      </c>
      <c r="I1995" s="10">
        <f>IF('Data Entry'!A1995="","",'Data Entry'!I1995)</f>
        <v/>
      </c>
      <c r="J1995" s="12">
        <f>IF('Data Entry'!A1995="","",IF('Data Entry'!D1995&lt;&gt;"",'Data Entry'!D1995,'Data Entry'!E1995))</f>
        <v/>
      </c>
      <c r="K1995" s="10">
        <f>IF('Data Entry'!A1995="","",IFERROR(SUMIFS($H$5:$H$2001,$J$5:$J$2001,$J1995,$B$5:$B$2001,$B1995,$A$5:$A$2001,(MAXIFS($A$5:$A$2001,$J$5:$J$2001,$J1995,$B$5:$B$2001,$B1995,$A$5:$A$2001,"&lt;"&amp;$A1995))),""))</f>
        <v/>
      </c>
      <c r="L1995" s="14">
        <f>IF(OR('Data Entry'!A1995="",$K1995=""),"",$H1995-$K1995)</f>
        <v/>
      </c>
      <c r="M1995" s="15">
        <f>IF(OR('Data Entry'!A1995="",$K1995="",$K1995=0),"",$L1995/$K1995)</f>
        <v/>
      </c>
      <c r="N1995" s="12">
        <f>IF('Data Entry'!A1995="","",IF($L1995="","New item",IF($L1995&gt;0,"UP",IF($L1995&lt;0,"down","same"))))</f>
        <v/>
      </c>
    </row>
    <row r="1996">
      <c r="A1996" s="11">
        <f>IF('Data Entry'!A1996="","",'Data Entry'!A1996)</f>
        <v/>
      </c>
      <c r="B1996" s="12">
        <f>IF('Data Entry'!A1996="","",'Data Entry'!B1996)</f>
        <v/>
      </c>
      <c r="C1996" s="12">
        <f>IF('Data Entry'!A1996="","",'Data Entry'!C1996)</f>
        <v/>
      </c>
      <c r="D1996" s="12">
        <f>IF('Data Entry'!A1996="","",'Data Entry'!D1996)</f>
        <v/>
      </c>
      <c r="E1996" s="12">
        <f>IF('Data Entry'!A1996="","",'Data Entry'!E1996)</f>
        <v/>
      </c>
      <c r="F1996" s="12">
        <f>IF('Data Entry'!A1996="","",'Data Entry'!F1996)</f>
        <v/>
      </c>
      <c r="G1996" s="13">
        <f>IF('Data Entry'!A1996="","",'Data Entry'!G1996)</f>
        <v/>
      </c>
      <c r="H1996" s="10">
        <f>IF('Data Entry'!A1996="","",'Data Entry'!H1996)</f>
        <v/>
      </c>
      <c r="I1996" s="10">
        <f>IF('Data Entry'!A1996="","",'Data Entry'!I1996)</f>
        <v/>
      </c>
      <c r="J1996" s="12">
        <f>IF('Data Entry'!A1996="","",IF('Data Entry'!D1996&lt;&gt;"",'Data Entry'!D1996,'Data Entry'!E1996))</f>
        <v/>
      </c>
      <c r="K1996" s="10">
        <f>IF('Data Entry'!A1996="","",IFERROR(SUMIFS($H$5:$H$2001,$J$5:$J$2001,$J1996,$B$5:$B$2001,$B1996,$A$5:$A$2001,(MAXIFS($A$5:$A$2001,$J$5:$J$2001,$J1996,$B$5:$B$2001,$B1996,$A$5:$A$2001,"&lt;"&amp;$A1996))),""))</f>
        <v/>
      </c>
      <c r="L1996" s="14">
        <f>IF(OR('Data Entry'!A1996="",$K1996=""),"",$H1996-$K1996)</f>
        <v/>
      </c>
      <c r="M1996" s="15">
        <f>IF(OR('Data Entry'!A1996="",$K1996="",$K1996=0),"",$L1996/$K1996)</f>
        <v/>
      </c>
      <c r="N1996" s="12">
        <f>IF('Data Entry'!A1996="","",IF($L1996="","New item",IF($L1996&gt;0,"UP",IF($L1996&lt;0,"down","same"))))</f>
        <v/>
      </c>
    </row>
    <row r="1997">
      <c r="A1997" s="11">
        <f>IF('Data Entry'!A1997="","",'Data Entry'!A1997)</f>
        <v/>
      </c>
      <c r="B1997" s="12">
        <f>IF('Data Entry'!A1997="","",'Data Entry'!B1997)</f>
        <v/>
      </c>
      <c r="C1997" s="12">
        <f>IF('Data Entry'!A1997="","",'Data Entry'!C1997)</f>
        <v/>
      </c>
      <c r="D1997" s="12">
        <f>IF('Data Entry'!A1997="","",'Data Entry'!D1997)</f>
        <v/>
      </c>
      <c r="E1997" s="12">
        <f>IF('Data Entry'!A1997="","",'Data Entry'!E1997)</f>
        <v/>
      </c>
      <c r="F1997" s="12">
        <f>IF('Data Entry'!A1997="","",'Data Entry'!F1997)</f>
        <v/>
      </c>
      <c r="G1997" s="13">
        <f>IF('Data Entry'!A1997="","",'Data Entry'!G1997)</f>
        <v/>
      </c>
      <c r="H1997" s="10">
        <f>IF('Data Entry'!A1997="","",'Data Entry'!H1997)</f>
        <v/>
      </c>
      <c r="I1997" s="10">
        <f>IF('Data Entry'!A1997="","",'Data Entry'!I1997)</f>
        <v/>
      </c>
      <c r="J1997" s="12">
        <f>IF('Data Entry'!A1997="","",IF('Data Entry'!D1997&lt;&gt;"",'Data Entry'!D1997,'Data Entry'!E1997))</f>
        <v/>
      </c>
      <c r="K1997" s="10">
        <f>IF('Data Entry'!A1997="","",IFERROR(SUMIFS($H$5:$H$2001,$J$5:$J$2001,$J1997,$B$5:$B$2001,$B1997,$A$5:$A$2001,(MAXIFS($A$5:$A$2001,$J$5:$J$2001,$J1997,$B$5:$B$2001,$B1997,$A$5:$A$2001,"&lt;"&amp;$A1997))),""))</f>
        <v/>
      </c>
      <c r="L1997" s="14">
        <f>IF(OR('Data Entry'!A1997="",$K1997=""),"",$H1997-$K1997)</f>
        <v/>
      </c>
      <c r="M1997" s="15">
        <f>IF(OR('Data Entry'!A1997="",$K1997="",$K1997=0),"",$L1997/$K1997)</f>
        <v/>
      </c>
      <c r="N1997" s="12">
        <f>IF('Data Entry'!A1997="","",IF($L1997="","New item",IF($L1997&gt;0,"UP",IF($L1997&lt;0,"down","same"))))</f>
        <v/>
      </c>
    </row>
    <row r="1998">
      <c r="A1998" s="11">
        <f>IF('Data Entry'!A1998="","",'Data Entry'!A1998)</f>
        <v/>
      </c>
      <c r="B1998" s="12">
        <f>IF('Data Entry'!A1998="","",'Data Entry'!B1998)</f>
        <v/>
      </c>
      <c r="C1998" s="12">
        <f>IF('Data Entry'!A1998="","",'Data Entry'!C1998)</f>
        <v/>
      </c>
      <c r="D1998" s="12">
        <f>IF('Data Entry'!A1998="","",'Data Entry'!D1998)</f>
        <v/>
      </c>
      <c r="E1998" s="12">
        <f>IF('Data Entry'!A1998="","",'Data Entry'!E1998)</f>
        <v/>
      </c>
      <c r="F1998" s="12">
        <f>IF('Data Entry'!A1998="","",'Data Entry'!F1998)</f>
        <v/>
      </c>
      <c r="G1998" s="13">
        <f>IF('Data Entry'!A1998="","",'Data Entry'!G1998)</f>
        <v/>
      </c>
      <c r="H1998" s="10">
        <f>IF('Data Entry'!A1998="","",'Data Entry'!H1998)</f>
        <v/>
      </c>
      <c r="I1998" s="10">
        <f>IF('Data Entry'!A1998="","",'Data Entry'!I1998)</f>
        <v/>
      </c>
      <c r="J1998" s="12">
        <f>IF('Data Entry'!A1998="","",IF('Data Entry'!D1998&lt;&gt;"",'Data Entry'!D1998,'Data Entry'!E1998))</f>
        <v/>
      </c>
      <c r="K1998" s="10">
        <f>IF('Data Entry'!A1998="","",IFERROR(SUMIFS($H$5:$H$2001,$J$5:$J$2001,$J1998,$B$5:$B$2001,$B1998,$A$5:$A$2001,(MAXIFS($A$5:$A$2001,$J$5:$J$2001,$J1998,$B$5:$B$2001,$B1998,$A$5:$A$2001,"&lt;"&amp;$A1998))),""))</f>
        <v/>
      </c>
      <c r="L1998" s="14">
        <f>IF(OR('Data Entry'!A1998="",$K1998=""),"",$H1998-$K1998)</f>
        <v/>
      </c>
      <c r="M1998" s="15">
        <f>IF(OR('Data Entry'!A1998="",$K1998="",$K1998=0),"",$L1998/$K1998)</f>
        <v/>
      </c>
      <c r="N1998" s="12">
        <f>IF('Data Entry'!A1998="","",IF($L1998="","New item",IF($L1998&gt;0,"UP",IF($L1998&lt;0,"down","same"))))</f>
        <v/>
      </c>
    </row>
    <row r="1999">
      <c r="A1999" s="11">
        <f>IF('Data Entry'!A1999="","",'Data Entry'!A1999)</f>
        <v/>
      </c>
      <c r="B1999" s="12">
        <f>IF('Data Entry'!A1999="","",'Data Entry'!B1999)</f>
        <v/>
      </c>
      <c r="C1999" s="12">
        <f>IF('Data Entry'!A1999="","",'Data Entry'!C1999)</f>
        <v/>
      </c>
      <c r="D1999" s="12">
        <f>IF('Data Entry'!A1999="","",'Data Entry'!D1999)</f>
        <v/>
      </c>
      <c r="E1999" s="12">
        <f>IF('Data Entry'!A1999="","",'Data Entry'!E1999)</f>
        <v/>
      </c>
      <c r="F1999" s="12">
        <f>IF('Data Entry'!A1999="","",'Data Entry'!F1999)</f>
        <v/>
      </c>
      <c r="G1999" s="13">
        <f>IF('Data Entry'!A1999="","",'Data Entry'!G1999)</f>
        <v/>
      </c>
      <c r="H1999" s="10">
        <f>IF('Data Entry'!A1999="","",'Data Entry'!H1999)</f>
        <v/>
      </c>
      <c r="I1999" s="10">
        <f>IF('Data Entry'!A1999="","",'Data Entry'!I1999)</f>
        <v/>
      </c>
      <c r="J1999" s="12">
        <f>IF('Data Entry'!A1999="","",IF('Data Entry'!D1999&lt;&gt;"",'Data Entry'!D1999,'Data Entry'!E1999))</f>
        <v/>
      </c>
      <c r="K1999" s="10">
        <f>IF('Data Entry'!A1999="","",IFERROR(SUMIFS($H$5:$H$2001,$J$5:$J$2001,$J1999,$B$5:$B$2001,$B1999,$A$5:$A$2001,(MAXIFS($A$5:$A$2001,$J$5:$J$2001,$J1999,$B$5:$B$2001,$B1999,$A$5:$A$2001,"&lt;"&amp;$A1999))),""))</f>
        <v/>
      </c>
      <c r="L1999" s="14">
        <f>IF(OR('Data Entry'!A1999="",$K1999=""),"",$H1999-$K1999)</f>
        <v/>
      </c>
      <c r="M1999" s="15">
        <f>IF(OR('Data Entry'!A1999="",$K1999="",$K1999=0),"",$L1999/$K1999)</f>
        <v/>
      </c>
      <c r="N1999" s="12">
        <f>IF('Data Entry'!A1999="","",IF($L1999="","New item",IF($L1999&gt;0,"UP",IF($L1999&lt;0,"down","same"))))</f>
        <v/>
      </c>
    </row>
    <row r="2000">
      <c r="A2000" s="11">
        <f>IF('Data Entry'!A2000="","",'Data Entry'!A2000)</f>
        <v/>
      </c>
      <c r="B2000" s="12">
        <f>IF('Data Entry'!A2000="","",'Data Entry'!B2000)</f>
        <v/>
      </c>
      <c r="C2000" s="12">
        <f>IF('Data Entry'!A2000="","",'Data Entry'!C2000)</f>
        <v/>
      </c>
      <c r="D2000" s="12">
        <f>IF('Data Entry'!A2000="","",'Data Entry'!D2000)</f>
        <v/>
      </c>
      <c r="E2000" s="12">
        <f>IF('Data Entry'!A2000="","",'Data Entry'!E2000)</f>
        <v/>
      </c>
      <c r="F2000" s="12">
        <f>IF('Data Entry'!A2000="","",'Data Entry'!F2000)</f>
        <v/>
      </c>
      <c r="G2000" s="13">
        <f>IF('Data Entry'!A2000="","",'Data Entry'!G2000)</f>
        <v/>
      </c>
      <c r="H2000" s="10">
        <f>IF('Data Entry'!A2000="","",'Data Entry'!H2000)</f>
        <v/>
      </c>
      <c r="I2000" s="10">
        <f>IF('Data Entry'!A2000="","",'Data Entry'!I2000)</f>
        <v/>
      </c>
      <c r="J2000" s="12">
        <f>IF('Data Entry'!A2000="","",IF('Data Entry'!D2000&lt;&gt;"",'Data Entry'!D2000,'Data Entry'!E2000))</f>
        <v/>
      </c>
      <c r="K2000" s="10">
        <f>IF('Data Entry'!A2000="","",IFERROR(SUMIFS($H$5:$H$2001,$J$5:$J$2001,$J2000,$B$5:$B$2001,$B2000,$A$5:$A$2001,(MAXIFS($A$5:$A$2001,$J$5:$J$2001,$J2000,$B$5:$B$2001,$B2000,$A$5:$A$2001,"&lt;"&amp;$A2000))),""))</f>
        <v/>
      </c>
      <c r="L2000" s="14">
        <f>IF(OR('Data Entry'!A2000="",$K2000=""),"",$H2000-$K2000)</f>
        <v/>
      </c>
      <c r="M2000" s="15">
        <f>IF(OR('Data Entry'!A2000="",$K2000="",$K2000=0),"",$L2000/$K2000)</f>
        <v/>
      </c>
      <c r="N2000" s="12">
        <f>IF('Data Entry'!A2000="","",IF($L2000="","New item",IF($L2000&gt;0,"UP",IF($L2000&lt;0,"down","same"))))</f>
        <v/>
      </c>
    </row>
    <row r="2001">
      <c r="A2001" s="11">
        <f>IF('Data Entry'!A2001="","",'Data Entry'!A2001)</f>
        <v/>
      </c>
      <c r="B2001" s="12">
        <f>IF('Data Entry'!A2001="","",'Data Entry'!B2001)</f>
        <v/>
      </c>
      <c r="C2001" s="12">
        <f>IF('Data Entry'!A2001="","",'Data Entry'!C2001)</f>
        <v/>
      </c>
      <c r="D2001" s="12">
        <f>IF('Data Entry'!A2001="","",'Data Entry'!D2001)</f>
        <v/>
      </c>
      <c r="E2001" s="12">
        <f>IF('Data Entry'!A2001="","",'Data Entry'!E2001)</f>
        <v/>
      </c>
      <c r="F2001" s="12">
        <f>IF('Data Entry'!A2001="","",'Data Entry'!F2001)</f>
        <v/>
      </c>
      <c r="G2001" s="13">
        <f>IF('Data Entry'!A2001="","",'Data Entry'!G2001)</f>
        <v/>
      </c>
      <c r="H2001" s="10">
        <f>IF('Data Entry'!A2001="","",'Data Entry'!H2001)</f>
        <v/>
      </c>
      <c r="I2001" s="10">
        <f>IF('Data Entry'!A2001="","",'Data Entry'!I2001)</f>
        <v/>
      </c>
      <c r="J2001" s="12">
        <f>IF('Data Entry'!A2001="","",IF('Data Entry'!D2001&lt;&gt;"",'Data Entry'!D2001,'Data Entry'!E2001))</f>
        <v/>
      </c>
      <c r="K2001" s="10">
        <f>IF('Data Entry'!A2001="","",IFERROR(SUMIFS($H$5:$H$2001,$J$5:$J$2001,$J2001,$B$5:$B$2001,$B2001,$A$5:$A$2001,(MAXIFS($A$5:$A$2001,$J$5:$J$2001,$J2001,$B$5:$B$2001,$B2001,$A$5:$A$2001,"&lt;"&amp;$A2001))),""))</f>
        <v/>
      </c>
      <c r="L2001" s="14">
        <f>IF(OR('Data Entry'!A2001="",$K2001=""),"",$H2001-$K2001)</f>
        <v/>
      </c>
      <c r="M2001" s="15">
        <f>IF(OR('Data Entry'!A2001="",$K2001="",$K2001=0),"",$L2001/$K2001)</f>
        <v/>
      </c>
      <c r="N2001" s="12">
        <f>IF('Data Entry'!A2001="","",IF($L2001="","New item",IF($L2001&gt;0,"UP",IF($L2001&lt;0,"down","same"))))</f>
        <v/>
      </c>
    </row>
  </sheetData>
  <mergeCells count="2">
    <mergeCell ref="A2:N2"/>
    <mergeCell ref="A1:N1"/>
  </mergeCells>
  <conditionalFormatting sqref="A5:N2001">
    <cfRule type="expression" priority="1" dxfId="0" stopIfTrue="0">
      <formula>$N5="UP"</formula>
    </cfRule>
    <cfRule type="expression" priority="2" dxfId="1" stopIfTrue="0">
      <formula>$N5="down"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4" customWidth="1" min="2" max="2"/>
    <col width="10" customWidth="1" min="3" max="3"/>
    <col width="16" customWidth="1" min="4" max="4"/>
    <col width="30" customWidth="1" min="5" max="5"/>
  </cols>
  <sheetData>
    <row r="1">
      <c r="A1" s="2" t="inlineStr">
        <is>
          <t>Item List (master)</t>
        </is>
      </c>
    </row>
    <row r="2">
      <c r="A2" s="3" t="inlineStr">
        <is>
          <t>This is the master catalogue of items. Add a new row here whenever you buy something new. Data Entry and Item Lookup dropdowns pull suggestions from this list, but you can still type free text.</t>
        </is>
      </c>
    </row>
    <row r="4" ht="24" customHeight="1">
      <c r="A4" s="4" t="inlineStr">
        <is>
          <t>Item Code</t>
        </is>
      </c>
      <c r="B4" s="4" t="inlineStr">
        <is>
          <t>Item Name</t>
        </is>
      </c>
      <c r="C4" s="4" t="inlineStr">
        <is>
          <t>Unit</t>
        </is>
      </c>
      <c r="D4" s="4" t="inlineStr">
        <is>
          <t>Category</t>
        </is>
      </c>
      <c r="E4" s="4" t="inlineStr">
        <is>
          <t>Notes</t>
        </is>
      </c>
    </row>
    <row r="5">
      <c r="A5" s="5" t="inlineStr">
        <is>
          <t>G0036</t>
        </is>
      </c>
      <c r="B5" s="5" t="inlineStr">
        <is>
          <t>koh spean khley 25mm2</t>
        </is>
      </c>
      <c r="C5" s="5" t="inlineStr">
        <is>
          <t>graib</t>
        </is>
      </c>
      <c r="D5" s="5" t="inlineStr"/>
      <c r="E5" s="5" t="inlineStr"/>
    </row>
    <row r="6">
      <c r="A6" s="5" t="inlineStr">
        <is>
          <t>G0044</t>
        </is>
      </c>
      <c r="B6" s="5" t="inlineStr">
        <is>
          <t>koh spean khley 95mm2</t>
        </is>
      </c>
      <c r="C6" s="5" t="inlineStr">
        <is>
          <t>graib</t>
        </is>
      </c>
      <c r="D6" s="5" t="inlineStr"/>
      <c r="E6" s="5" t="inlineStr"/>
    </row>
    <row r="7">
      <c r="A7" s="5" t="inlineStr">
        <is>
          <t>G0045</t>
        </is>
      </c>
      <c r="B7" s="5" t="inlineStr">
        <is>
          <t>PVC song 3/4</t>
        </is>
      </c>
      <c r="C7" s="5" t="inlineStr">
        <is>
          <t>graib</t>
        </is>
      </c>
      <c r="D7" s="5" t="inlineStr"/>
      <c r="E7" s="5" t="inlineStr"/>
    </row>
    <row r="8">
      <c r="A8" s="5" t="inlineStr">
        <is>
          <t>G0048</t>
        </is>
      </c>
      <c r="B8" s="5" t="inlineStr">
        <is>
          <t>tuyou PVC 42 (8.5mm)</t>
        </is>
      </c>
      <c r="C8" s="5" t="inlineStr">
        <is>
          <t>daeum</t>
        </is>
      </c>
      <c r="D8" s="5" t="inlineStr"/>
      <c r="E8" s="5" t="inlineStr"/>
    </row>
    <row r="9">
      <c r="A9" s="5" t="inlineStr">
        <is>
          <t>G0049</t>
        </is>
      </c>
      <c r="B9" s="5" t="inlineStr">
        <is>
          <t>tuyou PVC 21 (13.5mm)</t>
        </is>
      </c>
      <c r="C9" s="5" t="inlineStr">
        <is>
          <t>daeum</t>
        </is>
      </c>
      <c r="D9" s="5" t="inlineStr"/>
      <c r="E9" s="5" t="inlineStr"/>
    </row>
    <row r="10">
      <c r="A10" s="5" t="inlineStr">
        <is>
          <t>G0050</t>
        </is>
      </c>
      <c r="B10" s="5" t="inlineStr">
        <is>
          <t>PVC song thmenh 42</t>
        </is>
      </c>
      <c r="C10" s="5" t="inlineStr">
        <is>
          <t>graib</t>
        </is>
      </c>
      <c r="D10" s="5" t="inlineStr"/>
      <c r="E10" s="5" t="inlineStr"/>
    </row>
    <row r="11">
      <c r="A11" s="5" t="inlineStr">
        <is>
          <t>G0051</t>
        </is>
      </c>
      <c r="B11" s="5" t="inlineStr">
        <is>
          <t>PVC song thmenh krao 3/4</t>
        </is>
      </c>
      <c r="C11" s="5" t="inlineStr">
        <is>
          <t>graib</t>
        </is>
      </c>
      <c r="D11" s="5" t="inlineStr"/>
      <c r="E11" s="5" t="inlineStr"/>
    </row>
    <row r="12">
      <c r="A12" s="5" t="inlineStr">
        <is>
          <t>G0052</t>
        </is>
      </c>
      <c r="B12" s="5" t="inlineStr">
        <is>
          <t>PVC song thmenh knong 3/4</t>
        </is>
      </c>
      <c r="C12" s="5" t="inlineStr">
        <is>
          <t>graib</t>
        </is>
      </c>
      <c r="D12" s="5" t="inlineStr"/>
      <c r="E12" s="5" t="inlineStr"/>
    </row>
    <row r="13">
      <c r="A13" s="5" t="inlineStr">
        <is>
          <t>G0053</t>
        </is>
      </c>
      <c r="B13" s="5" t="inlineStr">
        <is>
          <t>PVC song thmenh knong 21</t>
        </is>
      </c>
      <c r="C13" s="5" t="inlineStr">
        <is>
          <t>graib</t>
        </is>
      </c>
      <c r="D13" s="5" t="inlineStr"/>
      <c r="E13" s="5" t="inlineStr"/>
    </row>
    <row r="14">
      <c r="A14" s="5" t="inlineStr">
        <is>
          <t>G0054</t>
        </is>
      </c>
      <c r="B14" s="5" t="inlineStr">
        <is>
          <t>song PVC 42 x 34</t>
        </is>
      </c>
      <c r="C14" s="5" t="inlineStr">
        <is>
          <t>graib</t>
        </is>
      </c>
      <c r="D14" s="5" t="inlineStr"/>
      <c r="E14" s="5" t="inlineStr"/>
    </row>
    <row r="15">
      <c r="A15" s="5" t="inlineStr">
        <is>
          <t>G0055</t>
        </is>
      </c>
      <c r="B15" s="5" t="inlineStr">
        <is>
          <t>dey mi 42</t>
        </is>
      </c>
      <c r="C15" s="5" t="inlineStr">
        <is>
          <t>graib</t>
        </is>
      </c>
      <c r="D15" s="5" t="inlineStr"/>
      <c r="E15" s="5" t="inlineStr"/>
    </row>
    <row r="16">
      <c r="A16" s="5" t="inlineStr">
        <is>
          <t>G0056</t>
        </is>
      </c>
      <c r="B16" s="5" t="inlineStr">
        <is>
          <t>kaeng 21</t>
        </is>
      </c>
      <c r="C16" s="5" t="inlineStr">
        <is>
          <t>graib</t>
        </is>
      </c>
      <c r="D16" s="5" t="inlineStr"/>
      <c r="E16" s="5" t="inlineStr"/>
    </row>
    <row r="17">
      <c r="A17" s="5" t="inlineStr">
        <is>
          <t>G0057</t>
        </is>
      </c>
      <c r="B17" s="5" t="inlineStr">
        <is>
          <t>van 42</t>
        </is>
      </c>
      <c r="C17" s="5" t="inlineStr">
        <is>
          <t>graib</t>
        </is>
      </c>
      <c r="D17" s="5" t="inlineStr"/>
      <c r="E17" s="5" t="inlineStr"/>
    </row>
    <row r="18">
      <c r="A18" s="5" t="inlineStr">
        <is>
          <t>G0058</t>
        </is>
      </c>
      <c r="B18" s="5" t="inlineStr">
        <is>
          <t>van 21</t>
        </is>
      </c>
      <c r="C18" s="5" t="inlineStr">
        <is>
          <t>graib</t>
        </is>
      </c>
      <c r="D18" s="5" t="inlineStr"/>
      <c r="E18" s="5" t="inlineStr"/>
    </row>
    <row r="19">
      <c r="A19" s="5" t="inlineStr">
        <is>
          <t>G0059</t>
        </is>
      </c>
      <c r="B19" s="5" t="inlineStr">
        <is>
          <t>te 3/4</t>
        </is>
      </c>
      <c r="C19" s="5" t="inlineStr">
        <is>
          <t>graib</t>
        </is>
      </c>
      <c r="D19" s="5" t="inlineStr"/>
      <c r="E19" s="5" t="inlineStr"/>
    </row>
    <row r="20">
      <c r="A20" s="5" t="inlineStr">
        <is>
          <t>G0060</t>
        </is>
      </c>
      <c r="B20" s="5" t="inlineStr">
        <is>
          <t>te 21</t>
        </is>
      </c>
      <c r="C20" s="5" t="inlineStr">
        <is>
          <t>graib</t>
        </is>
      </c>
      <c r="D20" s="5" t="inlineStr"/>
      <c r="E20" s="5" t="inlineStr"/>
    </row>
    <row r="21">
      <c r="A21" s="5" t="inlineStr">
        <is>
          <t>G0061</t>
        </is>
      </c>
      <c r="B21" s="5" t="inlineStr">
        <is>
          <t>bolt 10 x 25</t>
        </is>
      </c>
      <c r="C21" s="5" t="inlineStr">
        <is>
          <t>graib</t>
        </is>
      </c>
      <c r="D21" s="5" t="inlineStr"/>
      <c r="E21" s="5" t="inlineStr"/>
    </row>
    <row r="22">
      <c r="A22" s="5" t="inlineStr">
        <is>
          <t>G0062</t>
        </is>
      </c>
      <c r="B22" s="5" t="inlineStr">
        <is>
          <t>krochab O 3/4 dek</t>
        </is>
      </c>
      <c r="C22" s="5" t="inlineStr">
        <is>
          <t>graib</t>
        </is>
      </c>
      <c r="D22" s="5" t="inlineStr"/>
      <c r="E22" s="5" t="inlineStr"/>
    </row>
    <row r="23">
      <c r="A23" s="5" t="inlineStr">
        <is>
          <t>G0063</t>
        </is>
      </c>
      <c r="B23" s="5" t="inlineStr">
        <is>
          <t>sout khsav</t>
        </is>
      </c>
      <c r="C23" s="5" t="inlineStr">
        <is>
          <t>dom</t>
        </is>
      </c>
      <c r="D23" s="5" t="inlineStr"/>
      <c r="E23" s="5" t="inlineStr"/>
    </row>
    <row r="24">
      <c r="A24" s="5" t="inlineStr">
        <is>
          <t>G0064</t>
        </is>
      </c>
      <c r="B24" s="5" t="inlineStr">
        <is>
          <t>kamlasvon 6ft</t>
        </is>
      </c>
      <c r="C24" s="5" t="inlineStr">
        <is>
          <t>daeum</t>
        </is>
      </c>
      <c r="D24" s="5" t="inlineStr"/>
      <c r="E24" s="5" t="inlineStr"/>
    </row>
    <row r="25">
      <c r="A25" s="5" t="inlineStr">
        <is>
          <t>G0065</t>
        </is>
      </c>
      <c r="B25" s="5" t="inlineStr">
        <is>
          <t>kamlasvon 12ft</t>
        </is>
      </c>
      <c r="C25" s="5" t="inlineStr">
        <is>
          <t>daeum</t>
        </is>
      </c>
      <c r="D25" s="5" t="inlineStr"/>
      <c r="E25" s="5" t="inlineStr"/>
    </row>
    <row r="26">
      <c r="A26" s="5" t="inlineStr">
        <is>
          <t>G0066</t>
        </is>
      </c>
      <c r="B26" s="5" t="inlineStr">
        <is>
          <t>chok 3''</t>
        </is>
      </c>
      <c r="C26" s="5" t="inlineStr">
        <is>
          <t>daeum</t>
        </is>
      </c>
      <c r="D26" s="5" t="inlineStr"/>
      <c r="E26" s="5" t="inlineStr"/>
    </row>
    <row r="27">
      <c r="A27" s="5" t="inlineStr">
        <is>
          <t>G0067</t>
        </is>
      </c>
      <c r="B27" s="5" t="inlineStr">
        <is>
          <t>screw spool 5hun</t>
        </is>
      </c>
      <c r="C27" s="5" t="inlineStr">
        <is>
          <t>thong</t>
        </is>
      </c>
      <c r="D27" s="5" t="inlineStr"/>
      <c r="E27" s="5" t="inlineStr"/>
    </row>
    <row r="28">
      <c r="A28" s="5" t="inlineStr">
        <is>
          <t>G0068</t>
        </is>
      </c>
      <c r="B28" s="5" t="inlineStr">
        <is>
          <t>phong teuk 27</t>
        </is>
      </c>
      <c r="C28" s="5" t="inlineStr">
        <is>
          <t>graib</t>
        </is>
      </c>
      <c r="D28" s="5" t="inlineStr"/>
      <c r="E28" s="5" t="inlineStr"/>
    </row>
    <row r="29">
      <c r="A29" s="5" t="inlineStr">
        <is>
          <t>G0047</t>
        </is>
      </c>
      <c r="B29" s="5" t="inlineStr">
        <is>
          <t>kav tuyou PVC</t>
        </is>
      </c>
      <c r="C29" s="5" t="inlineStr">
        <is>
          <t>kampong</t>
        </is>
      </c>
      <c r="D29" s="5" t="inlineStr"/>
      <c r="E29" s="5" t="inlineStr"/>
    </row>
    <row r="30">
      <c r="A30" s="5" t="inlineStr">
        <is>
          <t>G0069</t>
        </is>
      </c>
      <c r="B30" s="5" t="inlineStr">
        <is>
          <t>sout 3M</t>
        </is>
      </c>
      <c r="C30" s="5" t="inlineStr">
        <is>
          <t>dom</t>
        </is>
      </c>
      <c r="D30" s="5" t="inlineStr"/>
      <c r="E30" s="5" t="inlineStr"/>
    </row>
    <row r="31">
      <c r="A31" s="5" t="inlineStr">
        <is>
          <t>G0001</t>
        </is>
      </c>
      <c r="B31" s="5" t="inlineStr">
        <is>
          <t>thub spar inox</t>
        </is>
      </c>
      <c r="C31" s="5" t="inlineStr">
        <is>
          <t>dom</t>
        </is>
      </c>
      <c r="D31" s="5" t="inlineStr"/>
      <c r="E31" s="5" t="inlineStr"/>
    </row>
    <row r="32">
      <c r="A32" s="5" t="inlineStr">
        <is>
          <t>G0070</t>
        </is>
      </c>
      <c r="B32" s="5" t="inlineStr">
        <is>
          <t>sand (khsach kraeum)</t>
        </is>
      </c>
      <c r="C32" s="5" t="inlineStr">
        <is>
          <t>m3</t>
        </is>
      </c>
      <c r="D32" s="5" t="inlineStr"/>
      <c r="E32" s="5" t="inlineStr"/>
    </row>
    <row r="33">
      <c r="A33" s="5" t="inlineStr">
        <is>
          <t>G0071</t>
        </is>
      </c>
      <c r="B33" s="5" t="inlineStr">
        <is>
          <t>stone 1x2</t>
        </is>
      </c>
      <c r="C33" s="5" t="inlineStr">
        <is>
          <t>m3</t>
        </is>
      </c>
      <c r="D33" s="5" t="inlineStr"/>
      <c r="E33" s="5" t="inlineStr"/>
    </row>
    <row r="34">
      <c r="A34" s="5" t="inlineStr">
        <is>
          <t>G0072</t>
        </is>
      </c>
      <c r="B34" s="5" t="inlineStr">
        <is>
          <t>electric wire S 2Cx 4mm2</t>
        </is>
      </c>
      <c r="C34" s="5" t="inlineStr">
        <is>
          <t>m</t>
        </is>
      </c>
      <c r="D34" s="5" t="inlineStr"/>
      <c r="E34" s="5" t="inlineStr"/>
    </row>
    <row r="35">
      <c r="A35" s="5" t="inlineStr">
        <is>
          <t>G0073</t>
        </is>
      </c>
      <c r="B35" s="5" t="inlineStr">
        <is>
          <t>1Gang 1Switch</t>
        </is>
      </c>
      <c r="C35" s="5" t="inlineStr">
        <is>
          <t>graib</t>
        </is>
      </c>
      <c r="D35" s="5" t="inlineStr"/>
      <c r="E35" s="5" t="inlineStr"/>
    </row>
    <row r="36">
      <c r="A36" s="5" t="inlineStr">
        <is>
          <t>G0074</t>
        </is>
      </c>
      <c r="B36" s="5" t="inlineStr">
        <is>
          <t>breaker 2</t>
        </is>
      </c>
      <c r="C36" s="5" t="inlineStr">
        <is>
          <t>graib</t>
        </is>
      </c>
      <c r="D36" s="5" t="inlineStr"/>
      <c r="E36" s="5" t="inlineStr"/>
    </row>
    <row r="37">
      <c r="A37" s="5" t="inlineStr">
        <is>
          <t>G0075</t>
        </is>
      </c>
      <c r="B37" s="5" t="inlineStr">
        <is>
          <t>Cement (Con)</t>
        </is>
      </c>
      <c r="C37" s="5" t="inlineStr">
        <is>
          <t>bag</t>
        </is>
      </c>
      <c r="D37" s="5" t="inlineStr"/>
      <c r="E37" s="5" t="inlineStr"/>
    </row>
    <row r="38">
      <c r="A38" s="5" t="inlineStr">
        <is>
          <t>G0076</t>
        </is>
      </c>
      <c r="B38" s="5" t="inlineStr">
        <is>
          <t>van 27</t>
        </is>
      </c>
      <c r="C38" s="5" t="inlineStr">
        <is>
          <t>graib</t>
        </is>
      </c>
      <c r="D38" s="5" t="inlineStr"/>
      <c r="E38" s="5" t="inlineStr"/>
    </row>
    <row r="39">
      <c r="A39" s="5" t="inlineStr">
        <is>
          <t>G0077</t>
        </is>
      </c>
      <c r="B39" s="5" t="inlineStr">
        <is>
          <t>van 3/4</t>
        </is>
      </c>
      <c r="C39" s="5" t="inlineStr">
        <is>
          <t>graib</t>
        </is>
      </c>
      <c r="D39" s="5" t="inlineStr"/>
      <c r="E39" s="5" t="inlineStr"/>
    </row>
    <row r="40">
      <c r="A40" s="5" t="inlineStr">
        <is>
          <t>G0078</t>
        </is>
      </c>
      <c r="B40" s="5" t="inlineStr">
        <is>
          <t>te 34 x 27</t>
        </is>
      </c>
      <c r="C40" s="5" t="inlineStr">
        <is>
          <t>graib</t>
        </is>
      </c>
      <c r="D40" s="5" t="inlineStr"/>
      <c r="E40" s="5" t="inlineStr"/>
    </row>
    <row r="41">
      <c r="A41" s="5" t="inlineStr">
        <is>
          <t>G0079</t>
        </is>
      </c>
      <c r="B41" s="5" t="inlineStr">
        <is>
          <t>kaeng 27</t>
        </is>
      </c>
      <c r="C41" s="5" t="inlineStr">
        <is>
          <t>graib</t>
        </is>
      </c>
      <c r="D41" s="5" t="inlineStr"/>
      <c r="E41" s="5" t="inlineStr"/>
    </row>
    <row r="42">
      <c r="A42" s="5" t="inlineStr">
        <is>
          <t>G0080</t>
        </is>
      </c>
      <c r="B42" s="5" t="inlineStr">
        <is>
          <t>kamlasvon 14ft</t>
        </is>
      </c>
      <c r="C42" s="5" t="inlineStr">
        <is>
          <t>graib</t>
        </is>
      </c>
      <c r="D42" s="5" t="inlineStr"/>
      <c r="E42" s="5" t="inlineStr"/>
    </row>
    <row r="43">
      <c r="A43" s="5" t="inlineStr">
        <is>
          <t>G0081</t>
        </is>
      </c>
      <c r="B43" s="5" t="inlineStr">
        <is>
          <t>solar nidan</t>
        </is>
      </c>
      <c r="C43" s="5" t="inlineStr">
        <is>
          <t>graib</t>
        </is>
      </c>
      <c r="D43" s="5" t="inlineStr"/>
      <c r="E43" s="5" t="inlineStr"/>
    </row>
    <row r="44">
      <c r="A44" s="5" t="inlineStr">
        <is>
          <t>G0082</t>
        </is>
      </c>
      <c r="B44" s="5" t="inlineStr">
        <is>
          <t>romsev kod</t>
        </is>
      </c>
      <c r="C44" s="5" t="inlineStr">
        <is>
          <t>graib</t>
        </is>
      </c>
      <c r="D44" s="5" t="inlineStr"/>
      <c r="E44" s="5" t="inlineStr"/>
    </row>
    <row r="45">
      <c r="A45" s="5" t="inlineStr">
        <is>
          <t>G0083</t>
        </is>
      </c>
      <c r="B45" s="5" t="inlineStr">
        <is>
          <t>koh 50</t>
        </is>
      </c>
      <c r="C45" s="5" t="inlineStr">
        <is>
          <t>graib</t>
        </is>
      </c>
      <c r="D45" s="5" t="inlineStr"/>
      <c r="E45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D9D9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</cols>
  <sheetData>
    <row r="1">
      <c r="A1" s="1" t="inlineStr">
        <is>
          <t>Locations</t>
        </is>
      </c>
      <c r="B1" s="1" t="inlineStr">
        <is>
          <t>Suppliers</t>
        </is>
      </c>
    </row>
    <row r="2">
      <c r="A2" t="inlineStr">
        <is>
          <t>Site 1</t>
        </is>
      </c>
      <c r="B2" t="inlineStr">
        <is>
          <t>Unknown Supplier</t>
        </is>
      </c>
    </row>
    <row r="3">
      <c r="A3" t="inlineStr">
        <is>
          <t>Phnom Penh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2026-07-09T04:17:20Z</dcterms:created>
  <dcterms:modified xsi:type="dcterms:W3CDTF">2026-07-09T04:17:22Z</dcterms:modified>
</cp:coreProperties>
</file>